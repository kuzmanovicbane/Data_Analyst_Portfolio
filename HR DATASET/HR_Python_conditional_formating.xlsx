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E:\PYTHON\HR DATASET\"/>
    </mc:Choice>
  </mc:AlternateContent>
  <xr:revisionPtr revIDLastSave="0" documentId="13_ncr:20001_{9B72A563-25B0-41D3-8586-EED9F7D240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R_DEPARTMENT_SALARY_MEAN" sheetId="1" r:id="rId1"/>
    <sheet name="HR_SALARY_MEAN" sheetId="2" r:id="rId2"/>
    <sheet name="HR_DEPARTMENT_MEAN" sheetId="3" r:id="rId3"/>
    <sheet name="HR_SALARY_CAT_BY_DEPARTMENT" sheetId="4" r:id="rId4"/>
    <sheet name="HR_SALARY_CAT_IN_DEPARTMENT" sheetId="5" r:id="rId5"/>
    <sheet name="HR_NUMBER_OF_PROJECTS_BY_DEPART" sheetId="6" r:id="rId6"/>
  </sheets>
  <definedNames>
    <definedName name="_xlnm._FilterDatabase" localSheetId="2" hidden="1">HR_DEPARTMENT_MEAN!$A$1:$G$6</definedName>
    <definedName name="_xlnm._FilterDatabase" localSheetId="0" hidden="1">HR_DEPARTMENT_SALARY_MEAN!$A$1:$H$6</definedName>
    <definedName name="_xlnm._FilterDatabase" localSheetId="5" hidden="1">HR_NUMBER_OF_PROJECTS_BY_DEPART!$A$1:$D$11</definedName>
    <definedName name="_xlnm._FilterDatabase" localSheetId="3" hidden="1">HR_SALARY_CAT_BY_DEPARTMENT!$A$1:$E$11</definedName>
    <definedName name="_xlnm._FilterDatabase" localSheetId="4" hidden="1">HR_SALARY_CAT_IN_DEPARTMENT!$A$1:$K$4</definedName>
    <definedName name="_xlnm._FilterDatabase" localSheetId="1" hidden="1">HR_SALARY_MEAN!$A$1:$G$4</definedName>
  </definedNames>
  <calcPr calcId="181029"/>
  <pivotCaches>
    <pivotCache cacheId="6" r:id="rId7"/>
  </pivotCaches>
  <fileRecoveryPr repairLoad="1"/>
</workbook>
</file>

<file path=xl/calcChain.xml><?xml version="1.0" encoding="utf-8"?>
<calcChain xmlns="http://schemas.openxmlformats.org/spreadsheetml/2006/main">
  <c r="E3" i="6" l="1"/>
  <c r="J3" i="6" s="1"/>
  <c r="E4" i="6"/>
  <c r="J4" i="6" s="1"/>
  <c r="E5" i="6"/>
  <c r="I5" i="6" s="1"/>
  <c r="E6" i="6"/>
  <c r="I6" i="6" s="1"/>
  <c r="E7" i="6"/>
  <c r="J7" i="6" s="1"/>
  <c r="E8" i="6"/>
  <c r="J8" i="6" s="1"/>
  <c r="E9" i="6"/>
  <c r="I9" i="6" s="1"/>
  <c r="E10" i="6"/>
  <c r="I10" i="6" s="1"/>
  <c r="E11" i="6"/>
  <c r="J11" i="6" s="1"/>
  <c r="E2" i="6"/>
  <c r="I2" i="6" s="1"/>
  <c r="E3" i="4"/>
  <c r="E4" i="4"/>
  <c r="E5" i="4"/>
  <c r="E6" i="4"/>
  <c r="E7" i="4"/>
  <c r="E8" i="4"/>
  <c r="E9" i="4"/>
  <c r="E10" i="4"/>
  <c r="E11" i="4"/>
  <c r="E2" i="4"/>
  <c r="H10" i="6" l="1"/>
  <c r="J10" i="6"/>
  <c r="H6" i="6"/>
  <c r="J6" i="6"/>
  <c r="H9" i="6"/>
  <c r="H5" i="6"/>
  <c r="I11" i="6"/>
  <c r="I7" i="6"/>
  <c r="I3" i="6"/>
  <c r="J9" i="6"/>
  <c r="J5" i="6"/>
  <c r="I8" i="6"/>
  <c r="I4" i="6"/>
  <c r="H2" i="6"/>
  <c r="H8" i="6"/>
  <c r="H4" i="6"/>
  <c r="J2" i="6"/>
  <c r="H11" i="6"/>
  <c r="H7" i="6"/>
  <c r="H3" i="6"/>
</calcChain>
</file>

<file path=xl/sharedStrings.xml><?xml version="1.0" encoding="utf-8"?>
<sst xmlns="http://schemas.openxmlformats.org/spreadsheetml/2006/main" count="96" uniqueCount="26">
  <si>
    <t>Department</t>
  </si>
  <si>
    <t>salary</t>
  </si>
  <si>
    <t>satisfaction_level</t>
  </si>
  <si>
    <t>last_evaluation</t>
  </si>
  <si>
    <t>number_project</t>
  </si>
  <si>
    <t>average_montly_hours</t>
  </si>
  <si>
    <t>time_spend_company</t>
  </si>
  <si>
    <t>promotion_last_5years</t>
  </si>
  <si>
    <t>IT</t>
  </si>
  <si>
    <t>high</t>
  </si>
  <si>
    <t>low</t>
  </si>
  <si>
    <t>medium</t>
  </si>
  <si>
    <t>RandD</t>
  </si>
  <si>
    <t>accounting</t>
  </si>
  <si>
    <t>hr</t>
  </si>
  <si>
    <t>management</t>
  </si>
  <si>
    <t>marketing</t>
  </si>
  <si>
    <t>product_mng</t>
  </si>
  <si>
    <t>sales</t>
  </si>
  <si>
    <t>support</t>
  </si>
  <si>
    <t>technical</t>
  </si>
  <si>
    <t>AVERAGES</t>
  </si>
  <si>
    <t>ALL EMPLOYEES</t>
  </si>
  <si>
    <t>high %</t>
  </si>
  <si>
    <t>low %</t>
  </si>
  <si>
    <t>medium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</si>
</sst>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10" fontId="0" fillId="0" borderId="1" xfId="0" applyNumberFormat="1" applyBorder="1"/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EMPLYEES IN</a:t>
            </a:r>
            <a:r>
              <a:rPr lang="en-US" baseline="0"/>
              <a:t> DIFFERENT SALARY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HR_SALARY_CAT_IN_DEPARTMENT!$A$2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HR_SALARY_CAT_IN_DEPARTMENT!$B$1:$K$1</c:f>
              <c:strCache>
                <c:ptCount val="10"/>
                <c:pt idx="0">
                  <c:v>IT</c:v>
                </c:pt>
                <c:pt idx="1">
                  <c:v>RandD</c:v>
                </c:pt>
                <c:pt idx="2">
                  <c:v>accounting</c:v>
                </c:pt>
                <c:pt idx="3">
                  <c:v>hr</c:v>
                </c:pt>
                <c:pt idx="4">
                  <c:v>management</c:v>
                </c:pt>
                <c:pt idx="5">
                  <c:v>marketing</c:v>
                </c:pt>
                <c:pt idx="6">
                  <c:v>product_mng</c:v>
                </c:pt>
                <c:pt idx="7">
                  <c:v>sales</c:v>
                </c:pt>
                <c:pt idx="8">
                  <c:v>support</c:v>
                </c:pt>
                <c:pt idx="9">
                  <c:v>technical</c:v>
                </c:pt>
              </c:strCache>
            </c:strRef>
          </c:cat>
          <c:val>
            <c:numRef>
              <c:f>HR_SALARY_CAT_IN_DEPARTMENT!$B$2:$K$2</c:f>
              <c:numCache>
                <c:formatCode>General</c:formatCode>
                <c:ptCount val="10"/>
                <c:pt idx="0">
                  <c:v>83</c:v>
                </c:pt>
                <c:pt idx="1">
                  <c:v>51</c:v>
                </c:pt>
                <c:pt idx="2">
                  <c:v>74</c:v>
                </c:pt>
                <c:pt idx="3">
                  <c:v>45</c:v>
                </c:pt>
                <c:pt idx="4">
                  <c:v>225</c:v>
                </c:pt>
                <c:pt idx="5">
                  <c:v>80</c:v>
                </c:pt>
                <c:pt idx="6">
                  <c:v>68</c:v>
                </c:pt>
                <c:pt idx="7">
                  <c:v>269</c:v>
                </c:pt>
                <c:pt idx="8">
                  <c:v>141</c:v>
                </c:pt>
                <c:pt idx="9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9-4063-87BA-06A4720D22F2}"/>
            </c:ext>
          </c:extLst>
        </c:ser>
        <c:ser>
          <c:idx val="1"/>
          <c:order val="1"/>
          <c:tx>
            <c:strRef>
              <c:f>HR_SALARY_CAT_IN_DEPARTMENT!$A$3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HR_SALARY_CAT_IN_DEPARTMENT!$B$1:$K$1</c:f>
              <c:strCache>
                <c:ptCount val="10"/>
                <c:pt idx="0">
                  <c:v>IT</c:v>
                </c:pt>
                <c:pt idx="1">
                  <c:v>RandD</c:v>
                </c:pt>
                <c:pt idx="2">
                  <c:v>accounting</c:v>
                </c:pt>
                <c:pt idx="3">
                  <c:v>hr</c:v>
                </c:pt>
                <c:pt idx="4">
                  <c:v>management</c:v>
                </c:pt>
                <c:pt idx="5">
                  <c:v>marketing</c:v>
                </c:pt>
                <c:pt idx="6">
                  <c:v>product_mng</c:v>
                </c:pt>
                <c:pt idx="7">
                  <c:v>sales</c:v>
                </c:pt>
                <c:pt idx="8">
                  <c:v>support</c:v>
                </c:pt>
                <c:pt idx="9">
                  <c:v>technical</c:v>
                </c:pt>
              </c:strCache>
            </c:strRef>
          </c:cat>
          <c:val>
            <c:numRef>
              <c:f>HR_SALARY_CAT_IN_DEPARTMENT!$B$3:$K$3</c:f>
              <c:numCache>
                <c:formatCode>General</c:formatCode>
                <c:ptCount val="10"/>
                <c:pt idx="0">
                  <c:v>609</c:v>
                </c:pt>
                <c:pt idx="1">
                  <c:v>364</c:v>
                </c:pt>
                <c:pt idx="2">
                  <c:v>358</c:v>
                </c:pt>
                <c:pt idx="3">
                  <c:v>335</c:v>
                </c:pt>
                <c:pt idx="4">
                  <c:v>180</c:v>
                </c:pt>
                <c:pt idx="5">
                  <c:v>402</c:v>
                </c:pt>
                <c:pt idx="6">
                  <c:v>451</c:v>
                </c:pt>
                <c:pt idx="7">
                  <c:v>2099</c:v>
                </c:pt>
                <c:pt idx="8">
                  <c:v>1146</c:v>
                </c:pt>
                <c:pt idx="9">
                  <c:v>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9-4063-87BA-06A4720D22F2}"/>
            </c:ext>
          </c:extLst>
        </c:ser>
        <c:ser>
          <c:idx val="2"/>
          <c:order val="2"/>
          <c:tx>
            <c:strRef>
              <c:f>HR_SALARY_CAT_IN_DEPARTMENT!$A$4</c:f>
              <c:strCache>
                <c:ptCount val="1"/>
                <c:pt idx="0">
                  <c:v>medium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0"/>
              <c:layout>
                <c:manualLayout>
                  <c:x val="5.0041701417848057E-3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29-4063-87BA-06A4720D22F2}"/>
                </c:ext>
              </c:extLst>
            </c:dLbl>
            <c:dLbl>
              <c:idx val="1"/>
              <c:layout>
                <c:manualLayout>
                  <c:x val="1.3344453711426188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29-4063-87BA-06A4720D22F2}"/>
                </c:ext>
              </c:extLst>
            </c:dLbl>
            <c:dLbl>
              <c:idx val="2"/>
              <c:layout>
                <c:manualLayout>
                  <c:x val="1.8348623853211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29-4063-87BA-06A4720D22F2}"/>
                </c:ext>
              </c:extLst>
            </c:dLbl>
            <c:dLbl>
              <c:idx val="3"/>
              <c:layout>
                <c:manualLayout>
                  <c:x val="1.0008340283569641E-2"/>
                  <c:y val="-5.55555555555557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29-4063-87BA-06A4720D22F2}"/>
                </c:ext>
              </c:extLst>
            </c:dLbl>
            <c:dLbl>
              <c:idx val="4"/>
              <c:layout>
                <c:manualLayout>
                  <c:x val="1.0008340283569641E-2"/>
                  <c:y val="-8.7962962962963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29-4063-87BA-06A4720D22F2}"/>
                </c:ext>
              </c:extLst>
            </c:dLbl>
            <c:dLbl>
              <c:idx val="5"/>
              <c:layout>
                <c:manualLayout>
                  <c:x val="1.3344453711426067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29-4063-87BA-06A4720D22F2}"/>
                </c:ext>
              </c:extLst>
            </c:dLbl>
            <c:dLbl>
              <c:idx val="6"/>
              <c:layout>
                <c:manualLayout>
                  <c:x val="1.834862385321101E-2"/>
                  <c:y val="-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29-4063-87BA-06A4720D22F2}"/>
                </c:ext>
              </c:extLst>
            </c:dLbl>
            <c:dLbl>
              <c:idx val="7"/>
              <c:layout>
                <c:manualLayout>
                  <c:x val="2.3352793994995829E-2"/>
                  <c:y val="-9.25925925925934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29-4063-87BA-06A4720D22F2}"/>
                </c:ext>
              </c:extLst>
            </c:dLbl>
            <c:dLbl>
              <c:idx val="8"/>
              <c:layout>
                <c:manualLayout>
                  <c:x val="2.5020850708923983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29-4063-87BA-06A4720D22F2}"/>
                </c:ext>
              </c:extLst>
            </c:dLbl>
            <c:dLbl>
              <c:idx val="9"/>
              <c:layout>
                <c:manualLayout>
                  <c:x val="1.834862385321101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829-4063-87BA-06A4720D2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HR_SALARY_CAT_IN_DEPARTMENT!$B$1:$K$1</c:f>
              <c:strCache>
                <c:ptCount val="10"/>
                <c:pt idx="0">
                  <c:v>IT</c:v>
                </c:pt>
                <c:pt idx="1">
                  <c:v>RandD</c:v>
                </c:pt>
                <c:pt idx="2">
                  <c:v>accounting</c:v>
                </c:pt>
                <c:pt idx="3">
                  <c:v>hr</c:v>
                </c:pt>
                <c:pt idx="4">
                  <c:v>management</c:v>
                </c:pt>
                <c:pt idx="5">
                  <c:v>marketing</c:v>
                </c:pt>
                <c:pt idx="6">
                  <c:v>product_mng</c:v>
                </c:pt>
                <c:pt idx="7">
                  <c:v>sales</c:v>
                </c:pt>
                <c:pt idx="8">
                  <c:v>support</c:v>
                </c:pt>
                <c:pt idx="9">
                  <c:v>technical</c:v>
                </c:pt>
              </c:strCache>
            </c:strRef>
          </c:cat>
          <c:val>
            <c:numRef>
              <c:f>HR_SALARY_CAT_IN_DEPARTMENT!$B$4:$K$4</c:f>
              <c:numCache>
                <c:formatCode>General</c:formatCode>
                <c:ptCount val="10"/>
                <c:pt idx="0">
                  <c:v>535</c:v>
                </c:pt>
                <c:pt idx="1">
                  <c:v>372</c:v>
                </c:pt>
                <c:pt idx="2">
                  <c:v>335</c:v>
                </c:pt>
                <c:pt idx="3">
                  <c:v>359</c:v>
                </c:pt>
                <c:pt idx="4">
                  <c:v>225</c:v>
                </c:pt>
                <c:pt idx="5">
                  <c:v>376</c:v>
                </c:pt>
                <c:pt idx="6">
                  <c:v>383</c:v>
                </c:pt>
                <c:pt idx="7">
                  <c:v>1772</c:v>
                </c:pt>
                <c:pt idx="8">
                  <c:v>942</c:v>
                </c:pt>
                <c:pt idx="9">
                  <c:v>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9-4063-87BA-06A4720D2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69799784"/>
        <c:axId val="669801584"/>
      </c:barChart>
      <c:catAx>
        <c:axId val="669799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01584"/>
        <c:crosses val="autoZero"/>
        <c:auto val="1"/>
        <c:lblAlgn val="ctr"/>
        <c:lblOffset val="100"/>
        <c:noMultiLvlLbl val="0"/>
      </c:catAx>
      <c:valAx>
        <c:axId val="669801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99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HR_NUMBER_OF_PROJECTS_BY_DEPART!$G$2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HR_NUMBER_OF_PROJECTS_BY_DEPART!$H$2:$J$2</c:f>
              <c:numCache>
                <c:formatCode>0.00%</c:formatCode>
                <c:ptCount val="3"/>
                <c:pt idx="0">
                  <c:v>6.8545803971812938E-2</c:v>
                </c:pt>
                <c:pt idx="1">
                  <c:v>0.49348708093102711</c:v>
                </c:pt>
                <c:pt idx="2">
                  <c:v>0.43796711509715996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3-40E6-8A85-8898E768233E}"/>
            </c:ext>
          </c:extLst>
        </c:ser>
        <c:ser>
          <c:idx val="1"/>
          <c:order val="1"/>
          <c:tx>
            <c:strRef>
              <c:f>HR_NUMBER_OF_PROJECTS_BY_DEPART!$G$3</c:f>
              <c:strCache>
                <c:ptCount val="1"/>
                <c:pt idx="0">
                  <c:v>RandD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HR_NUMBER_OF_PROJECTS_BY_DEPART!$H$3:$J$3</c:f>
              <c:numCache>
                <c:formatCode>0.00%</c:formatCode>
                <c:ptCount val="3"/>
                <c:pt idx="0">
                  <c:v>6.330365974282888E-2</c:v>
                </c:pt>
                <c:pt idx="1">
                  <c:v>0.4566435872073854</c:v>
                </c:pt>
                <c:pt idx="2">
                  <c:v>0.48005275304978567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3-40E6-8A85-8898E768233E}"/>
            </c:ext>
          </c:extLst>
        </c:ser>
        <c:ser>
          <c:idx val="2"/>
          <c:order val="2"/>
          <c:tx>
            <c:strRef>
              <c:f>HR_NUMBER_OF_PROJECTS_BY_DEPART!$G$4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HR_NUMBER_OF_PROJECTS_BY_DEPART!$H$4:$J$4</c:f>
              <c:numCache>
                <c:formatCode>0.00%</c:formatCode>
                <c:ptCount val="3"/>
                <c:pt idx="0">
                  <c:v>9.8500340831629174E-2</c:v>
                </c:pt>
                <c:pt idx="1">
                  <c:v>0.46387184730743014</c:v>
                </c:pt>
                <c:pt idx="2">
                  <c:v>0.43762781186094069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D3-40E6-8A85-8898E768233E}"/>
            </c:ext>
          </c:extLst>
        </c:ser>
        <c:ser>
          <c:idx val="3"/>
          <c:order val="3"/>
          <c:tx>
            <c:strRef>
              <c:f>HR_NUMBER_OF_PROJECTS_BY_DEPART!$G$5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HR_NUMBER_OF_PROJECTS_BY_DEPART!$H$5:$J$5</c:f>
              <c:numCache>
                <c:formatCode>0.00%</c:formatCode>
                <c:ptCount val="3"/>
                <c:pt idx="0">
                  <c:v>6.4790818215475748E-2</c:v>
                </c:pt>
                <c:pt idx="1">
                  <c:v>0.45797852647167714</c:v>
                </c:pt>
                <c:pt idx="2">
                  <c:v>0.47723065531284709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D3-40E6-8A85-8898E768233E}"/>
            </c:ext>
          </c:extLst>
        </c:ser>
        <c:ser>
          <c:idx val="4"/>
          <c:order val="4"/>
          <c:tx>
            <c:strRef>
              <c:f>HR_NUMBER_OF_PROJECTS_BY_DEPART!$G$6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HR_NUMBER_OF_PROJECTS_BY_DEPART!$H$6:$J$6</c:f>
              <c:numCache>
                <c:formatCode>0.00%</c:formatCode>
                <c:ptCount val="3"/>
                <c:pt idx="0">
                  <c:v>0.34950657894736842</c:v>
                </c:pt>
                <c:pt idx="1">
                  <c:v>0.27960526315789475</c:v>
                </c:pt>
                <c:pt idx="2">
                  <c:v>0.37088815789473684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D3-40E6-8A85-8898E768233E}"/>
            </c:ext>
          </c:extLst>
        </c:ser>
        <c:ser>
          <c:idx val="5"/>
          <c:order val="5"/>
          <c:tx>
            <c:strRef>
              <c:f>HR_NUMBER_OF_PROJECTS_BY_DEPART!$G$7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HR_NUMBER_OF_PROJECTS_BY_DEPART!$H$7:$J$7</c:f>
              <c:numCache>
                <c:formatCode>0.00%</c:formatCode>
                <c:ptCount val="3"/>
                <c:pt idx="0">
                  <c:v>8.6599241466498098E-2</c:v>
                </c:pt>
                <c:pt idx="1">
                  <c:v>0.47661188369152974</c:v>
                </c:pt>
                <c:pt idx="2">
                  <c:v>0.43678887484197221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D3-40E6-8A85-8898E768233E}"/>
            </c:ext>
          </c:extLst>
        </c:ser>
        <c:ser>
          <c:idx val="6"/>
          <c:order val="6"/>
          <c:tx>
            <c:strRef>
              <c:f>HR_NUMBER_OF_PROJECTS_BY_DEPART!$G$8</c:f>
              <c:strCache>
                <c:ptCount val="1"/>
                <c:pt idx="0">
                  <c:v>product_mng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HR_NUMBER_OF_PROJECTS_BY_DEPART!$H$8:$J$8</c:f>
              <c:numCache>
                <c:formatCode>0.00%</c:formatCode>
                <c:ptCount val="3"/>
                <c:pt idx="0">
                  <c:v>7.3383808969132214E-2</c:v>
                </c:pt>
                <c:pt idx="1">
                  <c:v>0.50232964472917885</c:v>
                </c:pt>
                <c:pt idx="2">
                  <c:v>0.42428654630168899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D3-40E6-8A85-8898E768233E}"/>
            </c:ext>
          </c:extLst>
        </c:ser>
        <c:ser>
          <c:idx val="7"/>
          <c:order val="7"/>
          <c:tx>
            <c:strRef>
              <c:f>HR_NUMBER_OF_PROJECTS_BY_DEPART!$G$9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HR_NUMBER_OF_PROJECTS_BY_DEPART!$H$9:$J$9</c:f>
              <c:numCache>
                <c:formatCode>0.00%</c:formatCode>
                <c:ptCount val="3"/>
                <c:pt idx="0">
                  <c:v>6.6393757195855191E-2</c:v>
                </c:pt>
                <c:pt idx="1">
                  <c:v>0.50454138416272232</c:v>
                </c:pt>
                <c:pt idx="2">
                  <c:v>0.42906485864142252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D3-40E6-8A85-8898E768233E}"/>
            </c:ext>
          </c:extLst>
        </c:ser>
        <c:ser>
          <c:idx val="8"/>
          <c:order val="8"/>
          <c:tx>
            <c:strRef>
              <c:f>HR_NUMBER_OF_PROJECTS_BY_DEPART!$G$10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HR_NUMBER_OF_PROJECTS_BY_DEPART!$H$10:$J$10</c:f>
              <c:numCache>
                <c:formatCode>0.00%</c:formatCode>
                <c:ptCount val="3"/>
                <c:pt idx="0">
                  <c:v>6.3097063332940212E-2</c:v>
                </c:pt>
                <c:pt idx="1">
                  <c:v>0.51185281283170181</c:v>
                </c:pt>
                <c:pt idx="2">
                  <c:v>0.42505012383535795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D3-40E6-8A85-8898E768233E}"/>
            </c:ext>
          </c:extLst>
        </c:ser>
        <c:ser>
          <c:idx val="9"/>
          <c:order val="9"/>
          <c:tx>
            <c:strRef>
              <c:f>HR_NUMBER_OF_PROJECTS_BY_DEPART!$G$11</c:f>
              <c:strCache>
                <c:ptCount val="1"/>
                <c:pt idx="0">
                  <c:v>technical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HR_NUMBER_OF_PROJECTS_BY_DEPART!$H$1:$J$1</c:f>
              <c:strCache>
                <c:ptCount val="3"/>
                <c:pt idx="0">
                  <c:v>high %</c:v>
                </c:pt>
                <c:pt idx="1">
                  <c:v>low %</c:v>
                </c:pt>
                <c:pt idx="2">
                  <c:v>medium %</c:v>
                </c:pt>
              </c:strCache>
            </c:strRef>
          </c:cat>
          <c:val>
            <c:numRef>
              <c:f>HR_NUMBER_OF_PROJECTS_BY_DEPART!$H$11:$J$11</c:f>
              <c:numCache>
                <c:formatCode>0.00%</c:formatCode>
                <c:ptCount val="3"/>
                <c:pt idx="0">
                  <c:v>6.9586651497914292E-2</c:v>
                </c:pt>
                <c:pt idx="1">
                  <c:v>0.50862722791050441</c:v>
                </c:pt>
                <c:pt idx="2">
                  <c:v>0.42178612059158133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D3-40E6-8A85-8898E76823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88603336"/>
        <c:axId val="588605136"/>
      </c:barChart>
      <c:catAx>
        <c:axId val="58860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05136"/>
        <c:crosses val="autoZero"/>
        <c:auto val="1"/>
        <c:lblAlgn val="ctr"/>
        <c:lblOffset val="100"/>
        <c:noMultiLvlLbl val="0"/>
      </c:catAx>
      <c:valAx>
        <c:axId val="5886051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8860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4</xdr:row>
      <xdr:rowOff>63500</xdr:rowOff>
    </xdr:from>
    <xdr:to>
      <xdr:col>11</xdr:col>
      <xdr:colOff>88900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CD8A9-0718-918E-5214-4A2BC421D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12</xdr:row>
      <xdr:rowOff>107950</xdr:rowOff>
    </xdr:from>
    <xdr:to>
      <xdr:col>9</xdr:col>
      <xdr:colOff>596900</xdr:colOff>
      <xdr:row>27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D5FCC3-8E35-9BB4-395B-7F7B3C97F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ne Andriana Kuzmanovic" refreshedDate="45739.540046412039" createdVersion="8" refreshedVersion="8" minRefreshableVersion="3" recordCount="10" xr:uid="{83439C1D-7368-4703-ACD5-D7FA241D34A5}">
  <cacheSource type="worksheet">
    <worksheetSource ref="A1:D11" sheet="HR_NUMBER_OF_PROJECTS_BY_DEPART"/>
  </cacheSource>
  <cacheFields count="4">
    <cacheField name="Department" numFmtId="0">
      <sharedItems count="10">
        <s v="IT"/>
        <s v="RandD"/>
        <s v="accounting"/>
        <s v="hr"/>
        <s v="management"/>
        <s v="marketing"/>
        <s v="product_mng"/>
        <s v="sales"/>
        <s v="support"/>
        <s v="technical"/>
      </sharedItems>
    </cacheField>
    <cacheField name="high" numFmtId="0">
      <sharedItems containsSemiMixedTypes="0" containsString="0" containsNumber="1" containsInteger="1" minValue="175" maxValue="1038" count="10">
        <n v="321"/>
        <n v="192"/>
        <n v="289"/>
        <n v="175"/>
        <n v="850"/>
        <n v="274"/>
        <n v="252"/>
        <n v="1038"/>
        <n v="535"/>
        <n v="734"/>
      </sharedItems>
    </cacheField>
    <cacheField name="low" numFmtId="0">
      <sharedItems containsSemiMixedTypes="0" containsString="0" containsNumber="1" containsInteger="1" minValue="680" maxValue="7888" count="10">
        <n v="2311"/>
        <n v="1385"/>
        <n v="1361"/>
        <n v="1237"/>
        <n v="680"/>
        <n v="1508"/>
        <n v="1725"/>
        <n v="7888"/>
        <n v="4340"/>
        <n v="5365"/>
      </sharedItems>
    </cacheField>
    <cacheField name="medium" numFmtId="0">
      <sharedItems containsSemiMixedTypes="0" containsString="0" containsNumber="1" containsInteger="1" minValue="902" maxValue="6708" count="10">
        <n v="2051"/>
        <n v="1456"/>
        <n v="1284"/>
        <n v="1289"/>
        <n v="902"/>
        <n v="1382"/>
        <n v="1457"/>
        <n v="6708"/>
        <n v="3604"/>
        <n v="444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6B76B-98FE-4BB3-8348-69D752B9C4B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7:C34" firstHeaderRow="1" firstDataRow="1" firstDataCol="0"/>
  <pivotFields count="4">
    <pivotField showAll="0">
      <items count="11">
        <item x="2"/>
        <item x="3"/>
        <item x="0"/>
        <item x="4"/>
        <item x="5"/>
        <item x="6"/>
        <item x="1"/>
        <item x="7"/>
        <item x="8"/>
        <item x="9"/>
        <item t="default"/>
      </items>
    </pivotField>
    <pivotField showAll="0">
      <items count="11">
        <item x="3"/>
        <item x="1"/>
        <item x="6"/>
        <item x="5"/>
        <item x="2"/>
        <item x="0"/>
        <item x="8"/>
        <item x="9"/>
        <item x="4"/>
        <item x="7"/>
        <item t="default"/>
      </items>
    </pivotField>
    <pivotField showAll="0">
      <items count="11">
        <item x="4"/>
        <item x="3"/>
        <item x="2"/>
        <item x="1"/>
        <item x="5"/>
        <item x="6"/>
        <item x="0"/>
        <item x="8"/>
        <item x="9"/>
        <item x="7"/>
        <item t="default"/>
      </items>
    </pivotField>
    <pivotField showAll="0">
      <items count="11">
        <item x="4"/>
        <item x="2"/>
        <item x="3"/>
        <item x="5"/>
        <item x="1"/>
        <item x="6"/>
        <item x="0"/>
        <item x="8"/>
        <item x="9"/>
        <item x="7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1" sqref="F11"/>
    </sheetView>
  </sheetViews>
  <sheetFormatPr defaultRowHeight="14.5" x14ac:dyDescent="0.35"/>
  <cols>
    <col min="1" max="1" width="11.08984375" bestFit="1" customWidth="1"/>
    <col min="2" max="2" width="11.54296875" customWidth="1"/>
    <col min="3" max="3" width="20" customWidth="1"/>
    <col min="4" max="4" width="16.90625" customWidth="1"/>
    <col min="5" max="5" width="18.81640625" customWidth="1"/>
    <col min="6" max="6" width="28.36328125" customWidth="1"/>
    <col min="7" max="7" width="25.26953125" customWidth="1"/>
    <col min="8" max="8" width="25.816406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4" t="s">
        <v>8</v>
      </c>
      <c r="B2" s="3" t="s">
        <v>9</v>
      </c>
      <c r="C2" s="2">
        <v>0.63819277108433736</v>
      </c>
      <c r="D2" s="2">
        <v>0.71662650602409639</v>
      </c>
      <c r="E2" s="2">
        <v>3.867469879518072</v>
      </c>
      <c r="F2" s="2">
        <v>194.92771084337349</v>
      </c>
      <c r="G2" s="2">
        <v>3.072289156626506</v>
      </c>
      <c r="H2" s="2">
        <v>0</v>
      </c>
    </row>
    <row r="3" spans="1:8" x14ac:dyDescent="0.35">
      <c r="A3" s="4"/>
      <c r="B3" s="3" t="s">
        <v>10</v>
      </c>
      <c r="C3" s="2">
        <v>0.61009852216748772</v>
      </c>
      <c r="D3" s="2">
        <v>0.71566502463054182</v>
      </c>
      <c r="E3" s="2">
        <v>3.7947454844006572</v>
      </c>
      <c r="F3" s="2">
        <v>201.3825944170772</v>
      </c>
      <c r="G3" s="2">
        <v>3.4384236453201971</v>
      </c>
      <c r="H3" s="2">
        <v>3.2840722495894909E-3</v>
      </c>
    </row>
    <row r="4" spans="1:8" x14ac:dyDescent="0.35">
      <c r="A4" s="4"/>
      <c r="B4" s="3" t="s">
        <v>11</v>
      </c>
      <c r="C4" s="2">
        <v>0.62418691588785047</v>
      </c>
      <c r="D4" s="2">
        <v>0.71818691588785055</v>
      </c>
      <c r="E4" s="2">
        <v>3.8336448598130839</v>
      </c>
      <c r="F4" s="2">
        <v>204.2953271028037</v>
      </c>
      <c r="G4" s="2">
        <v>3.5644859813084109</v>
      </c>
      <c r="H4" s="2">
        <v>1.869158878504673E-3</v>
      </c>
    </row>
    <row r="5" spans="1:8" x14ac:dyDescent="0.35">
      <c r="A5" s="4" t="s">
        <v>12</v>
      </c>
      <c r="B5" s="3" t="s">
        <v>9</v>
      </c>
      <c r="C5" s="2">
        <v>0.58666666666666667</v>
      </c>
      <c r="D5" s="2">
        <v>0.70058823529411762</v>
      </c>
      <c r="E5" s="2">
        <v>3.7647058823529411</v>
      </c>
      <c r="F5" s="2">
        <v>199.74509803921569</v>
      </c>
      <c r="G5" s="2">
        <v>3.5294117647058818</v>
      </c>
      <c r="H5" s="2">
        <v>1.9607843137254902E-2</v>
      </c>
    </row>
    <row r="6" spans="1:8" x14ac:dyDescent="0.35">
      <c r="A6" s="4"/>
      <c r="B6" s="3" t="s">
        <v>10</v>
      </c>
      <c r="C6" s="2">
        <v>0.62392857142857139</v>
      </c>
      <c r="D6" s="2">
        <v>0.71417582417582415</v>
      </c>
      <c r="E6" s="2">
        <v>3.8049450549450552</v>
      </c>
      <c r="F6" s="2">
        <v>198.74725274725279</v>
      </c>
      <c r="G6" s="2">
        <v>3.3818681318681318</v>
      </c>
      <c r="H6" s="2">
        <v>8.241758241758242E-3</v>
      </c>
    </row>
    <row r="8" spans="1:8" x14ac:dyDescent="0.35">
      <c r="C8" s="5" t="s">
        <v>21</v>
      </c>
      <c r="D8" s="5"/>
      <c r="E8" s="5"/>
    </row>
    <row r="9" spans="1:8" x14ac:dyDescent="0.35">
      <c r="C9" s="5"/>
      <c r="D9" s="5"/>
      <c r="E9" s="5"/>
    </row>
    <row r="10" spans="1:8" x14ac:dyDescent="0.35">
      <c r="C10" s="5"/>
      <c r="D10" s="5"/>
      <c r="E10" s="5"/>
    </row>
    <row r="11" spans="1:8" x14ac:dyDescent="0.35">
      <c r="C11" s="5"/>
      <c r="D11" s="5"/>
      <c r="E11" s="5"/>
    </row>
  </sheetData>
  <autoFilter ref="A1:H6" xr:uid="{00000000-0001-0000-0000-000000000000}"/>
  <mergeCells count="3">
    <mergeCell ref="A5:A6"/>
    <mergeCell ref="A2:A4"/>
    <mergeCell ref="C8:E11"/>
  </mergeCells>
  <conditionalFormatting sqref="C2:C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B1" sqref="B1"/>
    </sheetView>
  </sheetViews>
  <sheetFormatPr defaultRowHeight="14.5" x14ac:dyDescent="0.35"/>
  <cols>
    <col min="1" max="1" width="7.7265625" bestFit="1" customWidth="1"/>
    <col min="2" max="2" width="19.36328125" customWidth="1"/>
    <col min="3" max="3" width="16" customWidth="1"/>
    <col min="4" max="4" width="18.54296875" customWidth="1"/>
    <col min="5" max="5" width="21.81640625" customWidth="1"/>
    <col min="6" max="6" width="20.90625" customWidth="1"/>
    <col min="7" max="7" width="22.7265625" customWidth="1"/>
  </cols>
  <sheetData>
    <row r="1" spans="1:7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x14ac:dyDescent="0.35">
      <c r="A2" s="3" t="s">
        <v>9</v>
      </c>
      <c r="B2" s="2">
        <v>0.63746968472109944</v>
      </c>
      <c r="C2" s="2">
        <v>0.70432497978981412</v>
      </c>
      <c r="D2" s="2">
        <v>3.7671786580436541</v>
      </c>
      <c r="E2" s="2">
        <v>199.86742118027479</v>
      </c>
      <c r="F2" s="2">
        <v>3.6928051738075989</v>
      </c>
      <c r="G2" s="2">
        <v>5.8205335489086497E-2</v>
      </c>
    </row>
    <row r="3" spans="1:7" x14ac:dyDescent="0.35">
      <c r="A3" s="3" t="s">
        <v>10</v>
      </c>
      <c r="B3" s="2">
        <v>0.60075314379442313</v>
      </c>
      <c r="C3" s="2">
        <v>0.71701749589939856</v>
      </c>
      <c r="D3" s="2">
        <v>3.7998906506287589</v>
      </c>
      <c r="E3" s="2">
        <v>200.9965828321487</v>
      </c>
      <c r="F3" s="2">
        <v>3.4382176052487701</v>
      </c>
      <c r="G3" s="2">
        <v>9.0213231273920183E-3</v>
      </c>
    </row>
    <row r="4" spans="1:7" x14ac:dyDescent="0.35">
      <c r="A4" s="3" t="s">
        <v>11</v>
      </c>
      <c r="B4" s="2">
        <v>0.62181663046850766</v>
      </c>
      <c r="C4" s="2">
        <v>0.71732237046230218</v>
      </c>
      <c r="D4" s="2">
        <v>3.813527769159168</v>
      </c>
      <c r="E4" s="2">
        <v>201.33834936394661</v>
      </c>
      <c r="F4" s="2">
        <v>3.5290102389078499</v>
      </c>
      <c r="G4" s="2">
        <v>2.807942910331989E-2</v>
      </c>
    </row>
  </sheetData>
  <autoFilter ref="A1:G4" xr:uid="{00000000-0001-0000-0100-000000000000}"/>
  <conditionalFormatting sqref="B2:B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B1" sqref="B1"/>
    </sheetView>
  </sheetViews>
  <sheetFormatPr defaultRowHeight="14.5" x14ac:dyDescent="0.35"/>
  <cols>
    <col min="1" max="1" width="11.90625" bestFit="1" customWidth="1"/>
    <col min="2" max="2" width="15.36328125" bestFit="1" customWidth="1"/>
    <col min="3" max="3" width="13.7265625" bestFit="1" customWidth="1"/>
    <col min="4" max="4" width="14.54296875" bestFit="1" customWidth="1"/>
    <col min="5" max="5" width="20.26953125" bestFit="1" customWidth="1"/>
    <col min="6" max="6" width="19.54296875" bestFit="1" customWidth="1"/>
    <col min="7" max="7" width="20.453125" bestFit="1" customWidth="1"/>
  </cols>
  <sheetData>
    <row r="1" spans="1:7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s="1" t="s">
        <v>8</v>
      </c>
      <c r="B2">
        <v>0.61814180929095353</v>
      </c>
      <c r="C2">
        <v>0.71682966585167074</v>
      </c>
      <c r="D2">
        <v>3.8166259168704162</v>
      </c>
      <c r="E2">
        <v>202.21597392013041</v>
      </c>
      <c r="F2">
        <v>3.468622656886716</v>
      </c>
      <c r="G2">
        <v>2.4449877750611251E-3</v>
      </c>
    </row>
    <row r="3" spans="1:7" x14ac:dyDescent="0.35">
      <c r="A3" s="1" t="s">
        <v>12</v>
      </c>
      <c r="B3">
        <v>0.61982210927573067</v>
      </c>
      <c r="C3">
        <v>0.7121219822109276</v>
      </c>
      <c r="D3">
        <v>3.8538754764930121</v>
      </c>
      <c r="E3">
        <v>200.80050825921219</v>
      </c>
      <c r="F3">
        <v>3.367217280813215</v>
      </c>
      <c r="G3">
        <v>3.4307496823379927E-2</v>
      </c>
    </row>
    <row r="4" spans="1:7" x14ac:dyDescent="0.35">
      <c r="A4" s="1" t="s">
        <v>13</v>
      </c>
      <c r="B4">
        <v>0.58215123859191653</v>
      </c>
      <c r="C4">
        <v>0.71771838331160365</v>
      </c>
      <c r="D4">
        <v>3.8252933507170801</v>
      </c>
      <c r="E4">
        <v>201.1629726205997</v>
      </c>
      <c r="F4">
        <v>3.5228161668839642</v>
      </c>
      <c r="G4">
        <v>1.825293350717079E-2</v>
      </c>
    </row>
    <row r="5" spans="1:7" x14ac:dyDescent="0.35">
      <c r="A5" s="1" t="s">
        <v>14</v>
      </c>
      <c r="B5">
        <v>0.5988092016238159</v>
      </c>
      <c r="C5">
        <v>0.7088497970230041</v>
      </c>
      <c r="D5">
        <v>3.6549391069012178</v>
      </c>
      <c r="E5">
        <v>198.6847090663058</v>
      </c>
      <c r="F5">
        <v>3.3558863328822728</v>
      </c>
      <c r="G5">
        <v>2.0297699594046009E-2</v>
      </c>
    </row>
    <row r="6" spans="1:7" x14ac:dyDescent="0.35">
      <c r="A6" s="1" t="s">
        <v>15</v>
      </c>
      <c r="B6">
        <v>0.62134920634920632</v>
      </c>
      <c r="C6">
        <v>0.72399999999999998</v>
      </c>
      <c r="D6">
        <v>3.8603174603174599</v>
      </c>
      <c r="E6">
        <v>201.24920634920639</v>
      </c>
      <c r="F6">
        <v>4.303174603174603</v>
      </c>
      <c r="G6">
        <v>0.1095238095238095</v>
      </c>
    </row>
  </sheetData>
  <autoFilter ref="A1:G6" xr:uid="{00000000-0001-0000-0200-000000000000}"/>
  <conditionalFormatting sqref="B2:B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C14" sqref="C14"/>
    </sheetView>
  </sheetViews>
  <sheetFormatPr defaultRowHeight="14.5" x14ac:dyDescent="0.35"/>
  <cols>
    <col min="1" max="4" width="20.36328125" customWidth="1"/>
    <col min="5" max="5" width="14.7265625" customWidth="1"/>
  </cols>
  <sheetData>
    <row r="1" spans="1:5" x14ac:dyDescent="0.35">
      <c r="A1" s="1" t="s">
        <v>0</v>
      </c>
      <c r="B1" s="1" t="s">
        <v>9</v>
      </c>
      <c r="C1" s="1" t="s">
        <v>10</v>
      </c>
      <c r="D1" s="1" t="s">
        <v>11</v>
      </c>
      <c r="E1" s="6" t="s">
        <v>22</v>
      </c>
    </row>
    <row r="2" spans="1:5" x14ac:dyDescent="0.35">
      <c r="A2" s="1" t="s">
        <v>8</v>
      </c>
      <c r="B2">
        <v>83</v>
      </c>
      <c r="C2">
        <v>609</v>
      </c>
      <c r="D2">
        <v>535</v>
      </c>
      <c r="E2">
        <f>SUM(B2:D2)</f>
        <v>1227</v>
      </c>
    </row>
    <row r="3" spans="1:5" x14ac:dyDescent="0.35">
      <c r="A3" s="1" t="s">
        <v>12</v>
      </c>
      <c r="B3">
        <v>51</v>
      </c>
      <c r="C3">
        <v>364</v>
      </c>
      <c r="D3">
        <v>372</v>
      </c>
      <c r="E3">
        <f t="shared" ref="E3:E11" si="0">SUM(B3:D3)</f>
        <v>787</v>
      </c>
    </row>
    <row r="4" spans="1:5" x14ac:dyDescent="0.35">
      <c r="A4" s="1" t="s">
        <v>13</v>
      </c>
      <c r="B4">
        <v>74</v>
      </c>
      <c r="C4">
        <v>358</v>
      </c>
      <c r="D4">
        <v>335</v>
      </c>
      <c r="E4">
        <f t="shared" si="0"/>
        <v>767</v>
      </c>
    </row>
    <row r="5" spans="1:5" x14ac:dyDescent="0.35">
      <c r="A5" s="1" t="s">
        <v>14</v>
      </c>
      <c r="B5">
        <v>45</v>
      </c>
      <c r="C5">
        <v>335</v>
      </c>
      <c r="D5">
        <v>359</v>
      </c>
      <c r="E5">
        <f t="shared" si="0"/>
        <v>739</v>
      </c>
    </row>
    <row r="6" spans="1:5" x14ac:dyDescent="0.35">
      <c r="A6" s="1" t="s">
        <v>15</v>
      </c>
      <c r="B6">
        <v>225</v>
      </c>
      <c r="C6">
        <v>180</v>
      </c>
      <c r="D6">
        <v>225</v>
      </c>
      <c r="E6">
        <f t="shared" si="0"/>
        <v>630</v>
      </c>
    </row>
    <row r="7" spans="1:5" x14ac:dyDescent="0.35">
      <c r="A7" s="1" t="s">
        <v>16</v>
      </c>
      <c r="B7">
        <v>80</v>
      </c>
      <c r="C7">
        <v>402</v>
      </c>
      <c r="D7">
        <v>376</v>
      </c>
      <c r="E7">
        <f t="shared" si="0"/>
        <v>858</v>
      </c>
    </row>
    <row r="8" spans="1:5" x14ac:dyDescent="0.35">
      <c r="A8" s="1" t="s">
        <v>17</v>
      </c>
      <c r="B8">
        <v>68</v>
      </c>
      <c r="C8">
        <v>451</v>
      </c>
      <c r="D8">
        <v>383</v>
      </c>
      <c r="E8">
        <f t="shared" si="0"/>
        <v>902</v>
      </c>
    </row>
    <row r="9" spans="1:5" x14ac:dyDescent="0.35">
      <c r="A9" s="1" t="s">
        <v>18</v>
      </c>
      <c r="B9">
        <v>269</v>
      </c>
      <c r="C9">
        <v>2099</v>
      </c>
      <c r="D9">
        <v>1772</v>
      </c>
      <c r="E9">
        <f t="shared" si="0"/>
        <v>4140</v>
      </c>
    </row>
    <row r="10" spans="1:5" x14ac:dyDescent="0.35">
      <c r="A10" s="1" t="s">
        <v>19</v>
      </c>
      <c r="B10">
        <v>141</v>
      </c>
      <c r="C10">
        <v>1146</v>
      </c>
      <c r="D10">
        <v>942</v>
      </c>
      <c r="E10">
        <f t="shared" si="0"/>
        <v>2229</v>
      </c>
    </row>
    <row r="11" spans="1:5" x14ac:dyDescent="0.35">
      <c r="A11" s="1" t="s">
        <v>20</v>
      </c>
      <c r="B11">
        <v>201</v>
      </c>
      <c r="C11">
        <v>1372</v>
      </c>
      <c r="D11">
        <v>1147</v>
      </c>
      <c r="E11">
        <f t="shared" si="0"/>
        <v>2720</v>
      </c>
    </row>
  </sheetData>
  <autoFilter ref="A1:E11" xr:uid="{00000000-0001-0000-0300-000000000000}"/>
  <conditionalFormatting sqref="B2:D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{861E7FEC-336D-4B6F-8DE2-276FA423800D}</x14:id>
        </ext>
      </extLst>
    </cfRule>
  </conditionalFormatting>
  <conditionalFormatting sqref="E2:E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{84A562BE-B4FB-4884-BE83-54C3E7359EFC}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1E7FEC-336D-4B6F-8DE2-276FA42380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B2:D11</xm:sqref>
        </x14:conditionalFormatting>
        <x14:conditionalFormatting xmlns:xm="http://schemas.microsoft.com/office/excel/2006/main">
          <x14:cfRule type="dataBar" id="{84A562BE-B4FB-4884-BE83-54C3E7359E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O15" sqref="O15"/>
    </sheetView>
  </sheetViews>
  <sheetFormatPr defaultRowHeight="14.5" x14ac:dyDescent="0.35"/>
  <cols>
    <col min="1" max="11" width="9.90625" customWidth="1"/>
  </cols>
  <sheetData>
    <row r="1" spans="1:11" x14ac:dyDescent="0.35">
      <c r="A1" s="1" t="s">
        <v>1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5">
      <c r="A2" s="8" t="s">
        <v>9</v>
      </c>
      <c r="B2" s="2">
        <v>83</v>
      </c>
      <c r="C2" s="2">
        <v>51</v>
      </c>
      <c r="D2" s="2">
        <v>74</v>
      </c>
      <c r="E2" s="2">
        <v>45</v>
      </c>
      <c r="F2" s="2">
        <v>225</v>
      </c>
      <c r="G2" s="2">
        <v>80</v>
      </c>
      <c r="H2" s="2">
        <v>68</v>
      </c>
      <c r="I2" s="2">
        <v>269</v>
      </c>
      <c r="J2" s="2">
        <v>141</v>
      </c>
      <c r="K2" s="2">
        <v>201</v>
      </c>
    </row>
    <row r="3" spans="1:11" x14ac:dyDescent="0.35">
      <c r="A3" s="7" t="s">
        <v>10</v>
      </c>
      <c r="B3" s="2">
        <v>609</v>
      </c>
      <c r="C3" s="2">
        <v>364</v>
      </c>
      <c r="D3" s="2">
        <v>358</v>
      </c>
      <c r="E3" s="2">
        <v>335</v>
      </c>
      <c r="F3" s="2">
        <v>180</v>
      </c>
      <c r="G3" s="2">
        <v>402</v>
      </c>
      <c r="H3" s="2">
        <v>451</v>
      </c>
      <c r="I3" s="2">
        <v>2099</v>
      </c>
      <c r="J3" s="2">
        <v>1146</v>
      </c>
      <c r="K3" s="2">
        <v>1372</v>
      </c>
    </row>
    <row r="4" spans="1:11" x14ac:dyDescent="0.35">
      <c r="A4" s="9" t="s">
        <v>11</v>
      </c>
      <c r="B4" s="2">
        <v>535</v>
      </c>
      <c r="C4" s="2">
        <v>372</v>
      </c>
      <c r="D4" s="2">
        <v>335</v>
      </c>
      <c r="E4" s="2">
        <v>359</v>
      </c>
      <c r="F4" s="2">
        <v>225</v>
      </c>
      <c r="G4" s="2">
        <v>376</v>
      </c>
      <c r="H4" s="2">
        <v>383</v>
      </c>
      <c r="I4" s="2">
        <v>1772</v>
      </c>
      <c r="J4" s="2">
        <v>942</v>
      </c>
      <c r="K4" s="2">
        <v>1147</v>
      </c>
    </row>
  </sheetData>
  <autoFilter ref="A1:K4" xr:uid="{00000000-0001-0000-0400-000000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topLeftCell="A10" workbookViewId="0">
      <selection activeCell="J23" sqref="J23"/>
    </sheetView>
  </sheetViews>
  <sheetFormatPr defaultRowHeight="14.5" x14ac:dyDescent="0.35"/>
  <cols>
    <col min="1" max="1" width="12.08984375" bestFit="1" customWidth="1"/>
    <col min="2" max="2" width="7.54296875" customWidth="1"/>
    <col min="3" max="3" width="8.81640625" customWidth="1"/>
    <col min="4" max="4" width="12.26953125" bestFit="1" customWidth="1"/>
    <col min="5" max="6" width="15" customWidth="1"/>
    <col min="7" max="7" width="12.08984375" bestFit="1" customWidth="1"/>
    <col min="8" max="10" width="8.7265625" style="19" customWidth="1"/>
    <col min="11" max="13" width="4.81640625" bestFit="1" customWidth="1"/>
    <col min="14" max="14" width="10.7265625" bestFit="1" customWidth="1"/>
    <col min="15" max="15" width="9.54296875" bestFit="1" customWidth="1"/>
    <col min="16" max="16" width="6.6328125" bestFit="1" customWidth="1"/>
    <col min="17" max="17" width="9.54296875" bestFit="1" customWidth="1"/>
    <col min="18" max="18" width="6.6328125" bestFit="1" customWidth="1"/>
    <col min="19" max="19" width="9.54296875" bestFit="1" customWidth="1"/>
    <col min="20" max="20" width="6.6328125" bestFit="1" customWidth="1"/>
    <col min="21" max="21" width="9.54296875" bestFit="1" customWidth="1"/>
    <col min="22" max="22" width="6.6328125" bestFit="1" customWidth="1"/>
    <col min="23" max="23" width="9.54296875" bestFit="1" customWidth="1"/>
    <col min="24" max="24" width="10.7265625" bestFit="1" customWidth="1"/>
    <col min="25" max="25" width="6.6328125" bestFit="1" customWidth="1"/>
    <col min="26" max="26" width="9.54296875" bestFit="1" customWidth="1"/>
    <col min="27" max="27" width="8.54296875" bestFit="1" customWidth="1"/>
    <col min="28" max="28" width="5.6328125" bestFit="1" customWidth="1"/>
    <col min="29" max="30" width="8.54296875" bestFit="1" customWidth="1"/>
    <col min="31" max="31" width="6.6328125" bestFit="1" customWidth="1"/>
    <col min="32" max="33" width="9.54296875" bestFit="1" customWidth="1"/>
    <col min="34" max="34" width="10.7265625" bestFit="1" customWidth="1"/>
  </cols>
  <sheetData>
    <row r="1" spans="1:10" x14ac:dyDescent="0.35">
      <c r="A1" s="1" t="s">
        <v>0</v>
      </c>
      <c r="B1" s="1" t="s">
        <v>9</v>
      </c>
      <c r="C1" s="1" t="s">
        <v>10</v>
      </c>
      <c r="D1" s="1" t="s">
        <v>11</v>
      </c>
      <c r="E1" s="20" t="s">
        <v>22</v>
      </c>
      <c r="F1" s="22"/>
      <c r="G1" s="1" t="s">
        <v>0</v>
      </c>
      <c r="H1" s="21" t="s">
        <v>23</v>
      </c>
      <c r="I1" s="21" t="s">
        <v>24</v>
      </c>
      <c r="J1" s="21" t="s">
        <v>25</v>
      </c>
    </row>
    <row r="2" spans="1:10" x14ac:dyDescent="0.35">
      <c r="A2" s="1" t="s">
        <v>8</v>
      </c>
      <c r="B2" s="2">
        <v>321</v>
      </c>
      <c r="C2" s="2">
        <v>2311</v>
      </c>
      <c r="D2" s="2">
        <v>2051</v>
      </c>
      <c r="E2" s="2">
        <f>SUM(B2:D2)</f>
        <v>4683</v>
      </c>
      <c r="F2" s="23"/>
      <c r="G2" s="1" t="s">
        <v>8</v>
      </c>
      <c r="H2" s="21">
        <f>B2/E2</f>
        <v>6.8545803971812938E-2</v>
      </c>
      <c r="I2" s="21">
        <f>C2/E2</f>
        <v>0.49348708093102711</v>
      </c>
      <c r="J2" s="21">
        <f>D2/E2</f>
        <v>0.43796711509715996</v>
      </c>
    </row>
    <row r="3" spans="1:10" x14ac:dyDescent="0.35">
      <c r="A3" s="1" t="s">
        <v>12</v>
      </c>
      <c r="B3" s="2">
        <v>192</v>
      </c>
      <c r="C3" s="2">
        <v>1385</v>
      </c>
      <c r="D3" s="2">
        <v>1456</v>
      </c>
      <c r="E3" s="2">
        <f t="shared" ref="E3:E11" si="0">SUM(B3:D3)</f>
        <v>3033</v>
      </c>
      <c r="F3" s="23"/>
      <c r="G3" s="1" t="s">
        <v>12</v>
      </c>
      <c r="H3" s="21">
        <f t="shared" ref="H3:H11" si="1">B3/E3</f>
        <v>6.330365974282888E-2</v>
      </c>
      <c r="I3" s="21">
        <f t="shared" ref="I3:I11" si="2">C3/E3</f>
        <v>0.4566435872073854</v>
      </c>
      <c r="J3" s="21">
        <f t="shared" ref="J3:J11" si="3">D3/E3</f>
        <v>0.48005275304978567</v>
      </c>
    </row>
    <row r="4" spans="1:10" x14ac:dyDescent="0.35">
      <c r="A4" s="1" t="s">
        <v>13</v>
      </c>
      <c r="B4" s="2">
        <v>289</v>
      </c>
      <c r="C4" s="2">
        <v>1361</v>
      </c>
      <c r="D4" s="2">
        <v>1284</v>
      </c>
      <c r="E4" s="2">
        <f t="shared" si="0"/>
        <v>2934</v>
      </c>
      <c r="F4" s="23"/>
      <c r="G4" s="1" t="s">
        <v>13</v>
      </c>
      <c r="H4" s="21">
        <f t="shared" si="1"/>
        <v>9.8500340831629174E-2</v>
      </c>
      <c r="I4" s="21">
        <f t="shared" si="2"/>
        <v>0.46387184730743014</v>
      </c>
      <c r="J4" s="21">
        <f t="shared" si="3"/>
        <v>0.43762781186094069</v>
      </c>
    </row>
    <row r="5" spans="1:10" x14ac:dyDescent="0.35">
      <c r="A5" s="1" t="s">
        <v>14</v>
      </c>
      <c r="B5" s="2">
        <v>175</v>
      </c>
      <c r="C5" s="2">
        <v>1237</v>
      </c>
      <c r="D5" s="2">
        <v>1289</v>
      </c>
      <c r="E5" s="2">
        <f t="shared" si="0"/>
        <v>2701</v>
      </c>
      <c r="F5" s="23"/>
      <c r="G5" s="1" t="s">
        <v>14</v>
      </c>
      <c r="H5" s="21">
        <f t="shared" si="1"/>
        <v>6.4790818215475748E-2</v>
      </c>
      <c r="I5" s="21">
        <f t="shared" si="2"/>
        <v>0.45797852647167714</v>
      </c>
      <c r="J5" s="21">
        <f t="shared" si="3"/>
        <v>0.47723065531284709</v>
      </c>
    </row>
    <row r="6" spans="1:10" x14ac:dyDescent="0.35">
      <c r="A6" s="1" t="s">
        <v>15</v>
      </c>
      <c r="B6" s="2">
        <v>850</v>
      </c>
      <c r="C6" s="2">
        <v>680</v>
      </c>
      <c r="D6" s="2">
        <v>902</v>
      </c>
      <c r="E6" s="2">
        <f t="shared" si="0"/>
        <v>2432</v>
      </c>
      <c r="F6" s="23"/>
      <c r="G6" s="1" t="s">
        <v>15</v>
      </c>
      <c r="H6" s="21">
        <f t="shared" si="1"/>
        <v>0.34950657894736842</v>
      </c>
      <c r="I6" s="21">
        <f t="shared" si="2"/>
        <v>0.27960526315789475</v>
      </c>
      <c r="J6" s="21">
        <f t="shared" si="3"/>
        <v>0.37088815789473684</v>
      </c>
    </row>
    <row r="7" spans="1:10" x14ac:dyDescent="0.35">
      <c r="A7" s="1" t="s">
        <v>16</v>
      </c>
      <c r="B7" s="2">
        <v>274</v>
      </c>
      <c r="C7" s="2">
        <v>1508</v>
      </c>
      <c r="D7" s="2">
        <v>1382</v>
      </c>
      <c r="E7" s="2">
        <f t="shared" si="0"/>
        <v>3164</v>
      </c>
      <c r="F7" s="23"/>
      <c r="G7" s="1" t="s">
        <v>16</v>
      </c>
      <c r="H7" s="21">
        <f t="shared" si="1"/>
        <v>8.6599241466498098E-2</v>
      </c>
      <c r="I7" s="21">
        <f t="shared" si="2"/>
        <v>0.47661188369152974</v>
      </c>
      <c r="J7" s="21">
        <f t="shared" si="3"/>
        <v>0.43678887484197221</v>
      </c>
    </row>
    <row r="8" spans="1:10" x14ac:dyDescent="0.35">
      <c r="A8" s="1" t="s">
        <v>17</v>
      </c>
      <c r="B8" s="2">
        <v>252</v>
      </c>
      <c r="C8" s="2">
        <v>1725</v>
      </c>
      <c r="D8" s="2">
        <v>1457</v>
      </c>
      <c r="E8" s="2">
        <f t="shared" si="0"/>
        <v>3434</v>
      </c>
      <c r="F8" s="23"/>
      <c r="G8" s="1" t="s">
        <v>17</v>
      </c>
      <c r="H8" s="21">
        <f t="shared" si="1"/>
        <v>7.3383808969132214E-2</v>
      </c>
      <c r="I8" s="21">
        <f t="shared" si="2"/>
        <v>0.50232964472917885</v>
      </c>
      <c r="J8" s="21">
        <f t="shared" si="3"/>
        <v>0.42428654630168899</v>
      </c>
    </row>
    <row r="9" spans="1:10" x14ac:dyDescent="0.35">
      <c r="A9" s="1" t="s">
        <v>18</v>
      </c>
      <c r="B9" s="2">
        <v>1038</v>
      </c>
      <c r="C9" s="2">
        <v>7888</v>
      </c>
      <c r="D9" s="2">
        <v>6708</v>
      </c>
      <c r="E9" s="2">
        <f t="shared" si="0"/>
        <v>15634</v>
      </c>
      <c r="F9" s="23"/>
      <c r="G9" s="1" t="s">
        <v>18</v>
      </c>
      <c r="H9" s="21">
        <f t="shared" si="1"/>
        <v>6.6393757195855191E-2</v>
      </c>
      <c r="I9" s="21">
        <f t="shared" si="2"/>
        <v>0.50454138416272232</v>
      </c>
      <c r="J9" s="21">
        <f t="shared" si="3"/>
        <v>0.42906485864142252</v>
      </c>
    </row>
    <row r="10" spans="1:10" x14ac:dyDescent="0.35">
      <c r="A10" s="1" t="s">
        <v>19</v>
      </c>
      <c r="B10" s="2">
        <v>535</v>
      </c>
      <c r="C10" s="2">
        <v>4340</v>
      </c>
      <c r="D10" s="2">
        <v>3604</v>
      </c>
      <c r="E10" s="2">
        <f t="shared" si="0"/>
        <v>8479</v>
      </c>
      <c r="F10" s="23"/>
      <c r="G10" s="1" t="s">
        <v>19</v>
      </c>
      <c r="H10" s="21">
        <f t="shared" si="1"/>
        <v>6.3097063332940212E-2</v>
      </c>
      <c r="I10" s="21">
        <f t="shared" si="2"/>
        <v>0.51185281283170181</v>
      </c>
      <c r="J10" s="21">
        <f t="shared" si="3"/>
        <v>0.42505012383535795</v>
      </c>
    </row>
    <row r="11" spans="1:10" x14ac:dyDescent="0.35">
      <c r="A11" s="1" t="s">
        <v>20</v>
      </c>
      <c r="B11" s="2">
        <v>734</v>
      </c>
      <c r="C11" s="2">
        <v>5365</v>
      </c>
      <c r="D11" s="2">
        <v>4449</v>
      </c>
      <c r="E11" s="2">
        <f t="shared" si="0"/>
        <v>10548</v>
      </c>
      <c r="F11" s="23"/>
      <c r="G11" s="1" t="s">
        <v>20</v>
      </c>
      <c r="H11" s="21">
        <f t="shared" si="1"/>
        <v>6.9586651497914292E-2</v>
      </c>
      <c r="I11" s="21">
        <f t="shared" si="2"/>
        <v>0.50862722791050441</v>
      </c>
      <c r="J11" s="21">
        <f t="shared" si="3"/>
        <v>0.42178612059158133</v>
      </c>
    </row>
    <row r="17" spans="1:7" x14ac:dyDescent="0.35">
      <c r="A17" s="10"/>
      <c r="B17" s="11"/>
      <c r="C17" s="12"/>
      <c r="G17" s="10"/>
    </row>
    <row r="18" spans="1:7" x14ac:dyDescent="0.35">
      <c r="A18" s="13"/>
      <c r="B18" s="14"/>
      <c r="C18" s="15"/>
      <c r="G18" s="13"/>
    </row>
    <row r="19" spans="1:7" x14ac:dyDescent="0.35">
      <c r="A19" s="13"/>
      <c r="B19" s="14"/>
      <c r="C19" s="15"/>
      <c r="G19" s="13"/>
    </row>
    <row r="20" spans="1:7" x14ac:dyDescent="0.35">
      <c r="A20" s="13"/>
      <c r="B20" s="14"/>
      <c r="C20" s="15"/>
      <c r="G20" s="13"/>
    </row>
    <row r="21" spans="1:7" x14ac:dyDescent="0.35">
      <c r="A21" s="13"/>
      <c r="B21" s="14"/>
      <c r="C21" s="15"/>
      <c r="G21" s="13"/>
    </row>
    <row r="22" spans="1:7" x14ac:dyDescent="0.35">
      <c r="A22" s="13"/>
      <c r="B22" s="14"/>
      <c r="C22" s="15"/>
      <c r="G22" s="13"/>
    </row>
    <row r="23" spans="1:7" x14ac:dyDescent="0.35">
      <c r="A23" s="13"/>
      <c r="B23" s="14"/>
      <c r="C23" s="15"/>
      <c r="G23" s="13"/>
    </row>
    <row r="24" spans="1:7" x14ac:dyDescent="0.35">
      <c r="A24" s="13"/>
      <c r="B24" s="14"/>
      <c r="C24" s="15"/>
      <c r="G24" s="13"/>
    </row>
    <row r="25" spans="1:7" x14ac:dyDescent="0.35">
      <c r="A25" s="13"/>
      <c r="B25" s="14"/>
      <c r="C25" s="15"/>
      <c r="G25" s="13"/>
    </row>
    <row r="26" spans="1:7" x14ac:dyDescent="0.35">
      <c r="A26" s="13"/>
      <c r="B26" s="14"/>
      <c r="C26" s="15"/>
      <c r="G26" s="13"/>
    </row>
    <row r="27" spans="1:7" x14ac:dyDescent="0.35">
      <c r="A27" s="13"/>
      <c r="B27" s="14"/>
      <c r="C27" s="15"/>
      <c r="G27" s="13"/>
    </row>
    <row r="28" spans="1:7" x14ac:dyDescent="0.35">
      <c r="A28" s="13"/>
      <c r="B28" s="14"/>
      <c r="C28" s="15"/>
      <c r="G28" s="13"/>
    </row>
    <row r="29" spans="1:7" x14ac:dyDescent="0.35">
      <c r="A29" s="13"/>
      <c r="B29" s="14"/>
      <c r="C29" s="15"/>
      <c r="G29" s="13"/>
    </row>
    <row r="30" spans="1:7" x14ac:dyDescent="0.35">
      <c r="A30" s="13"/>
      <c r="B30" s="14"/>
      <c r="C30" s="15"/>
      <c r="G30" s="13"/>
    </row>
    <row r="31" spans="1:7" x14ac:dyDescent="0.35">
      <c r="A31" s="13"/>
      <c r="B31" s="14"/>
      <c r="C31" s="15"/>
      <c r="G31" s="13"/>
    </row>
    <row r="32" spans="1:7" x14ac:dyDescent="0.35">
      <c r="A32" s="13"/>
      <c r="B32" s="14"/>
      <c r="C32" s="15"/>
      <c r="G32" s="13"/>
    </row>
    <row r="33" spans="1:7" x14ac:dyDescent="0.35">
      <c r="A33" s="13"/>
      <c r="B33" s="14"/>
      <c r="C33" s="15"/>
      <c r="G33" s="13"/>
    </row>
    <row r="34" spans="1:7" x14ac:dyDescent="0.35">
      <c r="A34" s="16"/>
      <c r="B34" s="17"/>
      <c r="C34" s="18"/>
      <c r="G34" s="16"/>
    </row>
  </sheetData>
  <autoFilter ref="A1:D11" xr:uid="{00000000-0001-0000-0500-000000000000}"/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HR_DEPARTMENT_SALARY_MEAN</vt:lpstr>
      <vt:lpstr>HR_SALARY_MEAN</vt:lpstr>
      <vt:lpstr>HR_DEPARTMENT_MEAN</vt:lpstr>
      <vt:lpstr>HR_SALARY_CAT_BY_DEPARTMENT</vt:lpstr>
      <vt:lpstr>HR_SALARY_CAT_IN_DEPARTMENT</vt:lpstr>
      <vt:lpstr>HR_NUMBER_OF_PROJECTS_BY_DEPART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Bane Andriana Kuzmanovic</cp:lastModifiedBy>
  <dcterms:created xsi:type="dcterms:W3CDTF">2025-03-23T11:38:42Z</dcterms:created>
  <dcterms:modified xsi:type="dcterms:W3CDTF">2025-03-23T12:10:27Z</dcterms:modified>
</cp:coreProperties>
</file>