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GODISNJI ODMORI I OBRACUN ZARADA/"/>
    </mc:Choice>
  </mc:AlternateContent>
  <xr:revisionPtr revIDLastSave="663" documentId="14_{FB069A01-B87F-4F6B-A112-297BACC7CC1F}" xr6:coauthVersionLast="47" xr6:coauthVersionMax="47" xr10:uidLastSave="{0E80AFF5-F3C9-44CF-9DA2-C99108C855D7}"/>
  <bookViews>
    <workbookView xWindow="-110" yWindow="-110" windowWidth="19420" windowHeight="11500" xr2:uid="{35EB28B9-A401-4E99-ABAC-5CFC605903A0}"/>
  </bookViews>
  <sheets>
    <sheet name="KALENDAR GODISNJIH ODMORA" sheetId="1" r:id="rId1"/>
    <sheet name="LISTA MESECI" sheetId="6" r:id="rId2"/>
    <sheet name="TIP ODSUSTVA" sheetId="2" r:id="rId3"/>
  </sheets>
  <definedNames>
    <definedName name="_xlnm._FilterDatabase" localSheetId="0" hidden="1">'KALENDAR GODISNJIH ODMORA'!$A$5:$NJ$5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A6" i="1" s="1"/>
  <c r="C7" i="1"/>
  <c r="C8" i="1"/>
  <c r="A8" i="1" s="1"/>
  <c r="C9" i="1"/>
  <c r="A9" i="1" s="1"/>
  <c r="C10" i="1"/>
  <c r="C11" i="1"/>
  <c r="C12" i="1"/>
  <c r="A12" i="1" s="1"/>
  <c r="C13" i="1"/>
  <c r="C14" i="1"/>
  <c r="A14" i="1" s="1"/>
  <c r="C15" i="1"/>
  <c r="C16" i="1"/>
  <c r="C17" i="1"/>
  <c r="C18" i="1"/>
  <c r="A18" i="1" s="1"/>
  <c r="C19" i="1"/>
  <c r="C20" i="1"/>
  <c r="C21" i="1"/>
  <c r="A21" i="1" s="1"/>
  <c r="C22" i="1"/>
  <c r="C23" i="1"/>
  <c r="C24" i="1"/>
  <c r="A24" i="1" s="1"/>
  <c r="C25" i="1"/>
  <c r="C26" i="1"/>
  <c r="A26" i="1" s="1"/>
  <c r="C27" i="1"/>
  <c r="C28" i="1"/>
  <c r="C29" i="1"/>
  <c r="C30" i="1"/>
  <c r="A30" i="1" s="1"/>
  <c r="C31" i="1"/>
  <c r="C32" i="1"/>
  <c r="C33" i="1"/>
  <c r="A33" i="1" s="1"/>
  <c r="C34" i="1"/>
  <c r="C35" i="1"/>
  <c r="C36" i="1"/>
  <c r="A36" i="1" s="1"/>
  <c r="C37" i="1"/>
  <c r="C38" i="1"/>
  <c r="A38" i="1" s="1"/>
  <c r="C39" i="1"/>
  <c r="C40" i="1"/>
  <c r="C41" i="1"/>
  <c r="C42" i="1"/>
  <c r="A42" i="1" s="1"/>
  <c r="C43" i="1"/>
  <c r="C44" i="1"/>
  <c r="C45" i="1"/>
  <c r="A45" i="1" s="1"/>
  <c r="C46" i="1"/>
  <c r="C47" i="1"/>
  <c r="C48" i="1"/>
  <c r="A48" i="1" s="1"/>
  <c r="C49" i="1"/>
  <c r="C50" i="1"/>
  <c r="A50" i="1" s="1"/>
  <c r="C51" i="1"/>
  <c r="C52" i="1"/>
  <c r="C53" i="1"/>
  <c r="C54" i="1"/>
  <c r="A54" i="1" s="1"/>
  <c r="C55" i="1"/>
  <c r="C56" i="1"/>
  <c r="C57" i="1"/>
  <c r="A57" i="1" s="1"/>
  <c r="C58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GJ59" i="1"/>
  <c r="GK59" i="1"/>
  <c r="GL59" i="1"/>
  <c r="GM59" i="1"/>
  <c r="GN59" i="1"/>
  <c r="GO59" i="1"/>
  <c r="GP59" i="1"/>
  <c r="GQ59" i="1"/>
  <c r="GR59" i="1"/>
  <c r="GS59" i="1"/>
  <c r="GT59" i="1"/>
  <c r="GU59" i="1"/>
  <c r="GV59" i="1"/>
  <c r="GW59" i="1"/>
  <c r="GX59" i="1"/>
  <c r="GY59" i="1"/>
  <c r="GZ59" i="1"/>
  <c r="HA59" i="1"/>
  <c r="HB59" i="1"/>
  <c r="HC59" i="1"/>
  <c r="HD59" i="1"/>
  <c r="HE59" i="1"/>
  <c r="HF59" i="1"/>
  <c r="HG59" i="1"/>
  <c r="HH59" i="1"/>
  <c r="HI59" i="1"/>
  <c r="HJ59" i="1"/>
  <c r="HK59" i="1"/>
  <c r="HL59" i="1"/>
  <c r="HM59" i="1"/>
  <c r="HN59" i="1"/>
  <c r="HO59" i="1"/>
  <c r="HP59" i="1"/>
  <c r="HQ59" i="1"/>
  <c r="HR59" i="1"/>
  <c r="HS59" i="1"/>
  <c r="HT59" i="1"/>
  <c r="HU59" i="1"/>
  <c r="HV59" i="1"/>
  <c r="HW59" i="1"/>
  <c r="HX59" i="1"/>
  <c r="HY59" i="1"/>
  <c r="HZ59" i="1"/>
  <c r="IA59" i="1"/>
  <c r="IB59" i="1"/>
  <c r="IC59" i="1"/>
  <c r="ID59" i="1"/>
  <c r="IE59" i="1"/>
  <c r="IF59" i="1"/>
  <c r="IG59" i="1"/>
  <c r="IH59" i="1"/>
  <c r="II59" i="1"/>
  <c r="IJ59" i="1"/>
  <c r="IK59" i="1"/>
  <c r="IL59" i="1"/>
  <c r="IM59" i="1"/>
  <c r="IN59" i="1"/>
  <c r="IO59" i="1"/>
  <c r="IP59" i="1"/>
  <c r="IQ59" i="1"/>
  <c r="IR59" i="1"/>
  <c r="IS59" i="1"/>
  <c r="IT59" i="1"/>
  <c r="IU59" i="1"/>
  <c r="IV59" i="1"/>
  <c r="IW59" i="1"/>
  <c r="IX59" i="1"/>
  <c r="IY59" i="1"/>
  <c r="IZ59" i="1"/>
  <c r="JA59" i="1"/>
  <c r="JB59" i="1"/>
  <c r="JC59" i="1"/>
  <c r="JD59" i="1"/>
  <c r="JE59" i="1"/>
  <c r="JF59" i="1"/>
  <c r="JG59" i="1"/>
  <c r="JH59" i="1"/>
  <c r="JI59" i="1"/>
  <c r="JJ59" i="1"/>
  <c r="JK59" i="1"/>
  <c r="JL59" i="1"/>
  <c r="JM59" i="1"/>
  <c r="JN59" i="1"/>
  <c r="JO59" i="1"/>
  <c r="JP59" i="1"/>
  <c r="JQ59" i="1"/>
  <c r="JR59" i="1"/>
  <c r="JS59" i="1"/>
  <c r="JT59" i="1"/>
  <c r="JU59" i="1"/>
  <c r="JV59" i="1"/>
  <c r="JW59" i="1"/>
  <c r="JX59" i="1"/>
  <c r="JY59" i="1"/>
  <c r="JZ59" i="1"/>
  <c r="KA59" i="1"/>
  <c r="KB59" i="1"/>
  <c r="KC59" i="1"/>
  <c r="KD59" i="1"/>
  <c r="KE59" i="1"/>
  <c r="KF59" i="1"/>
  <c r="KG59" i="1"/>
  <c r="KH59" i="1"/>
  <c r="KI59" i="1"/>
  <c r="KJ59" i="1"/>
  <c r="KK59" i="1"/>
  <c r="KL59" i="1"/>
  <c r="KM59" i="1"/>
  <c r="KN59" i="1"/>
  <c r="KO59" i="1"/>
  <c r="KP59" i="1"/>
  <c r="KQ59" i="1"/>
  <c r="KR59" i="1"/>
  <c r="KS59" i="1"/>
  <c r="KT59" i="1"/>
  <c r="KU59" i="1"/>
  <c r="KV59" i="1"/>
  <c r="KW59" i="1"/>
  <c r="KX59" i="1"/>
  <c r="KY59" i="1"/>
  <c r="KZ59" i="1"/>
  <c r="LA59" i="1"/>
  <c r="LB59" i="1"/>
  <c r="LC59" i="1"/>
  <c r="LD59" i="1"/>
  <c r="LE59" i="1"/>
  <c r="LF59" i="1"/>
  <c r="LG59" i="1"/>
  <c r="LH59" i="1"/>
  <c r="LI59" i="1"/>
  <c r="LJ59" i="1"/>
  <c r="LK59" i="1"/>
  <c r="LL59" i="1"/>
  <c r="LM59" i="1"/>
  <c r="LN59" i="1"/>
  <c r="LO59" i="1"/>
  <c r="LP59" i="1"/>
  <c r="LQ59" i="1"/>
  <c r="LR59" i="1"/>
  <c r="LS59" i="1"/>
  <c r="LT59" i="1"/>
  <c r="LU59" i="1"/>
  <c r="LV59" i="1"/>
  <c r="LW59" i="1"/>
  <c r="LX59" i="1"/>
  <c r="LY59" i="1"/>
  <c r="LZ59" i="1"/>
  <c r="MA59" i="1"/>
  <c r="MB59" i="1"/>
  <c r="MC59" i="1"/>
  <c r="MD59" i="1"/>
  <c r="ME59" i="1"/>
  <c r="MF59" i="1"/>
  <c r="MG59" i="1"/>
  <c r="MH59" i="1"/>
  <c r="MI59" i="1"/>
  <c r="MJ59" i="1"/>
  <c r="MK59" i="1"/>
  <c r="ML59" i="1"/>
  <c r="MM59" i="1"/>
  <c r="MN59" i="1"/>
  <c r="MO59" i="1"/>
  <c r="MP59" i="1"/>
  <c r="MQ59" i="1"/>
  <c r="MR59" i="1"/>
  <c r="MS59" i="1"/>
  <c r="MT59" i="1"/>
  <c r="MU59" i="1"/>
  <c r="MV59" i="1"/>
  <c r="MW59" i="1"/>
  <c r="MX59" i="1"/>
  <c r="MY59" i="1"/>
  <c r="MZ59" i="1"/>
  <c r="NA59" i="1"/>
  <c r="NB59" i="1"/>
  <c r="NC59" i="1"/>
  <c r="ND59" i="1"/>
  <c r="NE59" i="1"/>
  <c r="NF59" i="1"/>
  <c r="NG59" i="1"/>
  <c r="NH59" i="1"/>
  <c r="NI59" i="1"/>
  <c r="NJ59" i="1"/>
  <c r="J59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DQ1" i="1"/>
  <c r="DR1" i="1"/>
  <c r="DS1" i="1"/>
  <c r="DT1" i="1"/>
  <c r="DU1" i="1"/>
  <c r="DV1" i="1"/>
  <c r="DW1" i="1"/>
  <c r="DX1" i="1"/>
  <c r="DY1" i="1"/>
  <c r="DZ1" i="1"/>
  <c r="EA1" i="1"/>
  <c r="EB1" i="1"/>
  <c r="EC1" i="1"/>
  <c r="ED1" i="1"/>
  <c r="EE1" i="1"/>
  <c r="EF1" i="1"/>
  <c r="EG1" i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EV1" i="1"/>
  <c r="EW1" i="1"/>
  <c r="EX1" i="1"/>
  <c r="EY1" i="1"/>
  <c r="EZ1" i="1"/>
  <c r="FA1" i="1"/>
  <c r="FB1" i="1"/>
  <c r="FC1" i="1"/>
  <c r="FD1" i="1"/>
  <c r="FE1" i="1"/>
  <c r="FF1" i="1"/>
  <c r="FG1" i="1"/>
  <c r="FH1" i="1"/>
  <c r="FI1" i="1"/>
  <c r="FJ1" i="1"/>
  <c r="FK1" i="1"/>
  <c r="FL1" i="1"/>
  <c r="FM1" i="1"/>
  <c r="FN1" i="1"/>
  <c r="FO1" i="1"/>
  <c r="FP1" i="1"/>
  <c r="FQ1" i="1"/>
  <c r="FR1" i="1"/>
  <c r="FS1" i="1"/>
  <c r="FT1" i="1"/>
  <c r="FU1" i="1"/>
  <c r="FV1" i="1"/>
  <c r="FW1" i="1"/>
  <c r="FX1" i="1"/>
  <c r="FY1" i="1"/>
  <c r="FZ1" i="1"/>
  <c r="GA1" i="1"/>
  <c r="GB1" i="1"/>
  <c r="GC1" i="1"/>
  <c r="GD1" i="1"/>
  <c r="GE1" i="1"/>
  <c r="GF1" i="1"/>
  <c r="GG1" i="1"/>
  <c r="GH1" i="1"/>
  <c r="GI1" i="1"/>
  <c r="GJ1" i="1"/>
  <c r="GK1" i="1"/>
  <c r="GL1" i="1"/>
  <c r="GM1" i="1"/>
  <c r="GN1" i="1"/>
  <c r="GO1" i="1"/>
  <c r="GP1" i="1"/>
  <c r="GQ1" i="1"/>
  <c r="GR1" i="1"/>
  <c r="GS1" i="1"/>
  <c r="GT1" i="1"/>
  <c r="GU1" i="1"/>
  <c r="GV1" i="1"/>
  <c r="GW1" i="1"/>
  <c r="GX1" i="1"/>
  <c r="GY1" i="1"/>
  <c r="GZ1" i="1"/>
  <c r="HA1" i="1"/>
  <c r="HB1" i="1"/>
  <c r="HC1" i="1"/>
  <c r="HD1" i="1"/>
  <c r="HE1" i="1"/>
  <c r="HF1" i="1"/>
  <c r="HG1" i="1"/>
  <c r="HH1" i="1"/>
  <c r="HI1" i="1"/>
  <c r="HJ1" i="1"/>
  <c r="HK1" i="1"/>
  <c r="HL1" i="1"/>
  <c r="HM1" i="1"/>
  <c r="HN1" i="1"/>
  <c r="HO1" i="1"/>
  <c r="HP1" i="1"/>
  <c r="HQ1" i="1"/>
  <c r="HR1" i="1"/>
  <c r="HS1" i="1"/>
  <c r="HT1" i="1"/>
  <c r="HU1" i="1"/>
  <c r="HV1" i="1"/>
  <c r="HW1" i="1"/>
  <c r="HX1" i="1"/>
  <c r="HY1" i="1"/>
  <c r="HZ1" i="1"/>
  <c r="IA1" i="1"/>
  <c r="IB1" i="1"/>
  <c r="IC1" i="1"/>
  <c r="ID1" i="1"/>
  <c r="IE1" i="1"/>
  <c r="IF1" i="1"/>
  <c r="IG1" i="1"/>
  <c r="IH1" i="1"/>
  <c r="II1" i="1"/>
  <c r="IJ1" i="1"/>
  <c r="IK1" i="1"/>
  <c r="IL1" i="1"/>
  <c r="IM1" i="1"/>
  <c r="IN1" i="1"/>
  <c r="IO1" i="1"/>
  <c r="IP1" i="1"/>
  <c r="IQ1" i="1"/>
  <c r="IR1" i="1"/>
  <c r="IS1" i="1"/>
  <c r="IT1" i="1"/>
  <c r="IU1" i="1"/>
  <c r="IV1" i="1"/>
  <c r="IW1" i="1"/>
  <c r="IX1" i="1"/>
  <c r="IY1" i="1"/>
  <c r="IZ1" i="1"/>
  <c r="JA1" i="1"/>
  <c r="JB1" i="1"/>
  <c r="JC1" i="1"/>
  <c r="JD1" i="1"/>
  <c r="JE1" i="1"/>
  <c r="JF1" i="1"/>
  <c r="JG1" i="1"/>
  <c r="JH1" i="1"/>
  <c r="JI1" i="1"/>
  <c r="JJ1" i="1"/>
  <c r="JK1" i="1"/>
  <c r="JL1" i="1"/>
  <c r="JM1" i="1"/>
  <c r="JN1" i="1"/>
  <c r="JO1" i="1"/>
  <c r="JP1" i="1"/>
  <c r="JQ1" i="1"/>
  <c r="JR1" i="1"/>
  <c r="JS1" i="1"/>
  <c r="JT1" i="1"/>
  <c r="JU1" i="1"/>
  <c r="JV1" i="1"/>
  <c r="JW1" i="1"/>
  <c r="JX1" i="1"/>
  <c r="JY1" i="1"/>
  <c r="JZ1" i="1"/>
  <c r="KA1" i="1"/>
  <c r="KB1" i="1"/>
  <c r="KC1" i="1"/>
  <c r="KD1" i="1"/>
  <c r="KE1" i="1"/>
  <c r="KF1" i="1"/>
  <c r="KG1" i="1"/>
  <c r="KH1" i="1"/>
  <c r="KI1" i="1"/>
  <c r="KJ1" i="1"/>
  <c r="KK1" i="1"/>
  <c r="KL1" i="1"/>
  <c r="KM1" i="1"/>
  <c r="KN1" i="1"/>
  <c r="KO1" i="1"/>
  <c r="KP1" i="1"/>
  <c r="KQ1" i="1"/>
  <c r="KR1" i="1"/>
  <c r="KS1" i="1"/>
  <c r="KT1" i="1"/>
  <c r="KU1" i="1"/>
  <c r="KV1" i="1"/>
  <c r="KW1" i="1"/>
  <c r="KX1" i="1"/>
  <c r="KY1" i="1"/>
  <c r="KZ1" i="1"/>
  <c r="LA1" i="1"/>
  <c r="LB1" i="1"/>
  <c r="LC1" i="1"/>
  <c r="LD1" i="1"/>
  <c r="LE1" i="1"/>
  <c r="LF1" i="1"/>
  <c r="LG1" i="1"/>
  <c r="LH1" i="1"/>
  <c r="LI1" i="1"/>
  <c r="LJ1" i="1"/>
  <c r="LK1" i="1"/>
  <c r="LL1" i="1"/>
  <c r="LM1" i="1"/>
  <c r="LN1" i="1"/>
  <c r="LO1" i="1"/>
  <c r="LP1" i="1"/>
  <c r="LQ1" i="1"/>
  <c r="LR1" i="1"/>
  <c r="LS1" i="1"/>
  <c r="LT1" i="1"/>
  <c r="LU1" i="1"/>
  <c r="LV1" i="1"/>
  <c r="LW1" i="1"/>
  <c r="LX1" i="1"/>
  <c r="LY1" i="1"/>
  <c r="LZ1" i="1"/>
  <c r="MA1" i="1"/>
  <c r="MB1" i="1"/>
  <c r="MC1" i="1"/>
  <c r="MD1" i="1"/>
  <c r="ME1" i="1"/>
  <c r="MF1" i="1"/>
  <c r="MG1" i="1"/>
  <c r="MH1" i="1"/>
  <c r="MI1" i="1"/>
  <c r="MJ1" i="1"/>
  <c r="MK1" i="1"/>
  <c r="ML1" i="1"/>
  <c r="MM1" i="1"/>
  <c r="MN1" i="1"/>
  <c r="MO1" i="1"/>
  <c r="MP1" i="1"/>
  <c r="MQ1" i="1"/>
  <c r="MR1" i="1"/>
  <c r="MS1" i="1"/>
  <c r="MT1" i="1"/>
  <c r="MU1" i="1"/>
  <c r="MV1" i="1"/>
  <c r="MW1" i="1"/>
  <c r="MX1" i="1"/>
  <c r="MY1" i="1"/>
  <c r="MZ1" i="1"/>
  <c r="NA1" i="1"/>
  <c r="NB1" i="1"/>
  <c r="NC1" i="1"/>
  <c r="ND1" i="1"/>
  <c r="NE1" i="1"/>
  <c r="NF1" i="1"/>
  <c r="NG1" i="1"/>
  <c r="NH1" i="1"/>
  <c r="NI1" i="1"/>
  <c r="NJ1" i="1"/>
  <c r="J1" i="1"/>
  <c r="J3" i="1"/>
  <c r="J4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  <c r="HF3" i="1"/>
  <c r="HG3" i="1"/>
  <c r="HH3" i="1"/>
  <c r="HI3" i="1"/>
  <c r="HJ3" i="1"/>
  <c r="HK3" i="1"/>
  <c r="HL3" i="1"/>
  <c r="HM3" i="1"/>
  <c r="HN3" i="1"/>
  <c r="HO3" i="1"/>
  <c r="HP3" i="1"/>
  <c r="HQ3" i="1"/>
  <c r="HR3" i="1"/>
  <c r="HS3" i="1"/>
  <c r="HT3" i="1"/>
  <c r="HU3" i="1"/>
  <c r="HV3" i="1"/>
  <c r="HW3" i="1"/>
  <c r="HX3" i="1"/>
  <c r="HY3" i="1"/>
  <c r="HZ3" i="1"/>
  <c r="IA3" i="1"/>
  <c r="IB3" i="1"/>
  <c r="IC3" i="1"/>
  <c r="ID3" i="1"/>
  <c r="IE3" i="1"/>
  <c r="IF3" i="1"/>
  <c r="IG3" i="1"/>
  <c r="IH3" i="1"/>
  <c r="II3" i="1"/>
  <c r="IJ3" i="1"/>
  <c r="IK3" i="1"/>
  <c r="IL3" i="1"/>
  <c r="IM3" i="1"/>
  <c r="IN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JE3" i="1"/>
  <c r="JF3" i="1"/>
  <c r="JG3" i="1"/>
  <c r="JH3" i="1"/>
  <c r="JI3" i="1"/>
  <c r="JJ3" i="1"/>
  <c r="JK3" i="1"/>
  <c r="JL3" i="1"/>
  <c r="JM3" i="1"/>
  <c r="JN3" i="1"/>
  <c r="JO3" i="1"/>
  <c r="JP3" i="1"/>
  <c r="JQ3" i="1"/>
  <c r="JR3" i="1"/>
  <c r="JS3" i="1"/>
  <c r="JT3" i="1"/>
  <c r="JU3" i="1"/>
  <c r="JV3" i="1"/>
  <c r="JW3" i="1"/>
  <c r="JX3" i="1"/>
  <c r="JY3" i="1"/>
  <c r="JZ3" i="1"/>
  <c r="KA3" i="1"/>
  <c r="KB3" i="1"/>
  <c r="KC3" i="1"/>
  <c r="KD3" i="1"/>
  <c r="KE3" i="1"/>
  <c r="KF3" i="1"/>
  <c r="KG3" i="1"/>
  <c r="KH3" i="1"/>
  <c r="KI3" i="1"/>
  <c r="KJ3" i="1"/>
  <c r="KK3" i="1"/>
  <c r="KL3" i="1"/>
  <c r="KM3" i="1"/>
  <c r="KN3" i="1"/>
  <c r="KO3" i="1"/>
  <c r="KP3" i="1"/>
  <c r="KQ3" i="1"/>
  <c r="KR3" i="1"/>
  <c r="KS3" i="1"/>
  <c r="KT3" i="1"/>
  <c r="KU3" i="1"/>
  <c r="KV3" i="1"/>
  <c r="KW3" i="1"/>
  <c r="KX3" i="1"/>
  <c r="KY3" i="1"/>
  <c r="KZ3" i="1"/>
  <c r="LA3" i="1"/>
  <c r="LB3" i="1"/>
  <c r="LC3" i="1"/>
  <c r="LD3" i="1"/>
  <c r="LE3" i="1"/>
  <c r="LF3" i="1"/>
  <c r="LG3" i="1"/>
  <c r="LH3" i="1"/>
  <c r="LI3" i="1"/>
  <c r="LJ3" i="1"/>
  <c r="LK3" i="1"/>
  <c r="LL3" i="1"/>
  <c r="LM3" i="1"/>
  <c r="LN3" i="1"/>
  <c r="LO3" i="1"/>
  <c r="LP3" i="1"/>
  <c r="LQ3" i="1"/>
  <c r="LR3" i="1"/>
  <c r="LS3" i="1"/>
  <c r="LT3" i="1"/>
  <c r="LU3" i="1"/>
  <c r="LV3" i="1"/>
  <c r="LW3" i="1"/>
  <c r="LX3" i="1"/>
  <c r="LY3" i="1"/>
  <c r="LZ3" i="1"/>
  <c r="MA3" i="1"/>
  <c r="MB3" i="1"/>
  <c r="MC3" i="1"/>
  <c r="MD3" i="1"/>
  <c r="ME3" i="1"/>
  <c r="MF3" i="1"/>
  <c r="MG3" i="1"/>
  <c r="MH3" i="1"/>
  <c r="MI3" i="1"/>
  <c r="MJ3" i="1"/>
  <c r="MK3" i="1"/>
  <c r="ML3" i="1"/>
  <c r="MM3" i="1"/>
  <c r="MN3" i="1"/>
  <c r="MO3" i="1"/>
  <c r="MP3" i="1"/>
  <c r="MQ3" i="1"/>
  <c r="MR3" i="1"/>
  <c r="MS3" i="1"/>
  <c r="MT3" i="1"/>
  <c r="MU3" i="1"/>
  <c r="MV3" i="1"/>
  <c r="MW3" i="1"/>
  <c r="MX3" i="1"/>
  <c r="MY3" i="1"/>
  <c r="MZ3" i="1"/>
  <c r="NA3" i="1"/>
  <c r="NB3" i="1"/>
  <c r="NC3" i="1"/>
  <c r="ND3" i="1"/>
  <c r="NE3" i="1"/>
  <c r="NF3" i="1"/>
  <c r="NG3" i="1"/>
  <c r="NH3" i="1"/>
  <c r="NI3" i="1"/>
  <c r="NJ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A7" i="1"/>
  <c r="A10" i="1"/>
  <c r="A11" i="1"/>
  <c r="A13" i="1"/>
  <c r="A15" i="1"/>
  <c r="A16" i="1"/>
  <c r="A17" i="1"/>
  <c r="A19" i="1"/>
  <c r="A20" i="1"/>
  <c r="A22" i="1"/>
  <c r="A23" i="1"/>
  <c r="A25" i="1"/>
  <c r="A27" i="1"/>
  <c r="A28" i="1"/>
  <c r="A29" i="1"/>
  <c r="A31" i="1"/>
  <c r="A32" i="1"/>
  <c r="A34" i="1"/>
  <c r="A35" i="1"/>
  <c r="A37" i="1"/>
  <c r="A39" i="1"/>
  <c r="A40" i="1"/>
  <c r="A41" i="1"/>
  <c r="A43" i="1"/>
  <c r="A44" i="1"/>
  <c r="A46" i="1"/>
  <c r="A47" i="1"/>
  <c r="A49" i="1"/>
  <c r="A51" i="1"/>
  <c r="A52" i="1"/>
  <c r="A53" i="1"/>
  <c r="A55" i="1"/>
  <c r="A56" i="1"/>
  <c r="A58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</calcChain>
</file>

<file path=xl/sharedStrings.xml><?xml version="1.0" encoding="utf-8"?>
<sst xmlns="http://schemas.openxmlformats.org/spreadsheetml/2006/main" count="2646" uniqueCount="514">
  <si>
    <t>id_licni_broj_farmaceuta</t>
  </si>
  <si>
    <t>ime</t>
  </si>
  <si>
    <t>prezime</t>
  </si>
  <si>
    <t>naziv</t>
  </si>
  <si>
    <t>Mirjana</t>
  </si>
  <si>
    <t>Milanka</t>
  </si>
  <si>
    <t>Snežana</t>
  </si>
  <si>
    <t>Ivana</t>
  </si>
  <si>
    <t>Jelena</t>
  </si>
  <si>
    <t>Marija</t>
  </si>
  <si>
    <t>Vesna</t>
  </si>
  <si>
    <t>Đukić</t>
  </si>
  <si>
    <t>Verica</t>
  </si>
  <si>
    <t>Tamara</t>
  </si>
  <si>
    <t>Milijana</t>
  </si>
  <si>
    <t>Kristina</t>
  </si>
  <si>
    <t>Jovana</t>
  </si>
  <si>
    <t>Andrijana</t>
  </si>
  <si>
    <t>Suzana</t>
  </si>
  <si>
    <t>Ema</t>
  </si>
  <si>
    <t>Pozicija</t>
  </si>
  <si>
    <r>
      <t>O</t>
    </r>
    <r>
      <rPr>
        <sz val="11"/>
        <color theme="1"/>
        <rFont val="Aptos Narrow"/>
        <family val="2"/>
        <charset val="238"/>
        <scheme val="minor"/>
      </rPr>
      <t xml:space="preserve"> – Odmor</t>
    </r>
  </si>
  <si>
    <r>
      <t>B</t>
    </r>
    <r>
      <rPr>
        <sz val="11"/>
        <color theme="1"/>
        <rFont val="Aptos Narrow"/>
        <family val="2"/>
        <charset val="238"/>
        <scheme val="minor"/>
      </rPr>
      <t xml:space="preserve"> – Bolovanje</t>
    </r>
  </si>
  <si>
    <r>
      <t>S</t>
    </r>
    <r>
      <rPr>
        <sz val="11"/>
        <color theme="1"/>
        <rFont val="Aptos Narrow"/>
        <family val="2"/>
        <charset val="238"/>
        <scheme val="minor"/>
      </rPr>
      <t xml:space="preserve"> – Slobodan dan</t>
    </r>
  </si>
  <si>
    <r>
      <t>P</t>
    </r>
    <r>
      <rPr>
        <sz val="11"/>
        <color theme="1"/>
        <rFont val="Aptos Narrow"/>
        <family val="2"/>
        <charset val="238"/>
        <scheme val="minor"/>
      </rPr>
      <t xml:space="preserve"> – Praznik</t>
    </r>
  </si>
  <si>
    <t>Prazno – Radi</t>
  </si>
  <si>
    <t>O</t>
  </si>
  <si>
    <t>B</t>
  </si>
  <si>
    <t>S</t>
  </si>
  <si>
    <t>P</t>
  </si>
  <si>
    <t>ime i prezime</t>
  </si>
  <si>
    <t>id, ime i prezime</t>
  </si>
  <si>
    <t>1.1.2025</t>
  </si>
  <si>
    <t>2.1.2025</t>
  </si>
  <si>
    <t>3.1.2025</t>
  </si>
  <si>
    <t>4.1.2025</t>
  </si>
  <si>
    <t>5.1.2025</t>
  </si>
  <si>
    <t>6.1.2025</t>
  </si>
  <si>
    <t>7.1.2025</t>
  </si>
  <si>
    <t>8.1.2025</t>
  </si>
  <si>
    <t>9.1.2025</t>
  </si>
  <si>
    <t>10.1.2025</t>
  </si>
  <si>
    <t>11.1.2025</t>
  </si>
  <si>
    <t>12.1.2025</t>
  </si>
  <si>
    <t>13.1.2025</t>
  </si>
  <si>
    <t>14.1.2025</t>
  </si>
  <si>
    <t>15.1.2025</t>
  </si>
  <si>
    <t>16.1.2025</t>
  </si>
  <si>
    <t>17.1.2025</t>
  </si>
  <si>
    <t>18.1.2025</t>
  </si>
  <si>
    <t>19.1.2025</t>
  </si>
  <si>
    <t>20.1.2025</t>
  </si>
  <si>
    <t>21.1.2025</t>
  </si>
  <si>
    <t>22.1.2025</t>
  </si>
  <si>
    <t>23.1.2025</t>
  </si>
  <si>
    <t>24.1.2025</t>
  </si>
  <si>
    <t>25.1.2025</t>
  </si>
  <si>
    <t>26.1.2025</t>
  </si>
  <si>
    <t>27.1.2025</t>
  </si>
  <si>
    <t>28.1.2025</t>
  </si>
  <si>
    <t>29.1.2025</t>
  </si>
  <si>
    <t>30.1.2025</t>
  </si>
  <si>
    <t>31.1.2025</t>
  </si>
  <si>
    <t>1.2.2025</t>
  </si>
  <si>
    <t>2.2.2025</t>
  </si>
  <si>
    <t>3.2.2025</t>
  </si>
  <si>
    <t>4.2.2025</t>
  </si>
  <si>
    <t>5.2.2025</t>
  </si>
  <si>
    <t>6.2.2025</t>
  </si>
  <si>
    <t>7.2.2025</t>
  </si>
  <si>
    <t>8.2.2025</t>
  </si>
  <si>
    <t>9.2.2025</t>
  </si>
  <si>
    <t>10.2.2025</t>
  </si>
  <si>
    <t>11.2.2025</t>
  </si>
  <si>
    <t>12.2.2025</t>
  </si>
  <si>
    <t>13.2.2025</t>
  </si>
  <si>
    <t>14.2.2025</t>
  </si>
  <si>
    <t>15.2.2025</t>
  </si>
  <si>
    <t>16.2.2025</t>
  </si>
  <si>
    <t>17.2.2025</t>
  </si>
  <si>
    <t>18.2.2025</t>
  </si>
  <si>
    <t>19.2.2025</t>
  </si>
  <si>
    <t>20.2.2025</t>
  </si>
  <si>
    <t>21.2.2025</t>
  </si>
  <si>
    <t>22.2.2025</t>
  </si>
  <si>
    <t>23.2.2025</t>
  </si>
  <si>
    <t>24.2.2025</t>
  </si>
  <si>
    <t>25.2.2025</t>
  </si>
  <si>
    <t>26.2.2025</t>
  </si>
  <si>
    <t>27.2.2025</t>
  </si>
  <si>
    <t>28.2.2025</t>
  </si>
  <si>
    <t>1.3.2025</t>
  </si>
  <si>
    <t>2.3.2025</t>
  </si>
  <si>
    <t>3.3.2025</t>
  </si>
  <si>
    <t>4.3.2025</t>
  </si>
  <si>
    <t>5.3.2025</t>
  </si>
  <si>
    <t>6.3.2025</t>
  </si>
  <si>
    <t>7.3.2025</t>
  </si>
  <si>
    <t>8.3.2025</t>
  </si>
  <si>
    <t>9.3.2025</t>
  </si>
  <si>
    <t>10.3.2025</t>
  </si>
  <si>
    <t>11.3.2025</t>
  </si>
  <si>
    <t>12.3.2025</t>
  </si>
  <si>
    <t>13.3.2025</t>
  </si>
  <si>
    <t>14.3.2025</t>
  </si>
  <si>
    <t>15.3.2025</t>
  </si>
  <si>
    <t>16.3.2025</t>
  </si>
  <si>
    <t>17.3.2025</t>
  </si>
  <si>
    <t>18.3.2025</t>
  </si>
  <si>
    <t>19.3.2025</t>
  </si>
  <si>
    <t>20.3.2025</t>
  </si>
  <si>
    <t>21.3.2025</t>
  </si>
  <si>
    <t>22.3.2025</t>
  </si>
  <si>
    <t>23.3.2025</t>
  </si>
  <si>
    <t>24.3.2025</t>
  </si>
  <si>
    <t>25.3.2025</t>
  </si>
  <si>
    <t>26.3.2025</t>
  </si>
  <si>
    <t>27.3.2025</t>
  </si>
  <si>
    <t>28.3.2025</t>
  </si>
  <si>
    <t>29.3.2025</t>
  </si>
  <si>
    <t>30.3.2025</t>
  </si>
  <si>
    <t>31.3.2025</t>
  </si>
  <si>
    <t>1.4.2025</t>
  </si>
  <si>
    <t>2.4.2025</t>
  </si>
  <si>
    <t>3.4.2025</t>
  </si>
  <si>
    <t>4.4.2025</t>
  </si>
  <si>
    <t>5.4.2025</t>
  </si>
  <si>
    <t>6.4.2025</t>
  </si>
  <si>
    <t>7.4.2025</t>
  </si>
  <si>
    <t>8.4.2025</t>
  </si>
  <si>
    <t>9.4.2025</t>
  </si>
  <si>
    <t>10.4.2025</t>
  </si>
  <si>
    <t>11.4.2025</t>
  </si>
  <si>
    <t>12.4.2025</t>
  </si>
  <si>
    <t>13.4.2025</t>
  </si>
  <si>
    <t>14.4.2025</t>
  </si>
  <si>
    <t>15.4.2025</t>
  </si>
  <si>
    <t>16.4.2025</t>
  </si>
  <si>
    <t>17.4.2025</t>
  </si>
  <si>
    <t>18.4.2025</t>
  </si>
  <si>
    <t>19.4.2025</t>
  </si>
  <si>
    <t>20.4.2025</t>
  </si>
  <si>
    <t>21.4.2025</t>
  </si>
  <si>
    <t>22.4.2025</t>
  </si>
  <si>
    <t>23.4.2025</t>
  </si>
  <si>
    <t>24.4.2025</t>
  </si>
  <si>
    <t>25.4.2025</t>
  </si>
  <si>
    <t>26.4.2025</t>
  </si>
  <si>
    <t>27.4.2025</t>
  </si>
  <si>
    <t>28.4.2025</t>
  </si>
  <si>
    <t>29.4.2025</t>
  </si>
  <si>
    <t>30.4.2025</t>
  </si>
  <si>
    <t>1.5.2025</t>
  </si>
  <si>
    <t>2.5.2025</t>
  </si>
  <si>
    <t>3.5.2025</t>
  </si>
  <si>
    <t>4.5.2025</t>
  </si>
  <si>
    <t>5.5.2025</t>
  </si>
  <si>
    <t>6.5.2025</t>
  </si>
  <si>
    <t>7.5.2025</t>
  </si>
  <si>
    <t>8.5.2025</t>
  </si>
  <si>
    <t>9.5.2025</t>
  </si>
  <si>
    <t>10.5.2025</t>
  </si>
  <si>
    <t>11.5.2025</t>
  </si>
  <si>
    <t>12.5.2025</t>
  </si>
  <si>
    <t>13.5.2025</t>
  </si>
  <si>
    <t>14.5.2025</t>
  </si>
  <si>
    <t>15.5.2025</t>
  </si>
  <si>
    <t>16.5.2025</t>
  </si>
  <si>
    <t>17.5.2025</t>
  </si>
  <si>
    <t>18.5.2025</t>
  </si>
  <si>
    <t>19.5.2025</t>
  </si>
  <si>
    <t>20.5.2025</t>
  </si>
  <si>
    <t>21.5.2025</t>
  </si>
  <si>
    <t>22.5.2025</t>
  </si>
  <si>
    <t>23.5.2025</t>
  </si>
  <si>
    <t>24.5.2025</t>
  </si>
  <si>
    <t>25.5.2025</t>
  </si>
  <si>
    <t>26.5.2025</t>
  </si>
  <si>
    <t>27.5.2025</t>
  </si>
  <si>
    <t>28.5.2025</t>
  </si>
  <si>
    <t>29.5.2025</t>
  </si>
  <si>
    <t>30.5.2025</t>
  </si>
  <si>
    <t>31.5.2025</t>
  </si>
  <si>
    <t>1.6.2025</t>
  </si>
  <si>
    <t>2.6.2025</t>
  </si>
  <si>
    <t>3.6.2025</t>
  </si>
  <si>
    <t>4.6.2025</t>
  </si>
  <si>
    <t>5.6.2025</t>
  </si>
  <si>
    <t>6.6.2025</t>
  </si>
  <si>
    <t>7.6.2025</t>
  </si>
  <si>
    <t>8.6.2025</t>
  </si>
  <si>
    <t>9.6.2025</t>
  </si>
  <si>
    <t>10.6.2025</t>
  </si>
  <si>
    <t>11.6.2025</t>
  </si>
  <si>
    <t>12.6.2025</t>
  </si>
  <si>
    <t>13.6.2025</t>
  </si>
  <si>
    <t>14.6.2025</t>
  </si>
  <si>
    <t>15.6.2025</t>
  </si>
  <si>
    <t>16.6.2025</t>
  </si>
  <si>
    <t>17.6.2025</t>
  </si>
  <si>
    <t>18.6.2025</t>
  </si>
  <si>
    <t>19.6.2025</t>
  </si>
  <si>
    <t>20.6.2025</t>
  </si>
  <si>
    <t>21.6.2025</t>
  </si>
  <si>
    <t>22.6.2025</t>
  </si>
  <si>
    <t>23.6.2025</t>
  </si>
  <si>
    <t>24.6.2025</t>
  </si>
  <si>
    <t>25.6.2025</t>
  </si>
  <si>
    <t>26.6.2025</t>
  </si>
  <si>
    <t>27.6.2025</t>
  </si>
  <si>
    <t>28.6.2025</t>
  </si>
  <si>
    <t>29.6.2025</t>
  </si>
  <si>
    <t>30.6.2025</t>
  </si>
  <si>
    <t>1.7.2025</t>
  </si>
  <si>
    <t>2.7.2025</t>
  </si>
  <si>
    <t>3.7.2025</t>
  </si>
  <si>
    <t>4.7.2025</t>
  </si>
  <si>
    <t>5.7.2025</t>
  </si>
  <si>
    <t>6.7.2025</t>
  </si>
  <si>
    <t>7.7.2025</t>
  </si>
  <si>
    <t>8.7.2025</t>
  </si>
  <si>
    <t>9.7.2025</t>
  </si>
  <si>
    <t>10.7.2025</t>
  </si>
  <si>
    <t>11.7.2025</t>
  </si>
  <si>
    <t>12.7.2025</t>
  </si>
  <si>
    <t>13.7.2025</t>
  </si>
  <si>
    <t>14.7.2025</t>
  </si>
  <si>
    <t>15.7.2025</t>
  </si>
  <si>
    <t>16.7.2025</t>
  </si>
  <si>
    <t>17.7.2025</t>
  </si>
  <si>
    <t>18.7.2025</t>
  </si>
  <si>
    <t>19.7.2025</t>
  </si>
  <si>
    <t>20.7.2025</t>
  </si>
  <si>
    <t>21.7.2025</t>
  </si>
  <si>
    <t>22.7.2025</t>
  </si>
  <si>
    <t>23.7.2025</t>
  </si>
  <si>
    <t>24.7.2025</t>
  </si>
  <si>
    <t>25.7.2025</t>
  </si>
  <si>
    <t>26.7.2025</t>
  </si>
  <si>
    <t>27.7.2025</t>
  </si>
  <si>
    <t>28.7.2025</t>
  </si>
  <si>
    <t>29.7.2025</t>
  </si>
  <si>
    <t>30.7.2025</t>
  </si>
  <si>
    <t>31.7.2025</t>
  </si>
  <si>
    <t>1.8.2025</t>
  </si>
  <si>
    <t>2.8.2025</t>
  </si>
  <si>
    <t>3.8.2025</t>
  </si>
  <si>
    <t>4.8.2025</t>
  </si>
  <si>
    <t>5.8.2025</t>
  </si>
  <si>
    <t>6.8.2025</t>
  </si>
  <si>
    <t>7.8.2025</t>
  </si>
  <si>
    <t>8.8.2025</t>
  </si>
  <si>
    <t>9.8.2025</t>
  </si>
  <si>
    <t>10.8.2025</t>
  </si>
  <si>
    <t>11.8.2025</t>
  </si>
  <si>
    <t>12.8.2025</t>
  </si>
  <si>
    <t>13.8.2025</t>
  </si>
  <si>
    <t>14.8.2025</t>
  </si>
  <si>
    <t>15.8.2025</t>
  </si>
  <si>
    <t>16.8.2025</t>
  </si>
  <si>
    <t>17.8.2025</t>
  </si>
  <si>
    <t>18.8.2025</t>
  </si>
  <si>
    <t>19.8.2025</t>
  </si>
  <si>
    <t>20.8.2025</t>
  </si>
  <si>
    <t>21.8.2025</t>
  </si>
  <si>
    <t>22.8.2025</t>
  </si>
  <si>
    <t>23.8.2025</t>
  </si>
  <si>
    <t>24.8.2025</t>
  </si>
  <si>
    <t>25.8.2025</t>
  </si>
  <si>
    <t>26.8.2025</t>
  </si>
  <si>
    <t>27.8.2025</t>
  </si>
  <si>
    <t>28.8.2025</t>
  </si>
  <si>
    <t>29.8.2025</t>
  </si>
  <si>
    <t>30.8.2025</t>
  </si>
  <si>
    <t>31.8.2025</t>
  </si>
  <si>
    <t>1.9.2025</t>
  </si>
  <si>
    <t>2.9.2025</t>
  </si>
  <si>
    <t>3.9.2025</t>
  </si>
  <si>
    <t>4.9.2025</t>
  </si>
  <si>
    <t>5.9.2025</t>
  </si>
  <si>
    <t>6.9.2025</t>
  </si>
  <si>
    <t>7.9.2025</t>
  </si>
  <si>
    <t>8.9.2025</t>
  </si>
  <si>
    <t>9.9.2025</t>
  </si>
  <si>
    <t>10.9.2025</t>
  </si>
  <si>
    <t>11.9.2025</t>
  </si>
  <si>
    <t>12.9.2025</t>
  </si>
  <si>
    <t>13.9.2025</t>
  </si>
  <si>
    <t>14.9.2025</t>
  </si>
  <si>
    <t>15.9.2025</t>
  </si>
  <si>
    <t>16.9.2025</t>
  </si>
  <si>
    <t>17.9.2025</t>
  </si>
  <si>
    <t>18.9.2025</t>
  </si>
  <si>
    <t>19.9.2025</t>
  </si>
  <si>
    <t>20.9.2025</t>
  </si>
  <si>
    <t>21.9.2025</t>
  </si>
  <si>
    <t>22.9.2025</t>
  </si>
  <si>
    <t>23.9.2025</t>
  </si>
  <si>
    <t>24.9.2025</t>
  </si>
  <si>
    <t>25.9.2025</t>
  </si>
  <si>
    <t>26.9.2025</t>
  </si>
  <si>
    <t>27.9.2025</t>
  </si>
  <si>
    <t>28.9.2025</t>
  </si>
  <si>
    <t>29.9.2025</t>
  </si>
  <si>
    <t>30.9.2025</t>
  </si>
  <si>
    <t>1.10.2025</t>
  </si>
  <si>
    <t>2.10.2025</t>
  </si>
  <si>
    <t>3.10.2025</t>
  </si>
  <si>
    <t>4.10.2025</t>
  </si>
  <si>
    <t>5.10.2025</t>
  </si>
  <si>
    <t>6.10.2025</t>
  </si>
  <si>
    <t>7.10.2025</t>
  </si>
  <si>
    <t>8.10.2025</t>
  </si>
  <si>
    <t>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</si>
  <si>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</si>
  <si>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</si>
  <si>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</si>
  <si>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</si>
  <si>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</si>
  <si>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</si>
  <si>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</si>
  <si>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</si>
  <si>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</si>
  <si>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</si>
  <si>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</si>
  <si>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</si>
  <si>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</si>
  <si>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</si>
  <si>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</si>
  <si>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</si>
  <si>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</si>
  <si>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</si>
  <si>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</si>
  <si>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</si>
  <si>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</si>
  <si>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</si>
  <si>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1.11.2025</t>
  </si>
  <si>
    <t>2.11.2025</t>
  </si>
  <si>
    <t>3.11.2025</t>
  </si>
  <si>
    <t>4.11.2025</t>
  </si>
  <si>
    <t>5.11.2025</t>
  </si>
  <si>
    <t>6.11.2025</t>
  </si>
  <si>
    <t>7.11.2025</t>
  </si>
  <si>
    <t>8.11.2025</t>
  </si>
  <si>
    <t>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</si>
  <si>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</si>
  <si>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</si>
  <si>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</si>
  <si>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</si>
  <si>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</si>
  <si>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</si>
  <si>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</si>
  <si>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</si>
  <si>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</si>
  <si>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</si>
  <si>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</si>
  <si>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</si>
  <si>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</si>
  <si>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</si>
  <si>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</si>
  <si>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</si>
  <si>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</si>
  <si>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</si>
  <si>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</si>
  <si>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</si>
  <si>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</si>
  <si>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1.12.2025</t>
  </si>
  <si>
    <t>2.12.2025</t>
  </si>
  <si>
    <t>3.12.2025</t>
  </si>
  <si>
    <t>4.12.2025</t>
  </si>
  <si>
    <t>5.12.2025</t>
  </si>
  <si>
    <t>6.12.2025</t>
  </si>
  <si>
    <t>7.12.2025</t>
  </si>
  <si>
    <t>8.12.2025</t>
  </si>
  <si>
    <t>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</si>
  <si>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</si>
  <si>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</si>
  <si>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</si>
  <si>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</si>
  <si>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</si>
  <si>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</si>
  <si>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</si>
  <si>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</si>
  <si>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</si>
  <si>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</si>
  <si>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</si>
  <si>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</si>
  <si>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</si>
  <si>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</si>
  <si>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</si>
  <si>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</si>
  <si>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</si>
  <si>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</si>
  <si>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</si>
  <si>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</si>
  <si>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</si>
  <si>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</si>
  <si>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UKUPNO PREKLAPANJA</t>
  </si>
  <si>
    <t>Farmaceut</t>
  </si>
  <si>
    <t>Tehničar</t>
  </si>
  <si>
    <t>Iskorisceni dani odmora</t>
  </si>
  <si>
    <t>DANI BOLOVANJA</t>
  </si>
  <si>
    <t>Gavric</t>
  </si>
  <si>
    <t>MESEC</t>
  </si>
  <si>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</si>
  <si>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</si>
  <si>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</si>
  <si>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</si>
  <si>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</si>
  <si>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</si>
  <si>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</si>
  <si>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</si>
  <si>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</si>
  <si>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>Okt</t>
  </si>
  <si>
    <t>Nov</t>
  </si>
  <si>
    <t>Dec</t>
  </si>
  <si>
    <t>odabrati mesec za markiranje</t>
  </si>
  <si>
    <r>
      <rPr>
        <b/>
        <sz val="11"/>
        <color rgb="FFFFFF00"/>
        <rFont val="Aptos Narrow"/>
        <family val="2"/>
        <scheme val="minor"/>
      </rPr>
      <t xml:space="preserve">O – Odmor; 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B – Bolovanje</t>
    </r>
    <r>
      <rPr>
        <b/>
        <sz val="11"/>
        <color theme="1"/>
        <rFont val="Aptos Narrow"/>
        <family val="2"/>
        <scheme val="minor"/>
      </rPr>
      <t xml:space="preserve">;  </t>
    </r>
    <r>
      <rPr>
        <b/>
        <sz val="11"/>
        <color rgb="FF92E5F0"/>
        <rFont val="Aptos Narrow"/>
        <family val="2"/>
        <scheme val="minor"/>
      </rPr>
      <t>S – Slobodan dan;</t>
    </r>
    <r>
      <rPr>
        <b/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7" tint="0.79998168889431442"/>
        <rFont val="Aptos Narrow"/>
        <family val="2"/>
        <scheme val="minor"/>
      </rPr>
      <t>P  – Praznik</t>
    </r>
    <r>
      <rPr>
        <b/>
        <sz val="11"/>
        <color rgb="FFFFFFFF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;</t>
    </r>
    <r>
      <rPr>
        <b/>
        <sz val="11"/>
        <color theme="0"/>
        <rFont val="Aptos Narrow"/>
        <family val="2"/>
        <scheme val="minor"/>
      </rPr>
      <t xml:space="preserve"> Prazno – Radi</t>
    </r>
  </si>
  <si>
    <t>Pera</t>
  </si>
  <si>
    <t>Peric</t>
  </si>
  <si>
    <t>Drakulic</t>
  </si>
  <si>
    <t>Proklamovic</t>
  </si>
  <si>
    <t>Danka</t>
  </si>
  <si>
    <t>Lapuric</t>
  </si>
  <si>
    <t>Grubic</t>
  </si>
  <si>
    <t>Stupar</t>
  </si>
  <si>
    <t>Ninkovic</t>
  </si>
  <si>
    <t>Purhmajer</t>
  </si>
  <si>
    <t>Rokvic</t>
  </si>
  <si>
    <t>Polmizic</t>
  </si>
  <si>
    <t>Greta</t>
  </si>
  <si>
    <t>Jobilaric</t>
  </si>
  <si>
    <t>Mina</t>
  </si>
  <si>
    <t>Vojinovic</t>
  </si>
  <si>
    <t>Hajner</t>
  </si>
  <si>
    <t>Oblandic</t>
  </si>
  <si>
    <t>Zlatanovic</t>
  </si>
  <si>
    <t>Tina</t>
  </si>
  <si>
    <t>Martic</t>
  </si>
  <si>
    <t>Grim</t>
  </si>
  <si>
    <t>Gavrilo</t>
  </si>
  <si>
    <t>Gazivoda</t>
  </si>
  <si>
    <t>Petar</t>
  </si>
  <si>
    <t>Caric</t>
  </si>
  <si>
    <t>Dusko</t>
  </si>
  <si>
    <t>Krivic</t>
  </si>
  <si>
    <t>Hana</t>
  </si>
  <si>
    <t>Blam</t>
  </si>
  <si>
    <t>Tin</t>
  </si>
  <si>
    <t>Hrebljanovic</t>
  </si>
  <si>
    <t>Irina</t>
  </si>
  <si>
    <t>Buljbasic</t>
  </si>
  <si>
    <t>Tribalic</t>
  </si>
  <si>
    <t>Radisa</t>
  </si>
  <si>
    <t>Nikolic</t>
  </si>
  <si>
    <t>Cveta</t>
  </si>
  <si>
    <t>Sladic</t>
  </si>
  <si>
    <t>Trifun</t>
  </si>
  <si>
    <t>Milicic</t>
  </si>
  <si>
    <t>Kosta</t>
  </si>
  <si>
    <t>Ancic</t>
  </si>
  <si>
    <t>Petrovic</t>
  </si>
  <si>
    <t>Radivoj</t>
  </si>
  <si>
    <t xml:space="preserve">Micic </t>
  </si>
  <si>
    <t>Damjan</t>
  </si>
  <si>
    <t>Branislava</t>
  </si>
  <si>
    <t>Tomic</t>
  </si>
  <si>
    <t>Bogdan</t>
  </si>
  <si>
    <t>Janjic</t>
  </si>
  <si>
    <t>Jana</t>
  </si>
  <si>
    <t>Gavrilovic</t>
  </si>
  <si>
    <t>Jakov</t>
  </si>
  <si>
    <t>Cerovic</t>
  </si>
  <si>
    <t>Zlatiborka</t>
  </si>
  <si>
    <t>Visovic</t>
  </si>
  <si>
    <t>Fahritovic</t>
  </si>
  <si>
    <t>Pista</t>
  </si>
  <si>
    <t>Hemeret</t>
  </si>
  <si>
    <t>Marinka</t>
  </si>
  <si>
    <t>Radojkovic</t>
  </si>
  <si>
    <t>Rahmela</t>
  </si>
  <si>
    <t>Ugljanin</t>
  </si>
  <si>
    <t>Oliver</t>
  </si>
  <si>
    <t>Brdarevic</t>
  </si>
  <si>
    <t>Has</t>
  </si>
  <si>
    <t>Vinka</t>
  </si>
  <si>
    <t>Vučkovic</t>
  </si>
  <si>
    <t>Pavic</t>
  </si>
  <si>
    <t>Stanimir</t>
  </si>
  <si>
    <t>Andric</t>
  </si>
  <si>
    <t>Mijat</t>
  </si>
  <si>
    <t>Grubina</t>
  </si>
  <si>
    <t>Rovnic</t>
  </si>
  <si>
    <t>Dejana</t>
  </si>
  <si>
    <t>Karapandzic</t>
  </si>
  <si>
    <t>Marijana</t>
  </si>
  <si>
    <t>Emancipovic</t>
  </si>
  <si>
    <t>Tepa</t>
  </si>
  <si>
    <t>Hranisavljevic</t>
  </si>
  <si>
    <t>Dorijan</t>
  </si>
  <si>
    <t>Miric</t>
  </si>
  <si>
    <t>A</t>
  </si>
  <si>
    <t>C</t>
  </si>
  <si>
    <t>D</t>
  </si>
  <si>
    <t>E</t>
  </si>
  <si>
    <t>F</t>
  </si>
  <si>
    <t>G</t>
  </si>
  <si>
    <t>H</t>
  </si>
  <si>
    <t>M</t>
  </si>
  <si>
    <t>L</t>
  </si>
  <si>
    <t>R</t>
  </si>
  <si>
    <t>T</t>
  </si>
  <si>
    <t>U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</si>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</sst>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7" tint="0.79998168889431442"/>
      <name val="Aptos Narrow"/>
      <family val="2"/>
      <charset val="238"/>
      <scheme val="minor"/>
    </font>
    <font>
      <sz val="72"/>
      <color theme="7" tint="0.79998168889431442"/>
      <name val="Aptos Narrow"/>
      <family val="2"/>
      <charset val="238"/>
      <scheme val="minor"/>
    </font>
    <font>
      <sz val="26"/>
      <color theme="0"/>
      <name val="Aptos Narrow"/>
      <family val="2"/>
      <charset val="238"/>
      <scheme val="minor"/>
    </font>
    <font>
      <sz val="26"/>
      <color theme="1"/>
      <name val="Aptos Narrow"/>
      <family val="2"/>
      <charset val="238"/>
      <scheme val="minor"/>
    </font>
    <font>
      <b/>
      <sz val="11"/>
      <color rgb="FFFFFF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92E5F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1"/>
      <color theme="8" tint="0.39997558519241921"/>
      <name val="Aptos Narrow"/>
      <family val="2"/>
      <charset val="238"/>
      <scheme val="minor"/>
    </font>
    <font>
      <b/>
      <sz val="11"/>
      <color theme="7" tint="0.7999816888943144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charset val="238"/>
      <scheme val="minor"/>
    </font>
    <font>
      <sz val="12"/>
      <color theme="7" tint="0.79998168889431442"/>
      <name val="Aptos Narrow"/>
      <family val="2"/>
      <charset val="23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F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/>
    <xf numFmtId="0" fontId="19" fillId="0" borderId="10" xfId="0" applyFont="1" applyBorder="1"/>
    <xf numFmtId="0" fontId="0" fillId="0" borderId="10" xfId="0" applyBorder="1"/>
    <xf numFmtId="0" fontId="18" fillId="0" borderId="0" xfId="0" applyFont="1" applyAlignment="1">
      <alignment horizontal="center" vertical="center"/>
    </xf>
    <xf numFmtId="0" fontId="20" fillId="33" borderId="0" xfId="0" applyFont="1" applyFill="1" applyAlignment="1">
      <alignment horizontal="center"/>
    </xf>
    <xf numFmtId="0" fontId="20" fillId="33" borderId="0" xfId="0" applyFont="1" applyFill="1"/>
    <xf numFmtId="0" fontId="21" fillId="33" borderId="0" xfId="0" applyFont="1" applyFill="1"/>
    <xf numFmtId="14" fontId="22" fillId="33" borderId="0" xfId="0" applyNumberFormat="1" applyFont="1" applyFill="1"/>
    <xf numFmtId="14" fontId="23" fillId="0" borderId="0" xfId="0" applyNumberFormat="1" applyFont="1"/>
    <xf numFmtId="49" fontId="0" fillId="0" borderId="0" xfId="0" applyNumberFormat="1" applyAlignment="1">
      <alignment horizontal="center"/>
    </xf>
    <xf numFmtId="49" fontId="20" fillId="33" borderId="0" xfId="0" applyNumberFormat="1" applyFont="1" applyFill="1" applyAlignment="1">
      <alignment horizontal="center"/>
    </xf>
    <xf numFmtId="0" fontId="0" fillId="36" borderId="0" xfId="0" applyFill="1"/>
    <xf numFmtId="1" fontId="0" fillId="0" borderId="0" xfId="0" applyNumberFormat="1"/>
    <xf numFmtId="14" fontId="29" fillId="0" borderId="0" xfId="0" applyNumberFormat="1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33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28" fillId="35" borderId="11" xfId="0" applyFont="1" applyFill="1" applyBorder="1" applyAlignment="1">
      <alignment horizontal="center" vertical="center"/>
    </xf>
    <xf numFmtId="0" fontId="28" fillId="35" borderId="12" xfId="0" applyFont="1" applyFill="1" applyBorder="1" applyAlignment="1">
      <alignment horizontal="center" vertical="center"/>
    </xf>
    <xf numFmtId="0" fontId="28" fillId="35" borderId="13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0.79998168889431442"/>
        <name val="Aptos Narrow"/>
        <family val="2"/>
        <charset val="238"/>
        <scheme val="minor"/>
      </font>
      <numFmt numFmtId="30" formatCode="@"/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gradientFill type="path" left="0.5" right="0.5" top="0.5" bottom="0.5">
          <stop position="0">
            <color rgb="FFFFFF00"/>
          </stop>
          <stop position="1">
            <color rgb="FF92E5F0"/>
          </stop>
        </gradient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21DF53"/>
        </patternFill>
      </fill>
    </dxf>
    <dxf>
      <fill>
        <patternFill>
          <bgColor rgb="FFFFFF99"/>
        </patternFill>
      </fill>
    </dxf>
    <dxf>
      <fill>
        <patternFill>
          <bgColor rgb="FFFFD653"/>
        </patternFill>
      </fill>
    </dxf>
    <dxf>
      <fill>
        <patternFill>
          <bgColor rgb="FFFAA426"/>
        </patternFill>
      </fill>
    </dxf>
    <dxf>
      <fill>
        <patternFill>
          <bgColor rgb="FFFCF600"/>
        </patternFill>
      </fill>
    </dxf>
    <dxf>
      <fill>
        <patternFill>
          <bgColor theme="0" tint="-0.14996795556505021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49998474074526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Aptos Narrow"/>
        <family val="2"/>
        <charset val="238"/>
        <scheme val="minor"/>
      </font>
      <numFmt numFmtId="19" formatCode="d/m/yyyy"/>
    </dxf>
    <dxf>
      <font>
        <strike val="0"/>
        <outline val="0"/>
        <shadow val="0"/>
        <u val="none"/>
        <vertAlign val="baseline"/>
        <color theme="7" tint="0.79998168889431442"/>
        <name val="Aptos Narrow"/>
        <family val="2"/>
        <charset val="238"/>
        <scheme val="minor"/>
      </font>
      <fill>
        <patternFill patternType="solid">
          <fgColor indexed="64"/>
          <bgColor theme="1"/>
        </patternFill>
      </fill>
    </dxf>
    <dxf>
      <numFmt numFmtId="19" formatCode="d/m/yyyy"/>
    </dxf>
  </dxfs>
  <tableStyles count="0" defaultTableStyle="TableStyleMedium2" defaultPivotStyle="PivotStyleLight16"/>
  <colors>
    <mruColors>
      <color rgb="FFFFFF00"/>
      <color rgb="FFFCF600"/>
      <color rgb="FFD2FAFE"/>
      <color rgb="FFFAA426"/>
      <color rgb="FFFFD653"/>
      <color rgb="FFFFFF99"/>
      <color rgb="FF21DF53"/>
      <color rgb="FFFFFFFF"/>
      <color rgb="FF92E5F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CFFB68-06AD-4C56-8B30-150B05010735}" name="Table2" displayName="Table2" ref="A5:NJ59" totalsRowCount="1" headerRowDxfId="400" totalsRowDxfId="399">
  <autoFilter ref="A5:NJ58" xr:uid="{04CFFB68-06AD-4C56-8B30-150B05010735}"/>
  <tableColumns count="374">
    <tableColumn id="1" xr3:uid="{07999171-EAEA-4758-BE0C-ADBFA79851C0}" name="id, ime i prezime" totalsRowLabel="UKUPNO PREKLAPANJA" dataDxfId="377" totalsRowDxfId="373">
      <calculatedColumnFormula>_xlfn.CONCAT(C6," ",F6," ",G6)</calculatedColumnFormula>
    </tableColumn>
    <tableColumn id="2" xr3:uid="{4BC8B6AA-7087-4C15-A19B-44663E98BB6A}" name="id_licni_broj_farmaceuta" dataDxfId="376" totalsRowDxfId="372"/>
    <tableColumn id="3" xr3:uid="{4A0B6CEE-C456-4DCD-9414-3EFB413266FD}" name="ime i prezime" dataDxfId="375" totalsRowDxfId="371">
      <calculatedColumnFormula>_xlfn.CONCAT(D6," ",E6)</calculatedColumnFormula>
    </tableColumn>
    <tableColumn id="4" xr3:uid="{08F63601-EF86-4AF0-A5C4-D36FE3C8820F}" name="ime" totalsRowDxfId="370"/>
    <tableColumn id="5" xr3:uid="{2C03FBE0-B1FD-4EE3-A45A-FC50ACC3E71B}" name="prezime" totalsRowDxfId="369"/>
    <tableColumn id="6" xr3:uid="{2CC2B486-0D98-4D84-9429-3E207369CB06}" name="naziv" totalsRowDxfId="368"/>
    <tableColumn id="7" xr3:uid="{44D9A581-1945-40FB-86FD-B2FC754B2927}" name="Pozicija" totalsRowDxfId="367"/>
    <tableColumn id="8" xr3:uid="{F5FE86F7-561D-4DFE-BB24-1D21B0A3AB83}" name="Iskorisceni dani odmora" totalsRowDxfId="366">
      <calculatedColumnFormula>COUNTIF(J6:NJ6,"O")</calculatedColumnFormula>
    </tableColumn>
    <tableColumn id="374" xr3:uid="{A446D4F0-775F-43B9-8B50-C915044AB38D}" name="DANI BOLOVANJA" dataDxfId="374" totalsRowDxfId="365">
      <calculatedColumnFormula>COUNTIF(J6:NJ6,"B")</calculatedColumnFormula>
    </tableColumn>
    <tableColumn id="9" xr3:uid="{2F46AF62-53C5-4026-8632-1916AB1F2A0A}" name="1.1.2025" totalsRowFunction="custom" totalsRowDxfId="364">
      <totalsRowFormula>SUBTOTAL(3,J6:J58)</totalsRowFormula>
    </tableColumn>
    <tableColumn id="10" xr3:uid="{E2B6CEC8-0E32-47C7-BCCB-3C76D885D505}" name="2.1.2025" totalsRowFunction="custom" totalsRowDxfId="363">
      <totalsRowFormula>SUBTOTAL(3,K6:K58)</totalsRowFormula>
    </tableColumn>
    <tableColumn id="11" xr3:uid="{4417D956-BB99-42F0-BD03-40556CFB8340}" name="3.1.2025" totalsRowFunction="custom" totalsRowDxfId="362">
      <totalsRowFormula>SUBTOTAL(3,L6:L58)</totalsRowFormula>
    </tableColumn>
    <tableColumn id="12" xr3:uid="{ED5E75EF-BDFB-456E-BDD3-DB59CA08D590}" name="4.1.2025" totalsRowFunction="custom" totalsRowDxfId="361">
      <totalsRowFormula>SUBTOTAL(3,M6:M58)</totalsRowFormula>
    </tableColumn>
    <tableColumn id="13" xr3:uid="{9309F226-9972-4332-B5EE-6671CFBFCDDC}" name="5.1.2025" totalsRowFunction="custom" totalsRowDxfId="360">
      <totalsRowFormula>SUBTOTAL(3,N6:N58)</totalsRowFormula>
    </tableColumn>
    <tableColumn id="14" xr3:uid="{A30FA8A1-5494-403B-85B0-7C09658FCE3B}" name="6.1.2025" totalsRowFunction="custom" totalsRowDxfId="359">
      <totalsRowFormula>SUBTOTAL(3,O6:O58)</totalsRowFormula>
    </tableColumn>
    <tableColumn id="15" xr3:uid="{B4ACE18C-0F50-4919-BF1A-2C1B6D5D4B03}" name="7.1.2025" totalsRowFunction="custom" totalsRowDxfId="358">
      <totalsRowFormula>SUBTOTAL(3,P6:P58)</totalsRowFormula>
    </tableColumn>
    <tableColumn id="16" xr3:uid="{48D047E3-97A5-469B-91F1-9DDBBEDEECA8}" name="8.1.2025" totalsRowFunction="custom" totalsRowDxfId="357">
      <totalsRowFormula>SUBTOTAL(3,Q6:Q58)</totalsRowFormula>
    </tableColumn>
    <tableColumn id="17" xr3:uid="{97AC3F1D-0036-40A1-A406-C3F0A7B5B806}" name="9.1.2025" totalsRowFunction="custom" totalsRowDxfId="356">
      <totalsRowFormula>SUBTOTAL(3,R6:R58)</totalsRowFormula>
    </tableColumn>
    <tableColumn id="18" xr3:uid="{1C034579-6153-4489-A447-9D1601AC464E}" name="10.1.2025" totalsRowFunction="custom" totalsRowDxfId="355">
      <totalsRowFormula>SUBTOTAL(3,S6:S58)</totalsRowFormula>
    </tableColumn>
    <tableColumn id="19" xr3:uid="{6BC3E17C-3583-46F4-9125-151F2D90C695}" name="11.1.2025" totalsRowFunction="custom" totalsRowDxfId="354">
      <totalsRowFormula>SUBTOTAL(3,T6:T58)</totalsRowFormula>
    </tableColumn>
    <tableColumn id="20" xr3:uid="{EC168BAE-088A-4FDC-A82B-742431F8DE6E}" name="12.1.2025" totalsRowFunction="custom" totalsRowDxfId="353">
      <totalsRowFormula>SUBTOTAL(3,U6:U58)</totalsRowFormula>
    </tableColumn>
    <tableColumn id="21" xr3:uid="{2A1EE073-5081-455F-99FA-B6B3A2DA24D0}" name="13.1.2025" totalsRowFunction="custom" totalsRowDxfId="352">
      <totalsRowFormula>SUBTOTAL(3,V6:V58)</totalsRowFormula>
    </tableColumn>
    <tableColumn id="22" xr3:uid="{78A96B9E-C948-4E43-B076-F3B02E7EAFD2}" name="14.1.2025" totalsRowFunction="custom" totalsRowDxfId="351">
      <totalsRowFormula>SUBTOTAL(3,W6:W58)</totalsRowFormula>
    </tableColumn>
    <tableColumn id="23" xr3:uid="{FB266502-73A6-4A4B-99AF-B8BA8BF09519}" name="15.1.2025" totalsRowFunction="custom" totalsRowDxfId="350">
      <totalsRowFormula>SUBTOTAL(3,X6:X58)</totalsRowFormula>
    </tableColumn>
    <tableColumn id="24" xr3:uid="{37F63A9A-C11F-4D07-A54C-3B67A1623004}" name="16.1.2025" totalsRowFunction="custom" totalsRowDxfId="349">
      <totalsRowFormula>SUBTOTAL(3,Y6:Y58)</totalsRowFormula>
    </tableColumn>
    <tableColumn id="25" xr3:uid="{FC34F20E-77C1-4C07-8BE2-99A8366F69BC}" name="17.1.2025" totalsRowFunction="custom" totalsRowDxfId="348">
      <totalsRowFormula>SUBTOTAL(3,Z6:Z58)</totalsRowFormula>
    </tableColumn>
    <tableColumn id="26" xr3:uid="{15D2CFA7-5E33-4BFA-BBA9-741A9882521B}" name="18.1.2025" totalsRowFunction="custom" totalsRowDxfId="347">
      <totalsRowFormula>SUBTOTAL(3,AA6:AA58)</totalsRowFormula>
    </tableColumn>
    <tableColumn id="27" xr3:uid="{C41FCD9B-921B-415E-8537-2BCB43CC8AF2}" name="19.1.2025" totalsRowFunction="custom" totalsRowDxfId="346">
      <totalsRowFormula>SUBTOTAL(3,AB6:AB58)</totalsRowFormula>
    </tableColumn>
    <tableColumn id="28" xr3:uid="{2C5D875F-3E6F-4567-9C97-B6D36421412F}" name="20.1.2025" totalsRowFunction="custom" totalsRowDxfId="345">
      <totalsRowFormula>SUBTOTAL(3,AC6:AC58)</totalsRowFormula>
    </tableColumn>
    <tableColumn id="29" xr3:uid="{C118B443-B934-4EF4-9C1D-53E99397BE42}" name="21.1.2025" totalsRowFunction="custom" totalsRowDxfId="344">
      <totalsRowFormula>SUBTOTAL(3,AD6:AD58)</totalsRowFormula>
    </tableColumn>
    <tableColumn id="30" xr3:uid="{F77A49D8-D54A-4E03-A5E8-BBE7F4DAA67F}" name="22.1.2025" totalsRowFunction="custom" totalsRowDxfId="343">
      <totalsRowFormula>SUBTOTAL(3,AE6:AE58)</totalsRowFormula>
    </tableColumn>
    <tableColumn id="31" xr3:uid="{8CD06A9D-CC4B-4E07-BC01-1168A308F88B}" name="23.1.2025" totalsRowFunction="custom" totalsRowDxfId="342">
      <totalsRowFormula>SUBTOTAL(3,AF6:AF58)</totalsRowFormula>
    </tableColumn>
    <tableColumn id="32" xr3:uid="{CB2BB962-48D8-454D-8D91-DB36A9DFCE08}" name="24.1.2025" totalsRowFunction="custom" totalsRowDxfId="341">
      <totalsRowFormula>SUBTOTAL(3,AG6:AG58)</totalsRowFormula>
    </tableColumn>
    <tableColumn id="33" xr3:uid="{3FF0E08E-4CA8-4B82-B41A-4B8E9FF14DE2}" name="25.1.2025" totalsRowFunction="custom" totalsRowDxfId="340">
      <totalsRowFormula>SUBTOTAL(3,AH6:AH58)</totalsRowFormula>
    </tableColumn>
    <tableColumn id="34" xr3:uid="{4C40FED6-0284-4DD8-ACD9-9840BB4424D4}" name="26.1.2025" totalsRowFunction="custom" totalsRowDxfId="339">
      <totalsRowFormula>SUBTOTAL(3,AI6:AI58)</totalsRowFormula>
    </tableColumn>
    <tableColumn id="35" xr3:uid="{539EDD31-2B08-43B2-A84E-1C51A653E05F}" name="27.1.2025" totalsRowFunction="custom" totalsRowDxfId="338">
      <totalsRowFormula>SUBTOTAL(3,AJ6:AJ58)</totalsRowFormula>
    </tableColumn>
    <tableColumn id="36" xr3:uid="{5DD1C703-E064-43AA-8CE6-D428ECFC17C7}" name="28.1.2025" totalsRowFunction="custom" totalsRowDxfId="337">
      <totalsRowFormula>SUBTOTAL(3,AK6:AK58)</totalsRowFormula>
    </tableColumn>
    <tableColumn id="37" xr3:uid="{E560BBBC-82E6-4E6E-BD05-C28323DF89EA}" name="29.1.2025" totalsRowFunction="custom" totalsRowDxfId="336">
      <totalsRowFormula>SUBTOTAL(3,AL6:AL58)</totalsRowFormula>
    </tableColumn>
    <tableColumn id="38" xr3:uid="{DC2B4FC9-9BED-4E69-B1A6-1D19415FD79B}" name="30.1.2025" totalsRowFunction="custom" totalsRowDxfId="335">
      <totalsRowFormula>SUBTOTAL(3,AM6:AM58)</totalsRowFormula>
    </tableColumn>
    <tableColumn id="39" xr3:uid="{1DA842A3-0EAE-438A-803B-CF71FC41FD08}" name="31.1.2025" totalsRowFunction="custom" totalsRowDxfId="334">
      <totalsRowFormula>SUBTOTAL(3,AN6:AN58)</totalsRowFormula>
    </tableColumn>
    <tableColumn id="40" xr3:uid="{4E7672F9-7A5D-4AD2-96EB-AFF42FB9294E}" name="1.2.2025" totalsRowFunction="custom" totalsRowDxfId="333">
      <totalsRowFormula>SUBTOTAL(3,AO6:AO58)</totalsRowFormula>
    </tableColumn>
    <tableColumn id="41" xr3:uid="{934CE331-95E5-4796-A727-AD023905B929}" name="2.2.2025" totalsRowFunction="custom" totalsRowDxfId="332">
      <totalsRowFormula>SUBTOTAL(3,AP6:AP58)</totalsRowFormula>
    </tableColumn>
    <tableColumn id="42" xr3:uid="{2DC61F58-C931-4B9E-955E-5C84076F3A12}" name="3.2.2025" totalsRowFunction="custom" totalsRowDxfId="331">
      <totalsRowFormula>SUBTOTAL(3,AQ6:AQ58)</totalsRowFormula>
    </tableColumn>
    <tableColumn id="43" xr3:uid="{0584D3E8-23C7-44CA-9EE5-626FAAE45ACF}" name="4.2.2025" totalsRowFunction="custom" totalsRowDxfId="330">
      <totalsRowFormula>SUBTOTAL(3,AR6:AR58)</totalsRowFormula>
    </tableColumn>
    <tableColumn id="44" xr3:uid="{9A0143F1-67B8-4241-8CBC-C00FB26BDC1A}" name="5.2.2025" totalsRowFunction="custom" totalsRowDxfId="329">
      <totalsRowFormula>SUBTOTAL(3,AS6:AS58)</totalsRowFormula>
    </tableColumn>
    <tableColumn id="45" xr3:uid="{6B8034F6-B5C3-4291-AD07-B8E747134279}" name="6.2.2025" totalsRowFunction="custom" totalsRowDxfId="328">
      <totalsRowFormula>SUBTOTAL(3,AT6:AT58)</totalsRowFormula>
    </tableColumn>
    <tableColumn id="46" xr3:uid="{E292444B-0C4A-4FAD-92C7-679C2C4E41F6}" name="7.2.2025" totalsRowFunction="custom" totalsRowDxfId="327">
      <totalsRowFormula>SUBTOTAL(3,AU6:AU58)</totalsRowFormula>
    </tableColumn>
    <tableColumn id="47" xr3:uid="{CF66BCA8-134D-41BF-954C-D55C7183AE38}" name="8.2.2025" totalsRowFunction="custom" totalsRowDxfId="326">
      <totalsRowFormula>SUBTOTAL(3,AV6:AV58)</totalsRowFormula>
    </tableColumn>
    <tableColumn id="48" xr3:uid="{7BFF757F-AC3F-45B8-A618-468AC585E12C}" name="9.2.2025" totalsRowFunction="custom" totalsRowDxfId="325">
      <totalsRowFormula>SUBTOTAL(3,AW6:AW58)</totalsRowFormula>
    </tableColumn>
    <tableColumn id="49" xr3:uid="{0B812196-5FA7-4EC1-99C9-BC3D49CB50E9}" name="10.2.2025" totalsRowFunction="custom" totalsRowDxfId="324">
      <totalsRowFormula>SUBTOTAL(3,AX6:AX58)</totalsRowFormula>
    </tableColumn>
    <tableColumn id="50" xr3:uid="{CEBA25B1-FFCF-428A-91AD-F72FA0911220}" name="11.2.2025" totalsRowFunction="custom" totalsRowDxfId="323">
      <totalsRowFormula>SUBTOTAL(3,AY6:AY58)</totalsRowFormula>
    </tableColumn>
    <tableColumn id="51" xr3:uid="{58E32468-B77A-4A8E-84EC-7DC85AD0B569}" name="12.2.2025" totalsRowFunction="custom" totalsRowDxfId="322">
      <totalsRowFormula>SUBTOTAL(3,AZ6:AZ58)</totalsRowFormula>
    </tableColumn>
    <tableColumn id="52" xr3:uid="{010282A5-659B-4039-9B95-43A991C3FD27}" name="13.2.2025" totalsRowFunction="custom" totalsRowDxfId="321">
      <totalsRowFormula>SUBTOTAL(3,BA6:BA58)</totalsRowFormula>
    </tableColumn>
    <tableColumn id="53" xr3:uid="{3A214E7C-3BC7-428A-B19D-BB3EAB9A806C}" name="14.2.2025" totalsRowFunction="custom" totalsRowDxfId="320">
      <totalsRowFormula>SUBTOTAL(3,BB6:BB58)</totalsRowFormula>
    </tableColumn>
    <tableColumn id="54" xr3:uid="{AD992C34-E9DB-4697-9B1C-C7CECA8BB739}" name="15.2.2025" totalsRowFunction="custom" totalsRowDxfId="319">
      <totalsRowFormula>SUBTOTAL(3,BC6:BC58)</totalsRowFormula>
    </tableColumn>
    <tableColumn id="55" xr3:uid="{AA5862A3-8E1B-41EC-A073-AF32493ED4BC}" name="16.2.2025" totalsRowFunction="custom" totalsRowDxfId="318">
      <totalsRowFormula>SUBTOTAL(3,BD6:BD58)</totalsRowFormula>
    </tableColumn>
    <tableColumn id="56" xr3:uid="{055AB889-0F7B-4D84-9BBD-9FBBC83DD7BF}" name="17.2.2025" totalsRowFunction="custom" totalsRowDxfId="317">
      <totalsRowFormula>SUBTOTAL(3,BE6:BE58)</totalsRowFormula>
    </tableColumn>
    <tableColumn id="57" xr3:uid="{C29DD356-56D5-4DFA-9C70-22949F42EB81}" name="18.2.2025" totalsRowFunction="custom" totalsRowDxfId="316">
      <totalsRowFormula>SUBTOTAL(3,BF6:BF58)</totalsRowFormula>
    </tableColumn>
    <tableColumn id="58" xr3:uid="{53CC6EED-69D2-475F-BC95-465C968C2BA1}" name="19.2.2025" totalsRowFunction="custom" totalsRowDxfId="315">
      <totalsRowFormula>SUBTOTAL(3,BG6:BG58)</totalsRowFormula>
    </tableColumn>
    <tableColumn id="59" xr3:uid="{E689BA06-24C7-42E0-8614-D26D0D77615D}" name="20.2.2025" totalsRowFunction="custom" totalsRowDxfId="314">
      <totalsRowFormula>SUBTOTAL(3,BH6:BH58)</totalsRowFormula>
    </tableColumn>
    <tableColumn id="60" xr3:uid="{174C204A-13DE-4AF4-8AB0-20BB3C49342E}" name="21.2.2025" totalsRowFunction="custom" totalsRowDxfId="313">
      <totalsRowFormula>SUBTOTAL(3,BI6:BI58)</totalsRowFormula>
    </tableColumn>
    <tableColumn id="61" xr3:uid="{83CF42FC-C96A-41E7-9D34-6F84C9E3B563}" name="22.2.2025" totalsRowFunction="custom" totalsRowDxfId="312">
      <totalsRowFormula>SUBTOTAL(3,BJ6:BJ58)</totalsRowFormula>
    </tableColumn>
    <tableColumn id="62" xr3:uid="{5DD684EB-F3C2-45CE-8691-4A5BC4D5DB44}" name="23.2.2025" totalsRowFunction="custom" totalsRowDxfId="311">
      <totalsRowFormula>SUBTOTAL(3,BK6:BK58)</totalsRowFormula>
    </tableColumn>
    <tableColumn id="63" xr3:uid="{1134B044-20A8-4780-9254-302CAD06A706}" name="24.2.2025" totalsRowFunction="custom" totalsRowDxfId="310">
      <totalsRowFormula>SUBTOTAL(3,BL6:BL58)</totalsRowFormula>
    </tableColumn>
    <tableColumn id="64" xr3:uid="{DBC524B1-EA60-4C8D-A576-4826943C441D}" name="25.2.2025" totalsRowFunction="custom" totalsRowDxfId="309">
      <totalsRowFormula>SUBTOTAL(3,BM6:BM58)</totalsRowFormula>
    </tableColumn>
    <tableColumn id="65" xr3:uid="{1B1DFD6D-CB5E-41E0-8250-6A05D8226563}" name="26.2.2025" totalsRowFunction="custom" totalsRowDxfId="308">
      <totalsRowFormula>SUBTOTAL(3,BN6:BN58)</totalsRowFormula>
    </tableColumn>
    <tableColumn id="66" xr3:uid="{650B6119-DC80-4B5D-A747-E4EC27334D77}" name="27.2.2025" totalsRowFunction="custom" totalsRowDxfId="307">
      <totalsRowFormula>SUBTOTAL(3,BO6:BO58)</totalsRowFormula>
    </tableColumn>
    <tableColumn id="67" xr3:uid="{147F3C48-45FD-432B-A414-5C9F1C000F81}" name="28.2.2025" totalsRowFunction="custom" totalsRowDxfId="306">
      <totalsRowFormula>SUBTOTAL(3,BP6:BP58)</totalsRowFormula>
    </tableColumn>
    <tableColumn id="68" xr3:uid="{D22A7602-E501-489B-9B30-4FC2A0899633}" name="1.3.2025" totalsRowFunction="custom" totalsRowDxfId="305">
      <totalsRowFormula>SUBTOTAL(3,BQ6:BQ58)</totalsRowFormula>
    </tableColumn>
    <tableColumn id="69" xr3:uid="{7C7A7775-787C-4E88-98A9-BD88C0813284}" name="2.3.2025" totalsRowFunction="custom" totalsRowDxfId="304">
      <totalsRowFormula>SUBTOTAL(3,BR6:BR58)</totalsRowFormula>
    </tableColumn>
    <tableColumn id="70" xr3:uid="{D0A356CB-5BD9-46CB-8BC1-6E69A48AFB36}" name="3.3.2025" totalsRowFunction="custom" totalsRowDxfId="303">
      <totalsRowFormula>SUBTOTAL(3,BS6:BS58)</totalsRowFormula>
    </tableColumn>
    <tableColumn id="71" xr3:uid="{BA7340AC-1E5F-4FEA-9A75-84D0E457C2C6}" name="4.3.2025" totalsRowFunction="custom" totalsRowDxfId="302">
      <totalsRowFormula>SUBTOTAL(3,BT6:BT58)</totalsRowFormula>
    </tableColumn>
    <tableColumn id="72" xr3:uid="{D61E9DC7-7B40-4E24-AA2A-E49BBA9DD442}" name="5.3.2025" totalsRowFunction="custom" totalsRowDxfId="301">
      <totalsRowFormula>SUBTOTAL(3,BU6:BU58)</totalsRowFormula>
    </tableColumn>
    <tableColumn id="73" xr3:uid="{D9E97574-1FFD-46EE-ACF6-61D1720F3166}" name="6.3.2025" totalsRowFunction="custom" totalsRowDxfId="300">
      <totalsRowFormula>SUBTOTAL(3,BV6:BV58)</totalsRowFormula>
    </tableColumn>
    <tableColumn id="74" xr3:uid="{AC6586DE-5ABC-4F9A-968D-944260A1854B}" name="7.3.2025" totalsRowFunction="custom" totalsRowDxfId="299">
      <totalsRowFormula>SUBTOTAL(3,BW6:BW58)</totalsRowFormula>
    </tableColumn>
    <tableColumn id="75" xr3:uid="{D1E8850B-B785-4A9B-91E0-340A072F92C9}" name="8.3.2025" totalsRowFunction="custom" totalsRowDxfId="298">
      <totalsRowFormula>SUBTOTAL(3,BX6:BX58)</totalsRowFormula>
    </tableColumn>
    <tableColumn id="76" xr3:uid="{29984AB6-9017-4EEC-A381-BF9364CF53FE}" name="9.3.2025" totalsRowFunction="custom" totalsRowDxfId="297">
      <totalsRowFormula>SUBTOTAL(3,BY6:BY58)</totalsRowFormula>
    </tableColumn>
    <tableColumn id="77" xr3:uid="{71C6FE6D-390B-473B-981E-FA6731406222}" name="10.3.2025" totalsRowFunction="custom" totalsRowDxfId="296">
      <totalsRowFormula>SUBTOTAL(3,BZ6:BZ58)</totalsRowFormula>
    </tableColumn>
    <tableColumn id="78" xr3:uid="{E71C2B4F-3C55-4E92-83D9-A2EC1F26603B}" name="11.3.2025" totalsRowFunction="custom" totalsRowDxfId="295">
      <totalsRowFormula>SUBTOTAL(3,CA6:CA58)</totalsRowFormula>
    </tableColumn>
    <tableColumn id="79" xr3:uid="{0A0225BF-0A30-48F2-B116-DEB519F2A0EB}" name="12.3.2025" totalsRowFunction="custom" totalsRowDxfId="294">
      <totalsRowFormula>SUBTOTAL(3,CB6:CB58)</totalsRowFormula>
    </tableColumn>
    <tableColumn id="80" xr3:uid="{01159801-A873-4E82-BF93-5C215CF845CD}" name="13.3.2025" totalsRowFunction="custom" totalsRowDxfId="293">
      <totalsRowFormula>SUBTOTAL(3,CC6:CC58)</totalsRowFormula>
    </tableColumn>
    <tableColumn id="81" xr3:uid="{D1A73E6F-6C61-4202-9DF5-5CA02250E41C}" name="14.3.2025" totalsRowFunction="custom" totalsRowDxfId="292">
      <totalsRowFormula>SUBTOTAL(3,CD6:CD58)</totalsRowFormula>
    </tableColumn>
    <tableColumn id="82" xr3:uid="{C41EC136-2BF1-4EFF-8E89-7CB3318E00CD}" name="15.3.2025" totalsRowFunction="custom" totalsRowDxfId="291">
      <totalsRowFormula>SUBTOTAL(3,CE6:CE58)</totalsRowFormula>
    </tableColumn>
    <tableColumn id="83" xr3:uid="{72FD7534-D768-4A99-9398-2D788A7AC446}" name="16.3.2025" totalsRowFunction="custom" totalsRowDxfId="290">
      <totalsRowFormula>SUBTOTAL(3,CF6:CF58)</totalsRowFormula>
    </tableColumn>
    <tableColumn id="84" xr3:uid="{177C5119-6197-46F9-A2B7-23665EC01D49}" name="17.3.2025" totalsRowFunction="custom" totalsRowDxfId="289">
      <totalsRowFormula>SUBTOTAL(3,CG6:CG58)</totalsRowFormula>
    </tableColumn>
    <tableColumn id="85" xr3:uid="{004126D0-BEED-4E0F-9398-80E61FCB80AD}" name="18.3.2025" totalsRowFunction="custom" totalsRowDxfId="288">
      <totalsRowFormula>SUBTOTAL(3,CH6:CH58)</totalsRowFormula>
    </tableColumn>
    <tableColumn id="86" xr3:uid="{07CD08AA-D9EC-4D2F-93F9-A263F323352A}" name="19.3.2025" totalsRowFunction="custom" totalsRowDxfId="287">
      <totalsRowFormula>SUBTOTAL(3,CI6:CI58)</totalsRowFormula>
    </tableColumn>
    <tableColumn id="87" xr3:uid="{04773086-60E8-464D-9E1A-E7EE32630551}" name="20.3.2025" totalsRowFunction="custom" totalsRowDxfId="286">
      <totalsRowFormula>SUBTOTAL(3,CJ6:CJ58)</totalsRowFormula>
    </tableColumn>
    <tableColumn id="88" xr3:uid="{131466CD-7A8B-43E5-BF7F-E7AE3BBEDB94}" name="21.3.2025" totalsRowFunction="custom" totalsRowDxfId="285">
      <totalsRowFormula>SUBTOTAL(3,CK6:CK58)</totalsRowFormula>
    </tableColumn>
    <tableColumn id="89" xr3:uid="{074802FE-DAFC-4995-93B8-AFA2E53680B0}" name="22.3.2025" totalsRowFunction="custom" totalsRowDxfId="284">
      <totalsRowFormula>SUBTOTAL(3,CL6:CL58)</totalsRowFormula>
    </tableColumn>
    <tableColumn id="90" xr3:uid="{8651C0AA-920B-4819-BBB3-5C696558ED9F}" name="23.3.2025" totalsRowFunction="custom" totalsRowDxfId="283">
      <totalsRowFormula>SUBTOTAL(3,CM6:CM58)</totalsRowFormula>
    </tableColumn>
    <tableColumn id="91" xr3:uid="{F63C0204-BA45-4913-82CB-1929C85BE16B}" name="24.3.2025" totalsRowFunction="custom" totalsRowDxfId="282">
      <totalsRowFormula>SUBTOTAL(3,CN6:CN58)</totalsRowFormula>
    </tableColumn>
    <tableColumn id="92" xr3:uid="{05E46598-0A42-499E-ACD5-0747DEE41BA1}" name="25.3.2025" totalsRowFunction="custom" totalsRowDxfId="281">
      <totalsRowFormula>SUBTOTAL(3,CO6:CO58)</totalsRowFormula>
    </tableColumn>
    <tableColumn id="93" xr3:uid="{DFD74FB5-325C-4038-B48F-A8513A1CE25D}" name="26.3.2025" totalsRowFunction="custom" totalsRowDxfId="280">
      <totalsRowFormula>SUBTOTAL(3,CP6:CP58)</totalsRowFormula>
    </tableColumn>
    <tableColumn id="94" xr3:uid="{3E910F10-5070-49A0-9E35-497E31E4DF6A}" name="27.3.2025" totalsRowFunction="custom" totalsRowDxfId="279">
      <totalsRowFormula>SUBTOTAL(3,CQ6:CQ58)</totalsRowFormula>
    </tableColumn>
    <tableColumn id="95" xr3:uid="{0DBD57D9-938D-40AC-8DDD-D5203324AC51}" name="28.3.2025" totalsRowFunction="custom" totalsRowDxfId="278">
      <totalsRowFormula>SUBTOTAL(3,CR6:CR58)</totalsRowFormula>
    </tableColumn>
    <tableColumn id="96" xr3:uid="{A19A31FD-40E5-489A-89F2-2B1B6913801A}" name="29.3.2025" totalsRowFunction="custom" totalsRowDxfId="277">
      <totalsRowFormula>SUBTOTAL(3,CS6:CS58)</totalsRowFormula>
    </tableColumn>
    <tableColumn id="97" xr3:uid="{02CD7832-1EE1-41BF-A100-AF6D18820391}" name="30.3.2025" totalsRowFunction="custom" totalsRowDxfId="276">
      <totalsRowFormula>SUBTOTAL(3,CT6:CT58)</totalsRowFormula>
    </tableColumn>
    <tableColumn id="98" xr3:uid="{26F8E44A-5C58-407C-B7EA-9DD83B9752C5}" name="31.3.2025" totalsRowFunction="custom" totalsRowDxfId="275">
      <totalsRowFormula>SUBTOTAL(3,CU6:CU58)</totalsRowFormula>
    </tableColumn>
    <tableColumn id="99" xr3:uid="{2664DE7C-0C40-4ABB-B7CA-2722EC79F688}" name="1.4.2025" totalsRowFunction="custom" totalsRowDxfId="274">
      <totalsRowFormula>SUBTOTAL(3,CV6:CV58)</totalsRowFormula>
    </tableColumn>
    <tableColumn id="100" xr3:uid="{1604CF75-1902-4701-9D4A-F618EBAC0273}" name="2.4.2025" totalsRowFunction="custom" totalsRowDxfId="273">
      <totalsRowFormula>SUBTOTAL(3,CW6:CW58)</totalsRowFormula>
    </tableColumn>
    <tableColumn id="101" xr3:uid="{C1A51109-F7DA-4D62-9DFD-0274F3DDD936}" name="3.4.2025" totalsRowFunction="custom" totalsRowDxfId="272">
      <totalsRowFormula>SUBTOTAL(3,CX6:CX58)</totalsRowFormula>
    </tableColumn>
    <tableColumn id="102" xr3:uid="{D27FEA4F-0303-4747-939C-42FCF8837E6D}" name="4.4.2025" totalsRowFunction="custom" totalsRowDxfId="271">
      <totalsRowFormula>SUBTOTAL(3,CY6:CY58)</totalsRowFormula>
    </tableColumn>
    <tableColumn id="103" xr3:uid="{E34AD7B8-6268-4654-904F-742F3BB5AB53}" name="5.4.2025" totalsRowFunction="custom" totalsRowDxfId="270">
      <totalsRowFormula>SUBTOTAL(3,CZ6:CZ58)</totalsRowFormula>
    </tableColumn>
    <tableColumn id="104" xr3:uid="{DFE2F049-1A1D-488B-AE6C-A9F2DC845C59}" name="6.4.2025" totalsRowFunction="custom" totalsRowDxfId="269">
      <totalsRowFormula>SUBTOTAL(3,DA6:DA58)</totalsRowFormula>
    </tableColumn>
    <tableColumn id="105" xr3:uid="{8B08EF4D-1D82-41F5-863C-C0EF166B3BF7}" name="7.4.2025" totalsRowFunction="custom" totalsRowDxfId="268">
      <totalsRowFormula>SUBTOTAL(3,DB6:DB58)</totalsRowFormula>
    </tableColumn>
    <tableColumn id="106" xr3:uid="{AE9A9E5D-A943-49F6-9C78-A6F34A298882}" name="8.4.2025" totalsRowFunction="custom" totalsRowDxfId="267">
      <totalsRowFormula>SUBTOTAL(3,DC6:DC58)</totalsRowFormula>
    </tableColumn>
    <tableColumn id="107" xr3:uid="{FEE983D1-4E5F-49CC-908E-D67E468F099C}" name="9.4.2025" totalsRowFunction="custom" totalsRowDxfId="266">
      <totalsRowFormula>SUBTOTAL(3,DD6:DD58)</totalsRowFormula>
    </tableColumn>
    <tableColumn id="108" xr3:uid="{EFA7B4A5-0B6F-4D14-953E-EDA8C5C102FC}" name="10.4.2025" totalsRowFunction="custom" totalsRowDxfId="265">
      <totalsRowFormula>SUBTOTAL(3,DE6:DE58)</totalsRowFormula>
    </tableColumn>
    <tableColumn id="109" xr3:uid="{D15C1ED2-9AA8-4B3A-A138-F0C046AEF5BE}" name="11.4.2025" totalsRowFunction="custom" totalsRowDxfId="264">
      <totalsRowFormula>SUBTOTAL(3,DF6:DF58)</totalsRowFormula>
    </tableColumn>
    <tableColumn id="110" xr3:uid="{5D12E47D-3852-4E85-A470-AFC9346D31AB}" name="12.4.2025" totalsRowFunction="custom" totalsRowDxfId="263">
      <totalsRowFormula>SUBTOTAL(3,DG6:DG58)</totalsRowFormula>
    </tableColumn>
    <tableColumn id="111" xr3:uid="{966B8AAD-184A-4AEC-8F70-78576F624704}" name="13.4.2025" totalsRowFunction="custom" totalsRowDxfId="262">
      <totalsRowFormula>SUBTOTAL(3,DH6:DH58)</totalsRowFormula>
    </tableColumn>
    <tableColumn id="112" xr3:uid="{7479B079-5EB3-42F1-92B8-4AE8A64A09C1}" name="14.4.2025" totalsRowFunction="custom" totalsRowDxfId="261">
      <totalsRowFormula>SUBTOTAL(3,DI6:DI58)</totalsRowFormula>
    </tableColumn>
    <tableColumn id="113" xr3:uid="{BED6D787-7C34-4E67-8AC0-5E96E90EFFBB}" name="15.4.2025" totalsRowFunction="custom" totalsRowDxfId="260">
      <totalsRowFormula>SUBTOTAL(3,DJ6:DJ58)</totalsRowFormula>
    </tableColumn>
    <tableColumn id="114" xr3:uid="{342A729D-473E-4C73-AA74-B2C94B9B49A6}" name="16.4.2025" totalsRowFunction="custom" totalsRowDxfId="259">
      <totalsRowFormula>SUBTOTAL(3,DK6:DK58)</totalsRowFormula>
    </tableColumn>
    <tableColumn id="115" xr3:uid="{FA7EAE87-2846-4795-BE79-AD57AFA3BF26}" name="17.4.2025" totalsRowFunction="custom" totalsRowDxfId="258">
      <totalsRowFormula>SUBTOTAL(3,DL6:DL58)</totalsRowFormula>
    </tableColumn>
    <tableColumn id="116" xr3:uid="{B805283C-CFD2-480A-9A16-F5A3F5387153}" name="18.4.2025" totalsRowFunction="custom" totalsRowDxfId="257">
      <totalsRowFormula>SUBTOTAL(3,DM6:DM58)</totalsRowFormula>
    </tableColumn>
    <tableColumn id="117" xr3:uid="{081F7357-50AC-4903-9679-A987940D1C1B}" name="19.4.2025" totalsRowFunction="custom" totalsRowDxfId="256">
      <totalsRowFormula>SUBTOTAL(3,DN6:DN58)</totalsRowFormula>
    </tableColumn>
    <tableColumn id="118" xr3:uid="{70D83EFA-4A42-4380-A966-5C20C557BAA1}" name="20.4.2025" totalsRowFunction="custom" totalsRowDxfId="255">
      <totalsRowFormula>SUBTOTAL(3,DO6:DO58)</totalsRowFormula>
    </tableColumn>
    <tableColumn id="119" xr3:uid="{20E5F6FE-0ACB-4659-828B-63967D9F91FD}" name="21.4.2025" totalsRowFunction="custom" totalsRowDxfId="254">
      <totalsRowFormula>SUBTOTAL(3,DP6:DP58)</totalsRowFormula>
    </tableColumn>
    <tableColumn id="120" xr3:uid="{0C08F39D-3A5F-4981-9878-F1831318DCD6}" name="22.4.2025" totalsRowFunction="custom" totalsRowDxfId="253">
      <totalsRowFormula>SUBTOTAL(3,DQ6:DQ58)</totalsRowFormula>
    </tableColumn>
    <tableColumn id="121" xr3:uid="{EA0702A8-F6E3-4755-9571-9295D15BC43C}" name="23.4.2025" totalsRowFunction="custom" totalsRowDxfId="252">
      <totalsRowFormula>SUBTOTAL(3,DR6:DR58)</totalsRowFormula>
    </tableColumn>
    <tableColumn id="122" xr3:uid="{790228D6-1A2E-475A-86F9-D64934ECA0FB}" name="24.4.2025" totalsRowFunction="custom" totalsRowDxfId="251">
      <totalsRowFormula>SUBTOTAL(3,DS6:DS58)</totalsRowFormula>
    </tableColumn>
    <tableColumn id="123" xr3:uid="{870E7303-683D-4726-91BA-B6D26F3EB3CE}" name="25.4.2025" totalsRowFunction="custom" totalsRowDxfId="250">
      <totalsRowFormula>SUBTOTAL(3,DT6:DT58)</totalsRowFormula>
    </tableColumn>
    <tableColumn id="124" xr3:uid="{DD963DE9-7481-43CA-8544-270707616EED}" name="26.4.2025" totalsRowFunction="custom" totalsRowDxfId="249">
      <totalsRowFormula>SUBTOTAL(3,DU6:DU58)</totalsRowFormula>
    </tableColumn>
    <tableColumn id="125" xr3:uid="{B6B900C9-620D-4DB9-9438-C63881D9D781}" name="27.4.2025" totalsRowFunction="custom" totalsRowDxfId="248">
      <totalsRowFormula>SUBTOTAL(3,DV6:DV58)</totalsRowFormula>
    </tableColumn>
    <tableColumn id="126" xr3:uid="{2A45733F-12A3-4329-8DEC-F69031F7752E}" name="28.4.2025" totalsRowFunction="custom" totalsRowDxfId="247">
      <totalsRowFormula>SUBTOTAL(3,DW6:DW58)</totalsRowFormula>
    </tableColumn>
    <tableColumn id="127" xr3:uid="{36C9FB32-0378-417C-A74C-64368EF5329E}" name="29.4.2025" totalsRowFunction="custom" totalsRowDxfId="246">
      <totalsRowFormula>SUBTOTAL(3,DX6:DX58)</totalsRowFormula>
    </tableColumn>
    <tableColumn id="128" xr3:uid="{C0041D8D-1B70-4EBC-8DD1-49F11E7EA5FF}" name="30.4.2025" totalsRowFunction="custom" totalsRowDxfId="245">
      <totalsRowFormula>SUBTOTAL(3,DY6:DY58)</totalsRowFormula>
    </tableColumn>
    <tableColumn id="129" xr3:uid="{06745B48-7CC3-469C-90AE-99226CAB209F}" name="1.5.2025" totalsRowFunction="custom" totalsRowDxfId="244">
      <totalsRowFormula>SUBTOTAL(3,DZ6:DZ58)</totalsRowFormula>
    </tableColumn>
    <tableColumn id="130" xr3:uid="{4A593E5B-CC70-4858-8FC1-0845924DDF5E}" name="2.5.2025" totalsRowFunction="custom" totalsRowDxfId="243">
      <totalsRowFormula>SUBTOTAL(3,EA6:EA58)</totalsRowFormula>
    </tableColumn>
    <tableColumn id="131" xr3:uid="{D9F17656-B1B0-4702-A319-D98344582F1C}" name="3.5.2025" totalsRowFunction="custom" totalsRowDxfId="242">
      <totalsRowFormula>SUBTOTAL(3,EB6:EB58)</totalsRowFormula>
    </tableColumn>
    <tableColumn id="132" xr3:uid="{CD344BB9-0496-4841-BC83-C33F12017D08}" name="4.5.2025" totalsRowFunction="custom" totalsRowDxfId="241">
      <totalsRowFormula>SUBTOTAL(3,EC6:EC58)</totalsRowFormula>
    </tableColumn>
    <tableColumn id="133" xr3:uid="{3B5341F5-7EA5-4B80-90BE-B58D58B22311}" name="5.5.2025" totalsRowFunction="custom" totalsRowDxfId="240">
      <totalsRowFormula>SUBTOTAL(3,ED6:ED58)</totalsRowFormula>
    </tableColumn>
    <tableColumn id="134" xr3:uid="{D3B91D7C-9E98-4392-BEA2-A5E27318B2D7}" name="6.5.2025" totalsRowFunction="custom" totalsRowDxfId="239">
      <totalsRowFormula>SUBTOTAL(3,EE6:EE58)</totalsRowFormula>
    </tableColumn>
    <tableColumn id="135" xr3:uid="{CA9AF985-79C2-4CD6-ACC9-C10A78DC11B9}" name="7.5.2025" totalsRowFunction="custom" totalsRowDxfId="238">
      <totalsRowFormula>SUBTOTAL(3,EF6:EF58)</totalsRowFormula>
    </tableColumn>
    <tableColumn id="136" xr3:uid="{0BCBC94E-1FD4-48D8-8F0E-366BCA2C586E}" name="8.5.2025" totalsRowFunction="custom" totalsRowDxfId="237">
      <totalsRowFormula>SUBTOTAL(3,EG6:EG58)</totalsRowFormula>
    </tableColumn>
    <tableColumn id="137" xr3:uid="{DAB92B0F-4E25-45D1-93A2-C115DC0AE7C7}" name="9.5.2025" totalsRowFunction="custom" totalsRowDxfId="236">
      <totalsRowFormula>SUBTOTAL(3,EH6:EH58)</totalsRowFormula>
    </tableColumn>
    <tableColumn id="138" xr3:uid="{2531E93F-B4A7-4F32-84F5-44FD6517AED7}" name="10.5.2025" totalsRowFunction="custom" totalsRowDxfId="235">
      <totalsRowFormula>SUBTOTAL(3,EI6:EI58)</totalsRowFormula>
    </tableColumn>
    <tableColumn id="139" xr3:uid="{5F201C7B-B326-42B4-BC0B-177900AC9248}" name="11.5.2025" totalsRowFunction="custom" totalsRowDxfId="234">
      <totalsRowFormula>SUBTOTAL(3,EJ6:EJ58)</totalsRowFormula>
    </tableColumn>
    <tableColumn id="140" xr3:uid="{989DABB7-8F97-43DC-A19B-557A6A2BC4E2}" name="12.5.2025" totalsRowFunction="custom" totalsRowDxfId="233">
      <totalsRowFormula>SUBTOTAL(3,EK6:EK58)</totalsRowFormula>
    </tableColumn>
    <tableColumn id="141" xr3:uid="{DE7D0334-6426-49B1-9FA8-1672EE6475F6}" name="13.5.2025" totalsRowFunction="custom" totalsRowDxfId="232">
      <totalsRowFormula>SUBTOTAL(3,EL6:EL58)</totalsRowFormula>
    </tableColumn>
    <tableColumn id="142" xr3:uid="{F1D379E6-23D1-4F3C-AAEF-402469E6B5F2}" name="14.5.2025" totalsRowFunction="custom" totalsRowDxfId="231">
      <totalsRowFormula>SUBTOTAL(3,EM6:EM58)</totalsRowFormula>
    </tableColumn>
    <tableColumn id="143" xr3:uid="{AF8A2310-9148-4CC3-9C38-A3822CA52199}" name="15.5.2025" totalsRowFunction="custom" totalsRowDxfId="230">
      <totalsRowFormula>SUBTOTAL(3,EN6:EN58)</totalsRowFormula>
    </tableColumn>
    <tableColumn id="144" xr3:uid="{D6632EC9-00C6-4B2D-BC6E-2B7436AF6372}" name="16.5.2025" totalsRowFunction="custom" totalsRowDxfId="229">
      <totalsRowFormula>SUBTOTAL(3,EO6:EO58)</totalsRowFormula>
    </tableColumn>
    <tableColumn id="145" xr3:uid="{1A8F8635-FE66-4A90-B878-4269BEEF1BF4}" name="17.5.2025" totalsRowFunction="custom" totalsRowDxfId="228">
      <totalsRowFormula>SUBTOTAL(3,EP6:EP58)</totalsRowFormula>
    </tableColumn>
    <tableColumn id="146" xr3:uid="{A522A97C-13E8-4BC6-82D9-75E8705BDD88}" name="18.5.2025" totalsRowFunction="custom" totalsRowDxfId="227">
      <totalsRowFormula>SUBTOTAL(3,EQ6:EQ58)</totalsRowFormula>
    </tableColumn>
    <tableColumn id="147" xr3:uid="{15F1C23C-40CF-4D14-B03C-D8325258B173}" name="19.5.2025" totalsRowFunction="custom" totalsRowDxfId="226">
      <totalsRowFormula>SUBTOTAL(3,ER6:ER58)</totalsRowFormula>
    </tableColumn>
    <tableColumn id="148" xr3:uid="{E6EBC3D8-4CC2-42A4-AA16-D20745829AA6}" name="20.5.2025" totalsRowFunction="custom" totalsRowDxfId="225">
      <totalsRowFormula>SUBTOTAL(3,ES6:ES58)</totalsRowFormula>
    </tableColumn>
    <tableColumn id="149" xr3:uid="{2764D7F8-5046-414F-B128-2B139CED6897}" name="21.5.2025" totalsRowFunction="custom" totalsRowDxfId="224">
      <totalsRowFormula>SUBTOTAL(3,ET6:ET58)</totalsRowFormula>
    </tableColumn>
    <tableColumn id="150" xr3:uid="{8CF151EC-F8DE-4CB2-A5C9-B8F8AA492965}" name="22.5.2025" totalsRowFunction="custom" totalsRowDxfId="223">
      <totalsRowFormula>SUBTOTAL(3,EU6:EU58)</totalsRowFormula>
    </tableColumn>
    <tableColumn id="151" xr3:uid="{8E3C877E-3DA8-4C71-BEDD-A664CE8EF824}" name="23.5.2025" totalsRowFunction="custom" totalsRowDxfId="222">
      <totalsRowFormula>SUBTOTAL(3,EV6:EV58)</totalsRowFormula>
    </tableColumn>
    <tableColumn id="152" xr3:uid="{068E90EC-D571-41D0-85E6-798474DF1E4A}" name="24.5.2025" totalsRowFunction="custom" totalsRowDxfId="221">
      <totalsRowFormula>SUBTOTAL(3,EW6:EW58)</totalsRowFormula>
    </tableColumn>
    <tableColumn id="153" xr3:uid="{57F791EB-C498-4D4B-AE92-172949549215}" name="25.5.2025" totalsRowFunction="custom" totalsRowDxfId="220">
      <totalsRowFormula>SUBTOTAL(3,EX6:EX58)</totalsRowFormula>
    </tableColumn>
    <tableColumn id="154" xr3:uid="{908EB6DC-4070-4DC4-9D59-37B94988A082}" name="26.5.2025" totalsRowFunction="custom" totalsRowDxfId="219">
      <totalsRowFormula>SUBTOTAL(3,EY6:EY58)</totalsRowFormula>
    </tableColumn>
    <tableColumn id="155" xr3:uid="{92D17485-F18A-4212-8FCB-3B357C41A77E}" name="27.5.2025" totalsRowFunction="custom" totalsRowDxfId="218">
      <totalsRowFormula>SUBTOTAL(3,EZ6:EZ58)</totalsRowFormula>
    </tableColumn>
    <tableColumn id="156" xr3:uid="{2577405D-50EE-48DB-9C72-1EABE6B5E138}" name="28.5.2025" totalsRowFunction="custom" totalsRowDxfId="217">
      <totalsRowFormula>SUBTOTAL(3,FA6:FA58)</totalsRowFormula>
    </tableColumn>
    <tableColumn id="157" xr3:uid="{EDA210BE-36F2-4021-8A9D-1F9C099FAA26}" name="29.5.2025" totalsRowFunction="custom" totalsRowDxfId="216">
      <totalsRowFormula>SUBTOTAL(3,FB6:FB58)</totalsRowFormula>
    </tableColumn>
    <tableColumn id="158" xr3:uid="{6B6476D7-326B-4EA8-9078-DD981BCC1BCB}" name="30.5.2025" totalsRowFunction="custom" totalsRowDxfId="215">
      <totalsRowFormula>SUBTOTAL(3,FC6:FC58)</totalsRowFormula>
    </tableColumn>
    <tableColumn id="159" xr3:uid="{C4C8962D-50ED-4492-8F4D-3D6ADC1EA9CB}" name="31.5.2025" totalsRowFunction="custom" totalsRowDxfId="214">
      <totalsRowFormula>SUBTOTAL(3,FD6:FD58)</totalsRowFormula>
    </tableColumn>
    <tableColumn id="160" xr3:uid="{14CF9109-E75E-43C1-AF49-A3B0D2D32D5B}" name="1.6.2025" totalsRowFunction="custom" totalsRowDxfId="213">
      <totalsRowFormula>SUBTOTAL(3,FE6:FE58)</totalsRowFormula>
    </tableColumn>
    <tableColumn id="161" xr3:uid="{7D357885-7081-4B80-9F90-5C6F586A6EB8}" name="2.6.2025" totalsRowFunction="custom" totalsRowDxfId="212">
      <totalsRowFormula>SUBTOTAL(3,FF6:FF58)</totalsRowFormula>
    </tableColumn>
    <tableColumn id="162" xr3:uid="{323D5F8E-0D96-4705-8FEC-F05732705105}" name="3.6.2025" totalsRowFunction="custom" totalsRowDxfId="211">
      <totalsRowFormula>SUBTOTAL(3,FG6:FG58)</totalsRowFormula>
    </tableColumn>
    <tableColumn id="163" xr3:uid="{6F5CB224-4A0C-45A8-B9C0-CDD19036EA26}" name="4.6.2025" totalsRowFunction="custom" totalsRowDxfId="210">
      <totalsRowFormula>SUBTOTAL(3,FH6:FH58)</totalsRowFormula>
    </tableColumn>
    <tableColumn id="164" xr3:uid="{5FF792F0-8CDC-438D-BD9B-EBC8DB021973}" name="5.6.2025" totalsRowFunction="custom" totalsRowDxfId="209">
      <totalsRowFormula>SUBTOTAL(3,FI6:FI58)</totalsRowFormula>
    </tableColumn>
    <tableColumn id="165" xr3:uid="{9700097C-BAC0-4C71-A3E8-838CE785AB25}" name="6.6.2025" totalsRowFunction="custom" totalsRowDxfId="208">
      <totalsRowFormula>SUBTOTAL(3,FJ6:FJ58)</totalsRowFormula>
    </tableColumn>
    <tableColumn id="166" xr3:uid="{715382A8-BE86-4D80-B575-F97A1BF587E4}" name="7.6.2025" totalsRowFunction="custom" totalsRowDxfId="207">
      <totalsRowFormula>SUBTOTAL(3,FK6:FK58)</totalsRowFormula>
    </tableColumn>
    <tableColumn id="167" xr3:uid="{037328BA-771B-47DA-97E4-9A33D85FB735}" name="8.6.2025" totalsRowFunction="custom" totalsRowDxfId="206">
      <totalsRowFormula>SUBTOTAL(3,FL6:FL58)</totalsRowFormula>
    </tableColumn>
    <tableColumn id="168" xr3:uid="{477E9753-B350-4BE1-B9C5-1F70972188F1}" name="9.6.2025" totalsRowFunction="custom" totalsRowDxfId="205">
      <totalsRowFormula>SUBTOTAL(3,FM6:FM58)</totalsRowFormula>
    </tableColumn>
    <tableColumn id="169" xr3:uid="{59EF8E93-75BC-4DC6-8E7C-DC10AAE904A4}" name="10.6.2025" totalsRowFunction="custom" totalsRowDxfId="204">
      <totalsRowFormula>SUBTOTAL(3,FN6:FN58)</totalsRowFormula>
    </tableColumn>
    <tableColumn id="170" xr3:uid="{3DDFBB5E-1E33-4BFE-ACF6-5EC9CF7109F3}" name="11.6.2025" totalsRowFunction="custom" totalsRowDxfId="203">
      <totalsRowFormula>SUBTOTAL(3,FO6:FO58)</totalsRowFormula>
    </tableColumn>
    <tableColumn id="171" xr3:uid="{1D7C27A3-B429-4D2E-B0DF-ECB0F8439D02}" name="12.6.2025" totalsRowFunction="custom" totalsRowDxfId="202">
      <totalsRowFormula>SUBTOTAL(3,FP6:FP58)</totalsRowFormula>
    </tableColumn>
    <tableColumn id="172" xr3:uid="{A5EC72CF-A394-4D80-9964-131299CEF67D}" name="13.6.2025" totalsRowFunction="custom" totalsRowDxfId="201">
      <totalsRowFormula>SUBTOTAL(3,FQ6:FQ58)</totalsRowFormula>
    </tableColumn>
    <tableColumn id="173" xr3:uid="{68755CAB-9F6E-46C6-9ECC-37D873DF4D8A}" name="14.6.2025" totalsRowFunction="custom" totalsRowDxfId="200">
      <totalsRowFormula>SUBTOTAL(3,FR6:FR58)</totalsRowFormula>
    </tableColumn>
    <tableColumn id="174" xr3:uid="{D402C585-F2EE-4BFA-A6D8-48431FA8E9CA}" name="15.6.2025" totalsRowFunction="custom" totalsRowDxfId="199">
      <totalsRowFormula>SUBTOTAL(3,FS6:FS58)</totalsRowFormula>
    </tableColumn>
    <tableColumn id="175" xr3:uid="{B9312EF9-947D-4587-B9C1-BF8E8C8404D6}" name="16.6.2025" totalsRowFunction="custom" totalsRowDxfId="198">
      <totalsRowFormula>SUBTOTAL(3,FT6:FT58)</totalsRowFormula>
    </tableColumn>
    <tableColumn id="176" xr3:uid="{DD370749-B337-4F69-8DF9-F9FEA51FC555}" name="17.6.2025" totalsRowFunction="custom" totalsRowDxfId="197">
      <totalsRowFormula>SUBTOTAL(3,FU6:FU58)</totalsRowFormula>
    </tableColumn>
    <tableColumn id="177" xr3:uid="{C1EBE7E4-A7A6-45C3-97A8-DFFEAFF7A8B3}" name="18.6.2025" totalsRowFunction="custom" totalsRowDxfId="196">
      <totalsRowFormula>SUBTOTAL(3,FV6:FV58)</totalsRowFormula>
    </tableColumn>
    <tableColumn id="178" xr3:uid="{AB7CA0CB-FFA7-48F0-8D8B-D9600FE475E9}" name="19.6.2025" totalsRowFunction="custom" totalsRowDxfId="195">
      <totalsRowFormula>SUBTOTAL(3,FW6:FW58)</totalsRowFormula>
    </tableColumn>
    <tableColumn id="179" xr3:uid="{A6A982CE-52AC-461E-8FD7-F9173223D300}" name="20.6.2025" totalsRowFunction="custom" totalsRowDxfId="194">
      <totalsRowFormula>SUBTOTAL(3,FX6:FX58)</totalsRowFormula>
    </tableColumn>
    <tableColumn id="180" xr3:uid="{791219C1-7692-4894-B371-971BEFCBBAE3}" name="21.6.2025" totalsRowFunction="custom" totalsRowDxfId="193">
      <totalsRowFormula>SUBTOTAL(3,FY6:FY58)</totalsRowFormula>
    </tableColumn>
    <tableColumn id="181" xr3:uid="{9F07D85A-9017-4EE8-95AF-B649F0D6F589}" name="22.6.2025" totalsRowFunction="custom" totalsRowDxfId="192">
      <totalsRowFormula>SUBTOTAL(3,FZ6:FZ58)</totalsRowFormula>
    </tableColumn>
    <tableColumn id="182" xr3:uid="{583F22DD-7494-4AEA-876F-D792A21D1F85}" name="23.6.2025" totalsRowFunction="custom" totalsRowDxfId="191">
      <totalsRowFormula>SUBTOTAL(3,GA6:GA58)</totalsRowFormula>
    </tableColumn>
    <tableColumn id="183" xr3:uid="{014CB999-F8FE-4377-90DF-160A7B6764AD}" name="24.6.2025" totalsRowFunction="custom" totalsRowDxfId="190">
      <totalsRowFormula>SUBTOTAL(3,GB6:GB58)</totalsRowFormula>
    </tableColumn>
    <tableColumn id="184" xr3:uid="{ABB07BCE-A330-4F3E-8B88-553102A02AAE}" name="25.6.2025" totalsRowFunction="custom" totalsRowDxfId="189">
      <totalsRowFormula>SUBTOTAL(3,GC6:GC58)</totalsRowFormula>
    </tableColumn>
    <tableColumn id="185" xr3:uid="{8C15358F-7949-4FDA-B3AA-DA556E453293}" name="26.6.2025" totalsRowFunction="custom" totalsRowDxfId="188">
      <totalsRowFormula>SUBTOTAL(3,GD6:GD58)</totalsRowFormula>
    </tableColumn>
    <tableColumn id="186" xr3:uid="{E83526DE-BF09-4239-B094-C5A96F829E0C}" name="27.6.2025" totalsRowFunction="custom" totalsRowDxfId="187">
      <totalsRowFormula>SUBTOTAL(3,GE6:GE58)</totalsRowFormula>
    </tableColumn>
    <tableColumn id="187" xr3:uid="{C6D8ACAF-0E45-4C19-9472-0EA6EEFBA732}" name="28.6.2025" totalsRowFunction="custom" totalsRowDxfId="186">
      <totalsRowFormula>SUBTOTAL(3,GF6:GF58)</totalsRowFormula>
    </tableColumn>
    <tableColumn id="188" xr3:uid="{0BD70A87-0E53-4A03-BB4A-37D6B882472F}" name="29.6.2025" totalsRowFunction="custom" totalsRowDxfId="185">
      <totalsRowFormula>SUBTOTAL(3,GG6:GG58)</totalsRowFormula>
    </tableColumn>
    <tableColumn id="189" xr3:uid="{DFCCFC9F-9861-472B-9B4D-1215FA4E9502}" name="30.6.2025" totalsRowFunction="custom" totalsRowDxfId="184">
      <totalsRowFormula>SUBTOTAL(3,GH6:GH58)</totalsRowFormula>
    </tableColumn>
    <tableColumn id="190" xr3:uid="{9E2C16D3-9BE9-45D5-969C-2E8BB3621E0B}" name="1.7.2025" totalsRowFunction="custom" totalsRowDxfId="183">
      <totalsRowFormula>SUBTOTAL(3,GI6:GI58)</totalsRowFormula>
    </tableColumn>
    <tableColumn id="191" xr3:uid="{1B55CA90-D672-47A2-9D0C-3980A1EECCD0}" name="2.7.2025" totalsRowFunction="custom" totalsRowDxfId="182">
      <totalsRowFormula>SUBTOTAL(3,GJ6:GJ58)</totalsRowFormula>
    </tableColumn>
    <tableColumn id="192" xr3:uid="{CFEDD96A-233C-462E-9072-4FA8B432B5E4}" name="3.7.2025" totalsRowFunction="custom" totalsRowDxfId="181">
      <totalsRowFormula>SUBTOTAL(3,GK6:GK58)</totalsRowFormula>
    </tableColumn>
    <tableColumn id="193" xr3:uid="{D2FBB8C8-A8D4-474C-91AE-44D4FB9186BA}" name="4.7.2025" totalsRowFunction="custom" totalsRowDxfId="180">
      <totalsRowFormula>SUBTOTAL(3,GL6:GL58)</totalsRowFormula>
    </tableColumn>
    <tableColumn id="194" xr3:uid="{C3B16970-A469-4703-843D-B90FA05CAE81}" name="5.7.2025" totalsRowFunction="custom" totalsRowDxfId="179">
      <totalsRowFormula>SUBTOTAL(3,GM6:GM58)</totalsRowFormula>
    </tableColumn>
    <tableColumn id="195" xr3:uid="{44DB9C9F-645C-4AD7-8CFE-B0F191564711}" name="6.7.2025" totalsRowFunction="custom" totalsRowDxfId="178">
      <totalsRowFormula>SUBTOTAL(3,GN6:GN58)</totalsRowFormula>
    </tableColumn>
    <tableColumn id="196" xr3:uid="{9216E381-3795-40A6-A47C-1193A459262C}" name="7.7.2025" totalsRowFunction="custom" totalsRowDxfId="177">
      <totalsRowFormula>SUBTOTAL(3,GO6:GO58)</totalsRowFormula>
    </tableColumn>
    <tableColumn id="197" xr3:uid="{6CD2CF8C-4A44-4C2E-B3BC-FEEE72BD4D99}" name="8.7.2025" totalsRowFunction="custom" totalsRowDxfId="176">
      <totalsRowFormula>SUBTOTAL(3,GP6:GP58)</totalsRowFormula>
    </tableColumn>
    <tableColumn id="198" xr3:uid="{B3DD6777-8408-48EE-BCAD-50C78149BAC5}" name="9.7.2025" totalsRowFunction="custom" totalsRowDxfId="175">
      <totalsRowFormula>SUBTOTAL(3,GQ6:GQ58)</totalsRowFormula>
    </tableColumn>
    <tableColumn id="199" xr3:uid="{51926492-B31F-458E-A40D-DCB1BDA218A2}" name="10.7.2025" totalsRowFunction="custom" totalsRowDxfId="174">
      <totalsRowFormula>SUBTOTAL(3,GR6:GR58)</totalsRowFormula>
    </tableColumn>
    <tableColumn id="200" xr3:uid="{D821A186-FBC3-4A71-A0CA-D1DECEC173C9}" name="11.7.2025" totalsRowFunction="custom" totalsRowDxfId="173">
      <totalsRowFormula>SUBTOTAL(3,GS6:GS58)</totalsRowFormula>
    </tableColumn>
    <tableColumn id="201" xr3:uid="{FF36CC23-8E6A-45BE-B370-5214DE3B69F6}" name="12.7.2025" totalsRowFunction="custom" totalsRowDxfId="172">
      <totalsRowFormula>SUBTOTAL(3,GT6:GT58)</totalsRowFormula>
    </tableColumn>
    <tableColumn id="202" xr3:uid="{EB061E79-250F-4B2F-BAA5-3C5E7609C2DD}" name="13.7.2025" totalsRowFunction="custom" totalsRowDxfId="171">
      <totalsRowFormula>SUBTOTAL(3,GU6:GU58)</totalsRowFormula>
    </tableColumn>
    <tableColumn id="203" xr3:uid="{0D48A7F9-5D6C-490E-AF26-354AD2E235E6}" name="14.7.2025" totalsRowFunction="custom" totalsRowDxfId="170">
      <totalsRowFormula>SUBTOTAL(3,GV6:GV58)</totalsRowFormula>
    </tableColumn>
    <tableColumn id="204" xr3:uid="{AB0407C4-504F-4434-9403-A7309B06CCAC}" name="15.7.2025" totalsRowFunction="custom" totalsRowDxfId="169">
      <totalsRowFormula>SUBTOTAL(3,GW6:GW58)</totalsRowFormula>
    </tableColumn>
    <tableColumn id="205" xr3:uid="{9AE5D44D-2D32-4DB6-ACB3-E1C3FB588BDC}" name="16.7.2025" totalsRowFunction="custom" totalsRowDxfId="168">
      <totalsRowFormula>SUBTOTAL(3,GX6:GX58)</totalsRowFormula>
    </tableColumn>
    <tableColumn id="206" xr3:uid="{626F3145-3A4B-492D-80C7-AB02FCBAAE45}" name="17.7.2025" totalsRowFunction="custom" totalsRowDxfId="167">
      <totalsRowFormula>SUBTOTAL(3,GY6:GY58)</totalsRowFormula>
    </tableColumn>
    <tableColumn id="207" xr3:uid="{12D2B6CB-2CB9-42B5-B53D-BAA10F52A66B}" name="18.7.2025" totalsRowFunction="custom" totalsRowDxfId="166">
      <totalsRowFormula>SUBTOTAL(3,GZ6:GZ58)</totalsRowFormula>
    </tableColumn>
    <tableColumn id="208" xr3:uid="{EA7A03D9-051E-41DE-A03C-F7C701C73DB3}" name="19.7.2025" totalsRowFunction="custom" totalsRowDxfId="165">
      <totalsRowFormula>SUBTOTAL(3,HA6:HA58)</totalsRowFormula>
    </tableColumn>
    <tableColumn id="209" xr3:uid="{BF51A93E-A55A-4522-883E-44B623930136}" name="20.7.2025" totalsRowFunction="custom" totalsRowDxfId="164">
      <totalsRowFormula>SUBTOTAL(3,HB6:HB58)</totalsRowFormula>
    </tableColumn>
    <tableColumn id="210" xr3:uid="{97685BD5-63CA-43DD-B7A6-20FEC9C74128}" name="21.7.2025" totalsRowFunction="custom" totalsRowDxfId="163">
      <totalsRowFormula>SUBTOTAL(3,HC6:HC58)</totalsRowFormula>
    </tableColumn>
    <tableColumn id="211" xr3:uid="{6D43E9A1-4176-4BD0-A01E-A9524947C2FF}" name="22.7.2025" totalsRowFunction="custom" totalsRowDxfId="162">
      <totalsRowFormula>SUBTOTAL(3,HD6:HD58)</totalsRowFormula>
    </tableColumn>
    <tableColumn id="212" xr3:uid="{81C496FD-2562-4926-B060-6534FF756F9F}" name="23.7.2025" totalsRowFunction="custom" totalsRowDxfId="161">
      <totalsRowFormula>SUBTOTAL(3,HE6:HE58)</totalsRowFormula>
    </tableColumn>
    <tableColumn id="213" xr3:uid="{B94F3879-3B5C-40BA-8AA0-71B98BF289E3}" name="24.7.2025" totalsRowFunction="custom" totalsRowDxfId="160">
      <totalsRowFormula>SUBTOTAL(3,HF6:HF58)</totalsRowFormula>
    </tableColumn>
    <tableColumn id="214" xr3:uid="{C97149F8-DCBE-44F5-B81E-8FCDC60F37FC}" name="25.7.2025" totalsRowFunction="custom" totalsRowDxfId="159">
      <totalsRowFormula>SUBTOTAL(3,HG6:HG58)</totalsRowFormula>
    </tableColumn>
    <tableColumn id="215" xr3:uid="{B47A2D08-6130-442C-9BEC-EAD461CB879E}" name="26.7.2025" totalsRowFunction="custom" totalsRowDxfId="158">
      <totalsRowFormula>SUBTOTAL(3,HH6:HH58)</totalsRowFormula>
    </tableColumn>
    <tableColumn id="216" xr3:uid="{6D462D06-BEF2-49C2-BBFA-8889D2C14EC6}" name="27.7.2025" totalsRowFunction="custom" totalsRowDxfId="157">
      <totalsRowFormula>SUBTOTAL(3,HI6:HI58)</totalsRowFormula>
    </tableColumn>
    <tableColumn id="217" xr3:uid="{E232FEAA-5CC6-4E3E-8C98-06FAF2315F7A}" name="28.7.2025" totalsRowFunction="custom" totalsRowDxfId="156">
      <totalsRowFormula>SUBTOTAL(3,HJ6:HJ58)</totalsRowFormula>
    </tableColumn>
    <tableColumn id="218" xr3:uid="{FF38ACB8-F215-49E2-8733-9E94BFE3DB3E}" name="29.7.2025" totalsRowFunction="custom" totalsRowDxfId="155">
      <totalsRowFormula>SUBTOTAL(3,HK6:HK58)</totalsRowFormula>
    </tableColumn>
    <tableColumn id="219" xr3:uid="{4D4D8804-3D39-4898-B9DC-AF46008CB700}" name="30.7.2025" totalsRowFunction="custom" totalsRowDxfId="154">
      <totalsRowFormula>SUBTOTAL(3,HL6:HL58)</totalsRowFormula>
    </tableColumn>
    <tableColumn id="220" xr3:uid="{62BFAA08-21E7-4746-A89C-37AF92C78A0A}" name="31.7.2025" totalsRowFunction="custom" totalsRowDxfId="153">
      <totalsRowFormula>SUBTOTAL(3,HM6:HM58)</totalsRowFormula>
    </tableColumn>
    <tableColumn id="221" xr3:uid="{3B0EBF15-A515-48B0-9CF1-C4ECBA854368}" name="1.8.2025" totalsRowFunction="custom" totalsRowDxfId="152">
      <totalsRowFormula>SUBTOTAL(3,HN6:HN58)</totalsRowFormula>
    </tableColumn>
    <tableColumn id="222" xr3:uid="{4CB1CE7A-A8B6-4105-886E-8B0C270E17B5}" name="2.8.2025" totalsRowFunction="custom" totalsRowDxfId="151">
      <totalsRowFormula>SUBTOTAL(3,HO6:HO58)</totalsRowFormula>
    </tableColumn>
    <tableColumn id="223" xr3:uid="{FA11F4D4-3EA0-4126-868D-78B98BB3807E}" name="3.8.2025" totalsRowFunction="custom" totalsRowDxfId="150">
      <totalsRowFormula>SUBTOTAL(3,HP6:HP58)</totalsRowFormula>
    </tableColumn>
    <tableColumn id="224" xr3:uid="{BF6C64B6-A39A-48F3-B421-8B551852ECDF}" name="4.8.2025" totalsRowFunction="custom" totalsRowDxfId="149">
      <totalsRowFormula>SUBTOTAL(3,HQ6:HQ58)</totalsRowFormula>
    </tableColumn>
    <tableColumn id="225" xr3:uid="{BCC554A8-87F7-431F-B34A-CC233E5F0FB9}" name="5.8.2025" totalsRowFunction="custom" totalsRowDxfId="148">
      <totalsRowFormula>SUBTOTAL(3,HR6:HR58)</totalsRowFormula>
    </tableColumn>
    <tableColumn id="226" xr3:uid="{A45353B8-547E-491F-9809-2158742955BC}" name="6.8.2025" totalsRowFunction="custom" totalsRowDxfId="147">
      <totalsRowFormula>SUBTOTAL(3,HS6:HS58)</totalsRowFormula>
    </tableColumn>
    <tableColumn id="227" xr3:uid="{180ED01F-2972-4406-ADD3-D9EF3AB35C32}" name="7.8.2025" totalsRowFunction="custom" totalsRowDxfId="146">
      <totalsRowFormula>SUBTOTAL(3,HT6:HT58)</totalsRowFormula>
    </tableColumn>
    <tableColumn id="228" xr3:uid="{6926E84E-DA3B-49B2-B273-3AD3FC726E92}" name="8.8.2025" totalsRowFunction="custom" totalsRowDxfId="145">
      <totalsRowFormula>SUBTOTAL(3,HU6:HU58)</totalsRowFormula>
    </tableColumn>
    <tableColumn id="229" xr3:uid="{907A1661-943C-453F-B081-2498F672528D}" name="9.8.2025" totalsRowFunction="custom" totalsRowDxfId="144">
      <totalsRowFormula>SUBTOTAL(3,HV6:HV58)</totalsRowFormula>
    </tableColumn>
    <tableColumn id="230" xr3:uid="{0D02F871-76BC-4C70-AD85-6D4F7D83AA6F}" name="10.8.2025" totalsRowFunction="custom" totalsRowDxfId="143">
      <totalsRowFormula>SUBTOTAL(3,HW6:HW58)</totalsRowFormula>
    </tableColumn>
    <tableColumn id="231" xr3:uid="{9AB2F431-FBCD-4F99-B038-083F0B7D96BC}" name="11.8.2025" totalsRowFunction="custom" totalsRowDxfId="142">
      <totalsRowFormula>SUBTOTAL(3,HX6:HX58)</totalsRowFormula>
    </tableColumn>
    <tableColumn id="232" xr3:uid="{9EA681E4-06CD-485B-BFA9-8D799D9ED3F4}" name="12.8.2025" totalsRowFunction="custom" totalsRowDxfId="141">
      <totalsRowFormula>SUBTOTAL(3,HY6:HY58)</totalsRowFormula>
    </tableColumn>
    <tableColumn id="233" xr3:uid="{2097B6F3-AD54-4D6C-A8DF-FFFCDFA0F0A9}" name="13.8.2025" totalsRowFunction="custom" totalsRowDxfId="140">
      <totalsRowFormula>SUBTOTAL(3,HZ6:HZ58)</totalsRowFormula>
    </tableColumn>
    <tableColumn id="234" xr3:uid="{685845CE-CB14-444D-82BE-B9F36C3B40A2}" name="14.8.2025" totalsRowFunction="custom" totalsRowDxfId="139">
      <totalsRowFormula>SUBTOTAL(3,IA6:IA58)</totalsRowFormula>
    </tableColumn>
    <tableColumn id="235" xr3:uid="{FA20FB4C-70EB-469C-B833-5BAC92557E1D}" name="15.8.2025" totalsRowFunction="custom" totalsRowDxfId="138">
      <totalsRowFormula>SUBTOTAL(3,IB6:IB58)</totalsRowFormula>
    </tableColumn>
    <tableColumn id="236" xr3:uid="{2EA50B0D-343E-4A4B-8572-11C30CE68005}" name="16.8.2025" totalsRowFunction="custom" totalsRowDxfId="137">
      <totalsRowFormula>SUBTOTAL(3,IC6:IC58)</totalsRowFormula>
    </tableColumn>
    <tableColumn id="237" xr3:uid="{C769738B-BBD2-43EB-BC7A-7EF37C7C4138}" name="17.8.2025" totalsRowFunction="custom" totalsRowDxfId="136">
      <totalsRowFormula>SUBTOTAL(3,ID6:ID58)</totalsRowFormula>
    </tableColumn>
    <tableColumn id="238" xr3:uid="{B4AEB54C-956E-4FEA-AE93-14D8A9ACC5A8}" name="18.8.2025" totalsRowFunction="custom" totalsRowDxfId="135">
      <totalsRowFormula>SUBTOTAL(3,IE6:IE58)</totalsRowFormula>
    </tableColumn>
    <tableColumn id="239" xr3:uid="{57254C2F-E2CB-474B-B64F-0F1A0ECEAA34}" name="19.8.2025" totalsRowFunction="custom" totalsRowDxfId="134">
      <totalsRowFormula>SUBTOTAL(3,IF6:IF58)</totalsRowFormula>
    </tableColumn>
    <tableColumn id="240" xr3:uid="{8272E133-B37C-4FE7-84C3-24D19E506455}" name="20.8.2025" totalsRowFunction="custom" totalsRowDxfId="133">
      <totalsRowFormula>SUBTOTAL(3,IG6:IG58)</totalsRowFormula>
    </tableColumn>
    <tableColumn id="241" xr3:uid="{85CD649B-D69B-415D-8DEF-C0A3A77EC092}" name="21.8.2025" totalsRowFunction="custom" totalsRowDxfId="132">
      <totalsRowFormula>SUBTOTAL(3,IH6:IH58)</totalsRowFormula>
    </tableColumn>
    <tableColumn id="242" xr3:uid="{B10025EE-A977-4834-96F1-2CC591DE84EB}" name="22.8.2025" totalsRowFunction="custom" totalsRowDxfId="131">
      <totalsRowFormula>SUBTOTAL(3,II6:II58)</totalsRowFormula>
    </tableColumn>
    <tableColumn id="243" xr3:uid="{86F8D682-4239-4E99-A946-307AD51CB2FF}" name="23.8.2025" totalsRowFunction="custom" totalsRowDxfId="130">
      <totalsRowFormula>SUBTOTAL(3,IJ6:IJ58)</totalsRowFormula>
    </tableColumn>
    <tableColumn id="244" xr3:uid="{2FFA8E12-4DA7-4278-835F-529D8C465504}" name="24.8.2025" totalsRowFunction="custom" totalsRowDxfId="129">
      <totalsRowFormula>SUBTOTAL(3,IK6:IK58)</totalsRowFormula>
    </tableColumn>
    <tableColumn id="245" xr3:uid="{056B4EB9-DE58-413B-B25C-3DBBE0064999}" name="25.8.2025" totalsRowFunction="custom" totalsRowDxfId="128">
      <totalsRowFormula>SUBTOTAL(3,IL6:IL58)</totalsRowFormula>
    </tableColumn>
    <tableColumn id="246" xr3:uid="{5CF4F517-A3D3-4481-B6D3-7F3EF615AF6D}" name="26.8.2025" totalsRowFunction="custom" totalsRowDxfId="127">
      <totalsRowFormula>SUBTOTAL(3,IM6:IM58)</totalsRowFormula>
    </tableColumn>
    <tableColumn id="247" xr3:uid="{183298CA-BB99-46C8-8734-70C0DB75D637}" name="27.8.2025" totalsRowFunction="custom" totalsRowDxfId="126">
      <totalsRowFormula>SUBTOTAL(3,IN6:IN58)</totalsRowFormula>
    </tableColumn>
    <tableColumn id="248" xr3:uid="{A90DB721-F460-4878-972C-E690ED86F087}" name="28.8.2025" totalsRowFunction="custom" totalsRowDxfId="125">
      <totalsRowFormula>SUBTOTAL(3,IO6:IO58)</totalsRowFormula>
    </tableColumn>
    <tableColumn id="249" xr3:uid="{9B32A95B-77BD-4050-B34A-69DADD4D22E4}" name="29.8.2025" totalsRowFunction="custom" totalsRowDxfId="124">
      <totalsRowFormula>SUBTOTAL(3,IP6:IP58)</totalsRowFormula>
    </tableColumn>
    <tableColumn id="250" xr3:uid="{7473D843-020F-4617-9131-D5E992DA4759}" name="30.8.2025" totalsRowFunction="custom" totalsRowDxfId="123">
      <totalsRowFormula>SUBTOTAL(3,IQ6:IQ58)</totalsRowFormula>
    </tableColumn>
    <tableColumn id="251" xr3:uid="{E0E28D1D-18BC-485A-800A-F4FE47F43DE4}" name="31.8.2025" totalsRowFunction="custom" totalsRowDxfId="122">
      <totalsRowFormula>SUBTOTAL(3,IR6:IR58)</totalsRowFormula>
    </tableColumn>
    <tableColumn id="252" xr3:uid="{B642D7A4-87CE-4578-B4E6-D0F468BE2A9D}" name="1.9.2025" totalsRowFunction="custom" totalsRowDxfId="121">
      <totalsRowFormula>SUBTOTAL(3,IS6:IS58)</totalsRowFormula>
    </tableColumn>
    <tableColumn id="253" xr3:uid="{55288E2C-FBD6-4074-9141-CE55441C89AF}" name="2.9.2025" totalsRowFunction="custom" totalsRowDxfId="120">
      <totalsRowFormula>SUBTOTAL(3,IT6:IT58)</totalsRowFormula>
    </tableColumn>
    <tableColumn id="254" xr3:uid="{C0F3C932-FF7D-4E0A-8EC3-DAFEFFC6F507}" name="3.9.2025" totalsRowFunction="custom" totalsRowDxfId="119">
      <totalsRowFormula>SUBTOTAL(3,IU6:IU58)</totalsRowFormula>
    </tableColumn>
    <tableColumn id="255" xr3:uid="{66D2DADB-65DB-4999-8A22-BB4D23E9964F}" name="4.9.2025" totalsRowFunction="custom" totalsRowDxfId="118">
      <totalsRowFormula>SUBTOTAL(3,IV6:IV58)</totalsRowFormula>
    </tableColumn>
    <tableColumn id="256" xr3:uid="{2A7163FF-A946-46DB-B637-8C11CB813F2E}" name="5.9.2025" totalsRowFunction="custom" totalsRowDxfId="117">
      <totalsRowFormula>SUBTOTAL(3,IW6:IW58)</totalsRowFormula>
    </tableColumn>
    <tableColumn id="257" xr3:uid="{35F10EEE-4197-4739-AA61-34E3EAE65617}" name="6.9.2025" totalsRowFunction="custom" totalsRowDxfId="116">
      <totalsRowFormula>SUBTOTAL(3,IX6:IX58)</totalsRowFormula>
    </tableColumn>
    <tableColumn id="258" xr3:uid="{5149850E-1F18-44C4-9E74-11E36570486C}" name="7.9.2025" totalsRowFunction="custom" totalsRowDxfId="115">
      <totalsRowFormula>SUBTOTAL(3,IY6:IY58)</totalsRowFormula>
    </tableColumn>
    <tableColumn id="259" xr3:uid="{E30BEB40-A57F-4583-970A-8A3AE529A6DB}" name="8.9.2025" totalsRowFunction="custom" totalsRowDxfId="114">
      <totalsRowFormula>SUBTOTAL(3,IZ6:IZ58)</totalsRowFormula>
    </tableColumn>
    <tableColumn id="260" xr3:uid="{06626EEE-D52A-4524-8E43-D016CA5F0874}" name="9.9.2025" totalsRowFunction="custom" totalsRowDxfId="113">
      <totalsRowFormula>SUBTOTAL(3,JA6:JA58)</totalsRowFormula>
    </tableColumn>
    <tableColumn id="261" xr3:uid="{4E242724-EBDD-4A75-B22C-4F5259B98E0A}" name="10.9.2025" totalsRowFunction="custom" totalsRowDxfId="112">
      <totalsRowFormula>SUBTOTAL(3,JB6:JB58)</totalsRowFormula>
    </tableColumn>
    <tableColumn id="262" xr3:uid="{DA438617-DCD0-4BE6-A789-59488C0B6C4B}" name="11.9.2025" totalsRowFunction="custom" totalsRowDxfId="111">
      <totalsRowFormula>SUBTOTAL(3,JC6:JC58)</totalsRowFormula>
    </tableColumn>
    <tableColumn id="263" xr3:uid="{93B26992-06F6-4E01-B75F-F9EED1D65C8D}" name="12.9.2025" totalsRowFunction="custom" totalsRowDxfId="110">
      <totalsRowFormula>SUBTOTAL(3,JD6:JD58)</totalsRowFormula>
    </tableColumn>
    <tableColumn id="264" xr3:uid="{3C2164F7-EF99-4706-90ED-88AF3E66F769}" name="13.9.2025" totalsRowFunction="custom" totalsRowDxfId="109">
      <totalsRowFormula>SUBTOTAL(3,JE6:JE58)</totalsRowFormula>
    </tableColumn>
    <tableColumn id="265" xr3:uid="{4C5A5B29-5053-48AA-A56F-599821170150}" name="14.9.2025" totalsRowFunction="custom" totalsRowDxfId="108">
      <totalsRowFormula>SUBTOTAL(3,JF6:JF58)</totalsRowFormula>
    </tableColumn>
    <tableColumn id="266" xr3:uid="{026A4593-90DD-4577-9129-BC913AFFB1CE}" name="15.9.2025" totalsRowFunction="custom" totalsRowDxfId="107">
      <totalsRowFormula>SUBTOTAL(3,JG6:JG58)</totalsRowFormula>
    </tableColumn>
    <tableColumn id="267" xr3:uid="{45FA5CA5-9E92-47C9-B9AB-9BB72E278958}" name="16.9.2025" totalsRowFunction="custom" totalsRowDxfId="106">
      <totalsRowFormula>SUBTOTAL(3,JH6:JH58)</totalsRowFormula>
    </tableColumn>
    <tableColumn id="268" xr3:uid="{78B593E9-2543-46DD-BBCB-FAEB97AE5084}" name="17.9.2025" totalsRowFunction="custom" totalsRowDxfId="105">
      <totalsRowFormula>SUBTOTAL(3,JI6:JI58)</totalsRowFormula>
    </tableColumn>
    <tableColumn id="269" xr3:uid="{8B0C3641-3E97-434A-80A8-04ABE35A6BBE}" name="18.9.2025" totalsRowFunction="custom" totalsRowDxfId="104">
      <totalsRowFormula>SUBTOTAL(3,JJ6:JJ58)</totalsRowFormula>
    </tableColumn>
    <tableColumn id="270" xr3:uid="{42744E23-B19B-4103-B0EF-7572D2E8A5D7}" name="19.9.2025" totalsRowFunction="custom" totalsRowDxfId="103">
      <totalsRowFormula>SUBTOTAL(3,JK6:JK58)</totalsRowFormula>
    </tableColumn>
    <tableColumn id="271" xr3:uid="{1F485171-A353-465D-80E7-34FF5674BC29}" name="20.9.2025" totalsRowFunction="custom" totalsRowDxfId="102">
      <totalsRowFormula>SUBTOTAL(3,JL6:JL58)</totalsRowFormula>
    </tableColumn>
    <tableColumn id="272" xr3:uid="{898EAE92-1F99-4C7E-94CC-9F8BD73CA945}" name="21.9.2025" totalsRowFunction="custom" totalsRowDxfId="101">
      <totalsRowFormula>SUBTOTAL(3,JM6:JM58)</totalsRowFormula>
    </tableColumn>
    <tableColumn id="273" xr3:uid="{35BFF5D7-2462-436A-A92A-B5438960E267}" name="22.9.2025" totalsRowFunction="custom" totalsRowDxfId="100">
      <totalsRowFormula>SUBTOTAL(3,JN6:JN58)</totalsRowFormula>
    </tableColumn>
    <tableColumn id="274" xr3:uid="{02E02475-A06D-4AB8-B697-ECE4BC83E9FE}" name="23.9.2025" totalsRowFunction="custom" totalsRowDxfId="99">
      <totalsRowFormula>SUBTOTAL(3,JO6:JO58)</totalsRowFormula>
    </tableColumn>
    <tableColumn id="275" xr3:uid="{02255FA0-BAC2-488E-95F8-4543F1773CA0}" name="24.9.2025" totalsRowFunction="custom" totalsRowDxfId="98">
      <totalsRowFormula>SUBTOTAL(3,JP6:JP58)</totalsRowFormula>
    </tableColumn>
    <tableColumn id="276" xr3:uid="{519ABC1A-EF80-47D4-8627-1210119FB72D}" name="25.9.2025" totalsRowFunction="custom" totalsRowDxfId="97">
      <totalsRowFormula>SUBTOTAL(3,JQ6:JQ58)</totalsRowFormula>
    </tableColumn>
    <tableColumn id="277" xr3:uid="{D4D1A73C-4E91-46AD-9B31-40EF20845656}" name="26.9.2025" totalsRowFunction="custom" totalsRowDxfId="96">
      <totalsRowFormula>SUBTOTAL(3,JR6:JR58)</totalsRowFormula>
    </tableColumn>
    <tableColumn id="278" xr3:uid="{EE72C297-6141-477A-831A-883ABC3A74FB}" name="27.9.2025" totalsRowFunction="custom" totalsRowDxfId="95">
      <totalsRowFormula>SUBTOTAL(3,JS6:JS58)</totalsRowFormula>
    </tableColumn>
    <tableColumn id="279" xr3:uid="{ACDAC98C-53BC-44A5-A111-740C91AAE5AF}" name="28.9.2025" totalsRowFunction="custom" totalsRowDxfId="94">
      <totalsRowFormula>SUBTOTAL(3,JT6:JT58)</totalsRowFormula>
    </tableColumn>
    <tableColumn id="280" xr3:uid="{C71E41D7-0C92-40A1-933E-115306CE82B8}" name="29.9.2025" totalsRowFunction="custom" totalsRowDxfId="93">
      <totalsRowFormula>SUBTOTAL(3,JU6:JU58)</totalsRowFormula>
    </tableColumn>
    <tableColumn id="281" xr3:uid="{2B058E4C-B265-4A40-8723-3B9DED231962}" name="30.9.2025" totalsRowFunction="custom" totalsRowDxfId="92">
      <totalsRowFormula>SUBTOTAL(3,JV6:JV58)</totalsRowFormula>
    </tableColumn>
    <tableColumn id="282" xr3:uid="{1E69F431-91CB-42F3-9D45-E0EC2734713E}" name="1.10.2025" totalsRowFunction="custom" totalsRowDxfId="91">
      <totalsRowFormula>SUBTOTAL(3,JW6:JW58)</totalsRowFormula>
    </tableColumn>
    <tableColumn id="283" xr3:uid="{FD603A29-6069-49CA-A377-5C4EC0ECE9B2}" name="2.10.2025" totalsRowFunction="custom" totalsRowDxfId="90">
      <totalsRowFormula>SUBTOTAL(3,JX6:JX58)</totalsRowFormula>
    </tableColumn>
    <tableColumn id="284" xr3:uid="{E8F424F6-9964-42F5-94A8-8A17CDC83486}" name="3.10.2025" totalsRowFunction="custom" totalsRowDxfId="89">
      <totalsRowFormula>SUBTOTAL(3,JY6:JY58)</totalsRowFormula>
    </tableColumn>
    <tableColumn id="285" xr3:uid="{D25E1D8B-D720-44E4-B48C-ECFD68B15170}" name="4.10.2025" totalsRowFunction="custom" totalsRowDxfId="88">
      <totalsRowFormula>SUBTOTAL(3,JZ6:JZ58)</totalsRowFormula>
    </tableColumn>
    <tableColumn id="286" xr3:uid="{7A931004-DF8A-4D47-AD93-1BDFC687D262}" name="5.10.2025" totalsRowFunction="custom" totalsRowDxfId="87">
      <totalsRowFormula>SUBTOTAL(3,KA6:KA58)</totalsRowFormula>
    </tableColumn>
    <tableColumn id="287" xr3:uid="{D613E09C-F062-46A5-8F88-BF795FB9CCC5}" name="6.10.2025" totalsRowFunction="custom" totalsRowDxfId="86">
      <totalsRowFormula>SUBTOTAL(3,KB6:KB58)</totalsRowFormula>
    </tableColumn>
    <tableColumn id="288" xr3:uid="{0F6EB75B-AD69-46A8-805C-83F2F57EC61D}" name="7.10.2025" totalsRowFunction="custom" totalsRowDxfId="85">
      <totalsRowFormula>SUBTOTAL(3,KC6:KC58)</totalsRowFormula>
    </tableColumn>
    <tableColumn id="289" xr3:uid="{D1A75218-A312-4DD6-9FC5-0F1FC64D21F7}" name="8.10.2025" totalsRowFunction="custom" totalsRowDxfId="84">
      <totalsRowFormula>SUBTOTAL(3,KD6:KD58)</totalsRowFormula>
    </tableColumn>
    <tableColumn id="290" xr3:uid="{E9089360-9F74-449D-B1A7-D122AF9CAF34}" name="9.10.2025" totalsRowFunction="custom" totalsRowDxfId="83">
      <totalsRowFormula>SUBTOTAL(3,KE6:KE58)</totalsRowFormula>
    </tableColumn>
    <tableColumn id="291" xr3:uid="{D220D879-74EF-459E-99A0-D0B1B4FBFFF8}" name="10.10.2025" totalsRowFunction="custom" totalsRowDxfId="82">
      <totalsRowFormula>SUBTOTAL(3,KF6:KF58)</totalsRowFormula>
    </tableColumn>
    <tableColumn id="292" xr3:uid="{B60284E1-BD68-44B9-8634-7FA326D0372B}" name="11.10.2025" totalsRowFunction="custom" totalsRowDxfId="81">
      <totalsRowFormula>SUBTOTAL(3,KG6:KG58)</totalsRowFormula>
    </tableColumn>
    <tableColumn id="293" xr3:uid="{BA9A85FC-33AB-4F26-ABA5-3B9D199E59BE}" name="12.10.2025" totalsRowFunction="custom" totalsRowDxfId="80">
      <totalsRowFormula>SUBTOTAL(3,KH6:KH58)</totalsRowFormula>
    </tableColumn>
    <tableColumn id="294" xr3:uid="{2474F28B-875A-41EF-BF20-A0C5CC5BD9C7}" name="13.10.2025" totalsRowFunction="custom" totalsRowDxfId="79">
      <totalsRowFormula>SUBTOTAL(3,KI6:KI58)</totalsRowFormula>
    </tableColumn>
    <tableColumn id="295" xr3:uid="{F5BCC7DF-ECFC-4052-BE76-9AB49D381ECB}" name="14.10.2025" totalsRowFunction="custom" totalsRowDxfId="78">
      <totalsRowFormula>SUBTOTAL(3,KJ6:KJ58)</totalsRowFormula>
    </tableColumn>
    <tableColumn id="296" xr3:uid="{AA3FD058-C9E6-4D88-ABE2-CBA543C34B87}" name="15.10.2025" totalsRowFunction="custom" totalsRowDxfId="77">
      <totalsRowFormula>SUBTOTAL(3,KK6:KK58)</totalsRowFormula>
    </tableColumn>
    <tableColumn id="297" xr3:uid="{15168ED1-8A09-437C-A1AF-6A6B7E461697}" name="16.10.2025" totalsRowFunction="custom" totalsRowDxfId="76">
      <totalsRowFormula>SUBTOTAL(3,KL6:KL58)</totalsRowFormula>
    </tableColumn>
    <tableColumn id="298" xr3:uid="{CEFC6B7B-A81D-482C-81B4-74285CA14EC5}" name="17.10.2025" totalsRowFunction="custom" totalsRowDxfId="75">
      <totalsRowFormula>SUBTOTAL(3,KM6:KM58)</totalsRowFormula>
    </tableColumn>
    <tableColumn id="299" xr3:uid="{CD6FC465-0A86-4062-96B0-B438D2DBDB6F}" name="18.10.2025" totalsRowFunction="custom" totalsRowDxfId="74">
      <totalsRowFormula>SUBTOTAL(3,KN6:KN58)</totalsRowFormula>
    </tableColumn>
    <tableColumn id="300" xr3:uid="{585283F8-4B08-4A27-98B4-3C4637FE0B24}" name="19.10.2025" totalsRowFunction="custom" totalsRowDxfId="73">
      <totalsRowFormula>SUBTOTAL(3,KO6:KO58)</totalsRowFormula>
    </tableColumn>
    <tableColumn id="301" xr3:uid="{227E7084-8138-4364-96FC-EBDF81BDE90D}" name="20.10.2025" totalsRowFunction="custom" totalsRowDxfId="72">
      <totalsRowFormula>SUBTOTAL(3,KP6:KP58)</totalsRowFormula>
    </tableColumn>
    <tableColumn id="302" xr3:uid="{3BA57330-F010-406E-A7DE-D516E69B4AED}" name="21.10.2025" totalsRowFunction="custom" totalsRowDxfId="71">
      <totalsRowFormula>SUBTOTAL(3,KQ6:KQ58)</totalsRowFormula>
    </tableColumn>
    <tableColumn id="303" xr3:uid="{37A77AF3-6D86-46C0-AE2F-8DBE5281925D}" name="22.10.2025" totalsRowFunction="custom" totalsRowDxfId="70">
      <totalsRowFormula>SUBTOTAL(3,KR6:KR58)</totalsRowFormula>
    </tableColumn>
    <tableColumn id="304" xr3:uid="{7C2F756D-F405-4E12-9B4C-B526080C8537}" name="23.10.2025" totalsRowFunction="custom" totalsRowDxfId="69">
      <totalsRowFormula>SUBTOTAL(3,KS6:KS58)</totalsRowFormula>
    </tableColumn>
    <tableColumn id="305" xr3:uid="{7708BF8D-8A46-4135-B9E6-0317FBD25BBD}" name="24.10.2025" totalsRowFunction="custom" totalsRowDxfId="68">
      <totalsRowFormula>SUBTOTAL(3,KT6:KT58)</totalsRowFormula>
    </tableColumn>
    <tableColumn id="306" xr3:uid="{675396B5-01CF-4ACA-B585-6A8A1C5A90F6}" name="25.10.2025" totalsRowFunction="custom" totalsRowDxfId="67">
      <totalsRowFormula>SUBTOTAL(3,KU6:KU58)</totalsRowFormula>
    </tableColumn>
    <tableColumn id="307" xr3:uid="{E923E01F-7AF1-4E77-8610-457A5A02EDDE}" name="26.10.2025" totalsRowFunction="custom" totalsRowDxfId="66">
      <totalsRowFormula>SUBTOTAL(3,KV6:KV58)</totalsRowFormula>
    </tableColumn>
    <tableColumn id="308" xr3:uid="{6E71B047-136F-4CE2-8FC4-31E9EBC14278}" name="27.10.2025" totalsRowFunction="custom" totalsRowDxfId="65">
      <totalsRowFormula>SUBTOTAL(3,KW6:KW58)</totalsRowFormula>
    </tableColumn>
    <tableColumn id="309" xr3:uid="{03C34DA2-511C-42C6-9CD0-E80AE2D14E21}" name="28.10.2025" totalsRowFunction="custom" totalsRowDxfId="64">
      <totalsRowFormula>SUBTOTAL(3,KX6:KX58)</totalsRowFormula>
    </tableColumn>
    <tableColumn id="310" xr3:uid="{F6A7785A-BDE6-496D-955A-4E2EE8188C45}" name="29.10.2025" totalsRowFunction="custom" totalsRowDxfId="63">
      <totalsRowFormula>SUBTOTAL(3,KY6:KY58)</totalsRowFormula>
    </tableColumn>
    <tableColumn id="311" xr3:uid="{60EF138F-F36B-4678-9532-DC8925D7C390}" name="30.10.2025" totalsRowFunction="custom" totalsRowDxfId="62">
      <totalsRowFormula>SUBTOTAL(3,KZ6:KZ58)</totalsRowFormula>
    </tableColumn>
    <tableColumn id="312" xr3:uid="{AA9A0F83-A8CA-4654-A50E-4DF8522CE4C0}" name="31.10.2025" totalsRowFunction="custom" totalsRowDxfId="61">
      <totalsRowFormula>SUBTOTAL(3,LA6:LA58)</totalsRowFormula>
    </tableColumn>
    <tableColumn id="313" xr3:uid="{03C99E83-F7AB-4AD7-9860-C07F84AB2692}" name="1.11.2025" totalsRowFunction="custom" totalsRowDxfId="60">
      <totalsRowFormula>SUBTOTAL(3,LB6:LB58)</totalsRowFormula>
    </tableColumn>
    <tableColumn id="314" xr3:uid="{0F93DB62-7301-46E7-B132-489DCC49D823}" name="2.11.2025" totalsRowFunction="custom" totalsRowDxfId="59">
      <totalsRowFormula>SUBTOTAL(3,LC6:LC58)</totalsRowFormula>
    </tableColumn>
    <tableColumn id="315" xr3:uid="{288DBCBF-6728-4A7B-B688-51433A36E37D}" name="3.11.2025" totalsRowFunction="custom" totalsRowDxfId="58">
      <totalsRowFormula>SUBTOTAL(3,LD6:LD58)</totalsRowFormula>
    </tableColumn>
    <tableColumn id="316" xr3:uid="{BE0E8F73-C353-4B3B-AB50-A9A3093D6A4A}" name="4.11.2025" totalsRowFunction="custom" totalsRowDxfId="57">
      <totalsRowFormula>SUBTOTAL(3,LE6:LE58)</totalsRowFormula>
    </tableColumn>
    <tableColumn id="317" xr3:uid="{F7BEC1E7-BD33-4CB0-B9FD-1F15DD831ADF}" name="5.11.2025" totalsRowFunction="custom" totalsRowDxfId="56">
      <totalsRowFormula>SUBTOTAL(3,LF6:LF58)</totalsRowFormula>
    </tableColumn>
    <tableColumn id="318" xr3:uid="{CA08B260-C318-49F4-854E-F08A786505EF}" name="6.11.2025" totalsRowFunction="custom" totalsRowDxfId="55">
      <totalsRowFormula>SUBTOTAL(3,LG6:LG58)</totalsRowFormula>
    </tableColumn>
    <tableColumn id="319" xr3:uid="{BCC27EA1-D16B-474C-B81E-E4114CFB6418}" name="7.11.2025" totalsRowFunction="custom" totalsRowDxfId="54">
      <totalsRowFormula>SUBTOTAL(3,LH6:LH58)</totalsRowFormula>
    </tableColumn>
    <tableColumn id="320" xr3:uid="{6EFE3E49-7EAE-4A89-BE0A-49DA58501677}" name="8.11.2025" totalsRowFunction="custom" totalsRowDxfId="53">
      <totalsRowFormula>SUBTOTAL(3,LI6:LI58)</totalsRowFormula>
    </tableColumn>
    <tableColumn id="321" xr3:uid="{2D84612A-9BF8-4499-86DE-6EBFA06F6399}" name="9.11.2025" totalsRowFunction="custom" totalsRowDxfId="52">
      <totalsRowFormula>SUBTOTAL(3,LJ6:LJ58)</totalsRowFormula>
    </tableColumn>
    <tableColumn id="322" xr3:uid="{481A5934-39A3-468C-88E3-79D23029B4D8}" name="10.11.2025" totalsRowFunction="custom" totalsRowDxfId="51">
      <totalsRowFormula>SUBTOTAL(3,LK6:LK58)</totalsRowFormula>
    </tableColumn>
    <tableColumn id="323" xr3:uid="{BC0BD6F9-62E7-4EF3-BC0B-5EA2B20F0525}" name="11.11.2025" totalsRowFunction="custom" totalsRowDxfId="50">
      <totalsRowFormula>SUBTOTAL(3,LL6:LL58)</totalsRowFormula>
    </tableColumn>
    <tableColumn id="324" xr3:uid="{341733AC-5038-4D3B-90A4-CDADEAD7EFA5}" name="12.11.2025" totalsRowFunction="custom" totalsRowDxfId="49">
      <totalsRowFormula>SUBTOTAL(3,LM6:LM58)</totalsRowFormula>
    </tableColumn>
    <tableColumn id="325" xr3:uid="{59010440-B285-4D8C-9CB0-C106D0D6CD76}" name="13.11.2025" totalsRowFunction="custom" totalsRowDxfId="48">
      <totalsRowFormula>SUBTOTAL(3,LN6:LN58)</totalsRowFormula>
    </tableColumn>
    <tableColumn id="326" xr3:uid="{4C3E17A5-FAB4-42E0-8422-B584ADC8DE3A}" name="14.11.2025" totalsRowFunction="custom" totalsRowDxfId="47">
      <totalsRowFormula>SUBTOTAL(3,LO6:LO58)</totalsRowFormula>
    </tableColumn>
    <tableColumn id="327" xr3:uid="{9F598CE7-C5C3-495F-8EB4-3E05BC5B06C3}" name="15.11.2025" totalsRowFunction="custom" totalsRowDxfId="46">
      <totalsRowFormula>SUBTOTAL(3,LP6:LP58)</totalsRowFormula>
    </tableColumn>
    <tableColumn id="328" xr3:uid="{E7B6E148-AA4A-4CD6-B1CC-F90322F912F5}" name="16.11.2025" totalsRowFunction="custom" totalsRowDxfId="45">
      <totalsRowFormula>SUBTOTAL(3,LQ6:LQ58)</totalsRowFormula>
    </tableColumn>
    <tableColumn id="329" xr3:uid="{77551F73-DD6F-4D66-8ECA-514793254B61}" name="17.11.2025" totalsRowFunction="custom" totalsRowDxfId="44">
      <totalsRowFormula>SUBTOTAL(3,LR6:LR58)</totalsRowFormula>
    </tableColumn>
    <tableColumn id="330" xr3:uid="{8C3D7E31-97FE-462A-80C3-070ED0CE57F8}" name="18.11.2025" totalsRowFunction="custom" totalsRowDxfId="43">
      <totalsRowFormula>SUBTOTAL(3,LS6:LS58)</totalsRowFormula>
    </tableColumn>
    <tableColumn id="331" xr3:uid="{DB25CC17-8973-4FCA-BD93-58D010C0D52F}" name="19.11.2025" totalsRowFunction="custom" totalsRowDxfId="42">
      <totalsRowFormula>SUBTOTAL(3,LT6:LT58)</totalsRowFormula>
    </tableColumn>
    <tableColumn id="332" xr3:uid="{22CD4C85-E3D9-49FA-9158-6ED12E98BE3B}" name="20.11.2025" totalsRowFunction="custom" totalsRowDxfId="41">
      <totalsRowFormula>SUBTOTAL(3,LU6:LU58)</totalsRowFormula>
    </tableColumn>
    <tableColumn id="333" xr3:uid="{883B0C16-C83D-40FA-BCA1-159BD4121A6C}" name="21.11.2025" totalsRowFunction="custom" totalsRowDxfId="40">
      <totalsRowFormula>SUBTOTAL(3,LV6:LV58)</totalsRowFormula>
    </tableColumn>
    <tableColumn id="334" xr3:uid="{970C628B-C72D-449C-980B-D30139BABCF7}" name="22.11.2025" totalsRowFunction="custom" totalsRowDxfId="39">
      <totalsRowFormula>SUBTOTAL(3,LW6:LW58)</totalsRowFormula>
    </tableColumn>
    <tableColumn id="335" xr3:uid="{E7FC0E54-022F-4C82-8883-5A4B66A517E6}" name="23.11.2025" totalsRowFunction="custom" totalsRowDxfId="38">
      <totalsRowFormula>SUBTOTAL(3,LX6:LX58)</totalsRowFormula>
    </tableColumn>
    <tableColumn id="336" xr3:uid="{745CF50F-386A-4A93-BAAB-2F05FAEEA2F1}" name="24.11.2025" totalsRowFunction="custom" totalsRowDxfId="37">
      <totalsRowFormula>SUBTOTAL(3,LY6:LY58)</totalsRowFormula>
    </tableColumn>
    <tableColumn id="337" xr3:uid="{6BD463BB-F168-47B2-9E00-07B0FC00084A}" name="25.11.2025" totalsRowFunction="custom" totalsRowDxfId="36">
      <totalsRowFormula>SUBTOTAL(3,LZ6:LZ58)</totalsRowFormula>
    </tableColumn>
    <tableColumn id="338" xr3:uid="{FA3D481A-1883-49D4-BEB7-5DEFB4DCCAD8}" name="26.11.2025" totalsRowFunction="custom" totalsRowDxfId="35">
      <totalsRowFormula>SUBTOTAL(3,MA6:MA58)</totalsRowFormula>
    </tableColumn>
    <tableColumn id="339" xr3:uid="{D8928142-2EF7-4CF4-A745-04FB52C85B01}" name="27.11.2025" totalsRowFunction="custom" totalsRowDxfId="34">
      <totalsRowFormula>SUBTOTAL(3,MB6:MB58)</totalsRowFormula>
    </tableColumn>
    <tableColumn id="340" xr3:uid="{FE33A33C-8C8A-4192-B5D5-3C0D416C176B}" name="28.11.2025" totalsRowFunction="custom" totalsRowDxfId="33">
      <totalsRowFormula>SUBTOTAL(3,MC6:MC58)</totalsRowFormula>
    </tableColumn>
    <tableColumn id="341" xr3:uid="{6FD2C854-632D-48FE-AC36-65663EA8A82E}" name="29.11.2025" totalsRowFunction="custom" totalsRowDxfId="32">
      <totalsRowFormula>SUBTOTAL(3,MD6:MD58)</totalsRowFormula>
    </tableColumn>
    <tableColumn id="342" xr3:uid="{5F33C42B-54D6-4C24-A0B9-C9BCBDBCDB63}" name="30.11.2025" totalsRowFunction="custom" totalsRowDxfId="31">
      <totalsRowFormula>SUBTOTAL(3,ME6:ME58)</totalsRowFormula>
    </tableColumn>
    <tableColumn id="343" xr3:uid="{049D0D8A-0004-41A2-A003-42F91DB370F8}" name="1.12.2025" totalsRowFunction="custom" totalsRowDxfId="30">
      <totalsRowFormula>SUBTOTAL(3,MF6:MF58)</totalsRowFormula>
    </tableColumn>
    <tableColumn id="344" xr3:uid="{96EDD940-9080-44BB-9885-FEF13BD53461}" name="2.12.2025" totalsRowFunction="custom" totalsRowDxfId="29">
      <totalsRowFormula>SUBTOTAL(3,MG6:MG58)</totalsRowFormula>
    </tableColumn>
    <tableColumn id="345" xr3:uid="{6EC9A840-4B1F-462E-9A76-999BD5C68A5A}" name="3.12.2025" totalsRowFunction="custom" totalsRowDxfId="28">
      <totalsRowFormula>SUBTOTAL(3,MH6:MH58)</totalsRowFormula>
    </tableColumn>
    <tableColumn id="346" xr3:uid="{E50C3CC0-D1C3-4D4B-AD79-2E7EE0AB45FF}" name="4.12.2025" totalsRowFunction="custom" totalsRowDxfId="27">
      <totalsRowFormula>SUBTOTAL(3,MI6:MI58)</totalsRowFormula>
    </tableColumn>
    <tableColumn id="347" xr3:uid="{7DE9E770-03CE-41C1-B99A-430B3C99B044}" name="5.12.2025" totalsRowFunction="custom" totalsRowDxfId="26">
      <totalsRowFormula>SUBTOTAL(3,MJ6:MJ58)</totalsRowFormula>
    </tableColumn>
    <tableColumn id="348" xr3:uid="{8B90E0B6-65B2-4714-8ABB-E07B7E61DBA5}" name="6.12.2025" totalsRowFunction="custom" totalsRowDxfId="25">
      <totalsRowFormula>SUBTOTAL(3,MK6:MK58)</totalsRowFormula>
    </tableColumn>
    <tableColumn id="349" xr3:uid="{94CC817B-0106-4940-893A-451BEA53F20F}" name="7.12.2025" totalsRowFunction="custom" totalsRowDxfId="24">
      <totalsRowFormula>SUBTOTAL(3,ML6:ML58)</totalsRowFormula>
    </tableColumn>
    <tableColumn id="350" xr3:uid="{707CAEA1-25B8-46B5-8D34-9110DFFA7F0D}" name="8.12.2025" totalsRowFunction="custom" totalsRowDxfId="23">
      <totalsRowFormula>SUBTOTAL(3,MM6:MM58)</totalsRowFormula>
    </tableColumn>
    <tableColumn id="351" xr3:uid="{65A35789-7AD4-4AF0-86EA-BC4656E04FB1}" name="9.12.2025" totalsRowFunction="custom" totalsRowDxfId="22">
      <totalsRowFormula>SUBTOTAL(3,MN6:MN58)</totalsRowFormula>
    </tableColumn>
    <tableColumn id="352" xr3:uid="{34B17CB0-4802-4FBE-A2DC-96FD56740872}" name="10.12.2025" totalsRowFunction="custom" totalsRowDxfId="21">
      <totalsRowFormula>SUBTOTAL(3,MO6:MO58)</totalsRowFormula>
    </tableColumn>
    <tableColumn id="353" xr3:uid="{ED02A27E-3EA0-469E-82D2-E702BDAA1AAC}" name="11.12.2025" totalsRowFunction="custom" totalsRowDxfId="20">
      <totalsRowFormula>SUBTOTAL(3,MP6:MP58)</totalsRowFormula>
    </tableColumn>
    <tableColumn id="354" xr3:uid="{D53A106D-6EF5-4892-B774-E49A66D870C5}" name="12.12.2025" totalsRowFunction="custom" totalsRowDxfId="19">
      <totalsRowFormula>SUBTOTAL(3,MQ6:MQ58)</totalsRowFormula>
    </tableColumn>
    <tableColumn id="355" xr3:uid="{15D0C535-5B60-486D-94EB-351E815D2C29}" name="13.12.2025" totalsRowFunction="custom" totalsRowDxfId="18">
      <totalsRowFormula>SUBTOTAL(3,MR6:MR58)</totalsRowFormula>
    </tableColumn>
    <tableColumn id="356" xr3:uid="{D3B1CA8F-7047-4FA6-85F8-F2C8062910E1}" name="14.12.2025" totalsRowFunction="custom" totalsRowDxfId="17">
      <totalsRowFormula>SUBTOTAL(3,MS6:MS58)</totalsRowFormula>
    </tableColumn>
    <tableColumn id="357" xr3:uid="{190AE96E-DFA8-4E9A-93BC-7BB1869444BB}" name="15.12.2025" totalsRowFunction="custom" totalsRowDxfId="16">
      <totalsRowFormula>SUBTOTAL(3,MT6:MT58)</totalsRowFormula>
    </tableColumn>
    <tableColumn id="358" xr3:uid="{E7BDA199-072F-48CA-8285-2928E55C566F}" name="16.12.2025" totalsRowFunction="custom" totalsRowDxfId="15">
      <totalsRowFormula>SUBTOTAL(3,MU6:MU58)</totalsRowFormula>
    </tableColumn>
    <tableColumn id="359" xr3:uid="{5D179868-22C3-4515-8919-23D42061BA9B}" name="17.12.2025" totalsRowFunction="custom" totalsRowDxfId="14">
      <totalsRowFormula>SUBTOTAL(3,MV6:MV58)</totalsRowFormula>
    </tableColumn>
    <tableColumn id="360" xr3:uid="{A1397C18-3FBA-4256-B02D-16D27AB47ED2}" name="18.12.2025" totalsRowFunction="custom" totalsRowDxfId="13">
      <totalsRowFormula>SUBTOTAL(3,MW6:MW58)</totalsRowFormula>
    </tableColumn>
    <tableColumn id="361" xr3:uid="{65038A42-ADE7-4AAA-824D-250182E2BB0D}" name="19.12.2025" totalsRowFunction="custom" totalsRowDxfId="12">
      <totalsRowFormula>SUBTOTAL(3,MX6:MX58)</totalsRowFormula>
    </tableColumn>
    <tableColumn id="362" xr3:uid="{A87FEC5A-337A-4598-A7D4-3DFBD05A8F4F}" name="20.12.2025" totalsRowFunction="custom" totalsRowDxfId="11">
      <totalsRowFormula>SUBTOTAL(3,MY6:MY58)</totalsRowFormula>
    </tableColumn>
    <tableColumn id="363" xr3:uid="{4058519E-5310-4128-9505-7EDAE68D46E6}" name="21.12.2025" totalsRowFunction="custom" totalsRowDxfId="10">
      <totalsRowFormula>SUBTOTAL(3,MZ6:MZ58)</totalsRowFormula>
    </tableColumn>
    <tableColumn id="364" xr3:uid="{DE771953-BCC9-43C8-84FB-B81FCB075820}" name="22.12.2025" totalsRowFunction="custom" totalsRowDxfId="9">
      <totalsRowFormula>SUBTOTAL(3,NA6:NA58)</totalsRowFormula>
    </tableColumn>
    <tableColumn id="365" xr3:uid="{CD1CBB57-397E-4E76-BB6B-9E8A6CA193CF}" name="23.12.2025" totalsRowFunction="custom" totalsRowDxfId="8">
      <totalsRowFormula>SUBTOTAL(3,NB6:NB58)</totalsRowFormula>
    </tableColumn>
    <tableColumn id="366" xr3:uid="{271F93FF-2C7F-41FD-B550-8EC14A113A1C}" name="24.12.2025" totalsRowFunction="custom" totalsRowDxfId="7">
      <totalsRowFormula>SUBTOTAL(3,NC6:NC58)</totalsRowFormula>
    </tableColumn>
    <tableColumn id="367" xr3:uid="{350B6422-816B-4D4B-83E7-2AF7765ED21B}" name="25.12.2025" totalsRowFunction="custom" totalsRowDxfId="6">
      <totalsRowFormula>SUBTOTAL(3,ND6:ND58)</totalsRowFormula>
    </tableColumn>
    <tableColumn id="368" xr3:uid="{9A787F98-0B7F-4E21-BBBA-8ABEE850C78D}" name="26.12.2025" totalsRowFunction="custom" totalsRowDxfId="5">
      <totalsRowFormula>SUBTOTAL(3,NE6:NE58)</totalsRowFormula>
    </tableColumn>
    <tableColumn id="369" xr3:uid="{B531BB74-3B6E-48DF-822F-7B3DD16F72A9}" name="27.12.2025" totalsRowFunction="custom" totalsRowDxfId="4">
      <totalsRowFormula>SUBTOTAL(3,NF6:NF58)</totalsRowFormula>
    </tableColumn>
    <tableColumn id="370" xr3:uid="{0884381E-2CD7-4ADA-A63A-E5C4C2D6B733}" name="28.12.2025" totalsRowFunction="custom" totalsRowDxfId="3">
      <totalsRowFormula>SUBTOTAL(3,NG6:NG58)</totalsRowFormula>
    </tableColumn>
    <tableColumn id="371" xr3:uid="{AA890FF1-73E2-46C9-A355-31C72DDC5620}" name="29.12.2025" totalsRowFunction="custom" totalsRowDxfId="2">
      <totalsRowFormula>SUBTOTAL(3,NH6:NH58)</totalsRowFormula>
    </tableColumn>
    <tableColumn id="372" xr3:uid="{463E6EE1-F9B3-4904-80A2-D8A79920ABA9}" name="30.12.2025" totalsRowFunction="custom" totalsRowDxfId="1">
      <totalsRowFormula>SUBTOTAL(3,NI6:NI58)</totalsRowFormula>
    </tableColumn>
    <tableColumn id="373" xr3:uid="{EC06E40A-434F-498B-BEA7-CFD537207E89}" name="31.12.2025" totalsRowFunction="custom" totalsRowDxfId="0">
      <totalsRowFormula>SUBTOTAL(3,NJ6:NJ58)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C7C96-4766-431C-8717-E9E01DAB5C6C}" name="Table1" displayName="Table1" ref="J2:NJ4" totalsRowShown="0" headerRowDxfId="398">
  <autoFilter ref="J2:NJ4" xr:uid="{029C7C96-4766-431C-8717-E9E01DAB5C6C}"/>
  <tableColumns count="365">
    <tableColumn id="1" xr3:uid="{C83F365D-0A57-4D51-9684-E12E87B454A7}" name="1.1.2025">
      <calculatedColumnFormula>TEXT(J4, "ddd")</calculatedColumnFormula>
    </tableColumn>
    <tableColumn id="2" xr3:uid="{2B4109DD-75C9-4700-9425-AFF5BBA6583A}" name="2.1.2025">
      <calculatedColumnFormula>TEXT(K4, "ddd")</calculatedColumnFormula>
    </tableColumn>
    <tableColumn id="3" xr3:uid="{392F9A0D-97D8-4F2F-A888-3FBBCB029A9F}" name="3.1.2025">
      <calculatedColumnFormula>TEXT(L4, "ddd")</calculatedColumnFormula>
    </tableColumn>
    <tableColumn id="4" xr3:uid="{768F59C2-C49D-48D5-BBE9-589572AD1209}" name="4.1.2025">
      <calculatedColumnFormula>TEXT(M4, "ddd")</calculatedColumnFormula>
    </tableColumn>
    <tableColumn id="5" xr3:uid="{411A3E39-1B6A-4FF6-B64F-C956A841E815}" name="5.1.2025">
      <calculatedColumnFormula>TEXT(N4, "ddd")</calculatedColumnFormula>
    </tableColumn>
    <tableColumn id="6" xr3:uid="{7E1D9CB3-73F2-4144-A3D6-8200210B66D4}" name="6.1.2025">
      <calculatedColumnFormula>TEXT(O4, "ddd")</calculatedColumnFormula>
    </tableColumn>
    <tableColumn id="7" xr3:uid="{38CD33E9-F772-4AC4-B7BD-F3FE4F6296ED}" name="7.1.2025">
      <calculatedColumnFormula>TEXT(P4, "ddd")</calculatedColumnFormula>
    </tableColumn>
    <tableColumn id="8" xr3:uid="{E2BE37F1-B22A-4A6B-9460-787333449DE9}" name="8.1.2025">
      <calculatedColumnFormula>TEXT(Q4, "ddd")</calculatedColumnFormula>
    </tableColumn>
    <tableColumn id="9" xr3:uid="{0114E488-709B-4344-964E-A58DDB4FAECE}" name="9.1.2025">
      <calculatedColumnFormula>TEXT(R4, "ddd")</calculatedColumnFormula>
    </tableColumn>
    <tableColumn id="10" xr3:uid="{FE147121-DE08-48CF-AA18-9ACE00021D1A}" name="10.1.2025">
      <calculatedColumnFormula>TEXT(S4, "ddd")</calculatedColumnFormula>
    </tableColumn>
    <tableColumn id="11" xr3:uid="{567C944B-397D-48BF-B502-DC31246FA498}" name="11.1.2025">
      <calculatedColumnFormula>TEXT(T4, "ddd")</calculatedColumnFormula>
    </tableColumn>
    <tableColumn id="12" xr3:uid="{60D15E88-B89E-4AF7-A563-DF982D53D9A6}" name="12.1.2025">
      <calculatedColumnFormula>TEXT(U4, "ddd")</calculatedColumnFormula>
    </tableColumn>
    <tableColumn id="13" xr3:uid="{AA0BB339-3585-488F-B769-69E2BD80C6DC}" name="13.1.2025">
      <calculatedColumnFormula>TEXT(V4, "ddd")</calculatedColumnFormula>
    </tableColumn>
    <tableColumn id="14" xr3:uid="{E330A3CA-1265-4F85-8AB0-A84E4AC993EA}" name="14.1.2025">
      <calculatedColumnFormula>TEXT(W4, "ddd")</calculatedColumnFormula>
    </tableColumn>
    <tableColumn id="15" xr3:uid="{DA9FCE98-ED3A-47CD-9929-8C76A337E7AC}" name="15.1.2025">
      <calculatedColumnFormula>TEXT(X4, "ddd")</calculatedColumnFormula>
    </tableColumn>
    <tableColumn id="16" xr3:uid="{1C781DD2-10CA-43F3-935C-A3DC8642D5DC}" name="16.1.2025">
      <calculatedColumnFormula>TEXT(Y4, "ddd")</calculatedColumnFormula>
    </tableColumn>
    <tableColumn id="17" xr3:uid="{03C508F1-2B15-4696-A037-B6FEA8835591}" name="17.1.2025">
      <calculatedColumnFormula>TEXT(Z4, "ddd")</calculatedColumnFormula>
    </tableColumn>
    <tableColumn id="18" xr3:uid="{CCF186F5-9167-411C-B15E-76F8646F28C7}" name="18.1.2025">
      <calculatedColumnFormula>TEXT(AA4, "ddd")</calculatedColumnFormula>
    </tableColumn>
    <tableColumn id="19" xr3:uid="{BB1D9C9E-3404-4276-9151-C6FCA6F95F3E}" name="19.1.2025">
      <calculatedColumnFormula>TEXT(AB4, "ddd")</calculatedColumnFormula>
    </tableColumn>
    <tableColumn id="20" xr3:uid="{34035929-21B0-4B83-9F12-D8D0E52D2EB2}" name="20.1.2025">
      <calculatedColumnFormula>TEXT(AC4, "ddd")</calculatedColumnFormula>
    </tableColumn>
    <tableColumn id="21" xr3:uid="{4F9A7F8B-4BEF-4BBA-AA62-367DE8424574}" name="21.1.2025">
      <calculatedColumnFormula>TEXT(AD4, "ddd")</calculatedColumnFormula>
    </tableColumn>
    <tableColumn id="22" xr3:uid="{44A281E8-EE88-4446-B371-8F8FD4AFC234}" name="22.1.2025">
      <calculatedColumnFormula>TEXT(AE4, "ddd")</calculatedColumnFormula>
    </tableColumn>
    <tableColumn id="23" xr3:uid="{BE29476F-6713-4F87-BA75-E5347F460B5D}" name="23.1.2025">
      <calculatedColumnFormula>TEXT(AF4, "ddd")</calculatedColumnFormula>
    </tableColumn>
    <tableColumn id="24" xr3:uid="{C7F062C0-4158-4D8F-9EC6-64252B650A2A}" name="24.1.2025">
      <calculatedColumnFormula>TEXT(AG4, "ddd")</calculatedColumnFormula>
    </tableColumn>
    <tableColumn id="25" xr3:uid="{56CA7FA6-18A2-4EAF-A4C3-73DC03A95083}" name="25.1.2025">
      <calculatedColumnFormula>TEXT(AH4, "ddd")</calculatedColumnFormula>
    </tableColumn>
    <tableColumn id="26" xr3:uid="{C1BE8C9D-E8C2-436C-B61E-6421B7E299DF}" name="26.1.2025">
      <calculatedColumnFormula>TEXT(AI4, "ddd")</calculatedColumnFormula>
    </tableColumn>
    <tableColumn id="27" xr3:uid="{6CF14024-09E3-4BA1-B74E-59A01AE13D3C}" name="27.1.2025">
      <calculatedColumnFormula>TEXT(AJ4, "ddd")</calculatedColumnFormula>
    </tableColumn>
    <tableColumn id="28" xr3:uid="{C92BEC31-E9C2-469F-8910-435C7F7D6020}" name="28.1.2025">
      <calculatedColumnFormula>TEXT(AK4, "ddd")</calculatedColumnFormula>
    </tableColumn>
    <tableColumn id="29" xr3:uid="{B3B9962C-C926-4BE5-A8D9-13EDAB770610}" name="29.1.2025">
      <calculatedColumnFormula>TEXT(AL4, "ddd")</calculatedColumnFormula>
    </tableColumn>
    <tableColumn id="30" xr3:uid="{F4AAB2EF-2770-4869-A29F-2E8ADD8E2DA2}" name="30.1.2025">
      <calculatedColumnFormula>TEXT(AM4, "ddd")</calculatedColumnFormula>
    </tableColumn>
    <tableColumn id="31" xr3:uid="{BB568F0C-8D2B-4861-AF75-BF27132B7FE6}" name="31.1.2025">
      <calculatedColumnFormula>TEXT(AN4, "ddd")</calculatedColumnFormula>
    </tableColumn>
    <tableColumn id="32" xr3:uid="{D2A34C31-583F-4AF6-8316-FA88A09E7093}" name="1.2.2025">
      <calculatedColumnFormula>TEXT(AO4, "ddd")</calculatedColumnFormula>
    </tableColumn>
    <tableColumn id="33" xr3:uid="{F52DF2BC-8B96-4936-9C8B-2C0E9FA22410}" name="2.2.2025">
      <calculatedColumnFormula>TEXT(AP4, "ddd")</calculatedColumnFormula>
    </tableColumn>
    <tableColumn id="34" xr3:uid="{69F064CE-DC7F-4BE0-B820-36356D8D4A93}" name="3.2.2025">
      <calculatedColumnFormula>TEXT(AQ4, "ddd")</calculatedColumnFormula>
    </tableColumn>
    <tableColumn id="35" xr3:uid="{7CAE083C-275B-4677-8A6A-DD4A1A52B9D1}" name="4.2.2025">
      <calculatedColumnFormula>TEXT(AR4, "ddd")</calculatedColumnFormula>
    </tableColumn>
    <tableColumn id="36" xr3:uid="{45B0AFAB-618D-40C1-AA97-9175F6907EFC}" name="5.2.2025">
      <calculatedColumnFormula>TEXT(AS4, "ddd")</calculatedColumnFormula>
    </tableColumn>
    <tableColumn id="37" xr3:uid="{8955DB78-8935-47E9-8612-B55D5438B028}" name="6.2.2025">
      <calculatedColumnFormula>TEXT(AT4, "ddd")</calculatedColumnFormula>
    </tableColumn>
    <tableColumn id="38" xr3:uid="{94509840-DED7-4E96-A6AD-6F05003ECC8C}" name="7.2.2025">
      <calculatedColumnFormula>TEXT(AU4, "ddd")</calculatedColumnFormula>
    </tableColumn>
    <tableColumn id="39" xr3:uid="{35A9CD6C-B95E-4B98-8FA1-5F385DB895A4}" name="8.2.2025">
      <calculatedColumnFormula>TEXT(AV4, "ddd")</calculatedColumnFormula>
    </tableColumn>
    <tableColumn id="40" xr3:uid="{BBB842A9-2594-49B0-A6A8-087BBF5BF671}" name="9.2.2025">
      <calculatedColumnFormula>TEXT(AW4, "ddd")</calculatedColumnFormula>
    </tableColumn>
    <tableColumn id="41" xr3:uid="{AAD7F7D9-BB82-4DF9-82E1-3775D1E21ACA}" name="10.2.2025">
      <calculatedColumnFormula>TEXT(AX4, "ddd")</calculatedColumnFormula>
    </tableColumn>
    <tableColumn id="42" xr3:uid="{712ADADE-283D-4397-A2AD-8A1AE3D4F0F4}" name="11.2.2025">
      <calculatedColumnFormula>TEXT(AY4, "ddd")</calculatedColumnFormula>
    </tableColumn>
    <tableColumn id="43" xr3:uid="{9B21D685-B675-42FF-AA67-0F4B01CB4A31}" name="12.2.2025">
      <calculatedColumnFormula>TEXT(AZ4, "ddd")</calculatedColumnFormula>
    </tableColumn>
    <tableColumn id="44" xr3:uid="{0386C966-7ED2-4F3C-BEE7-2E8E64248BCA}" name="13.2.2025">
      <calculatedColumnFormula>TEXT(BA4, "ddd")</calculatedColumnFormula>
    </tableColumn>
    <tableColumn id="45" xr3:uid="{CF00DC1D-B540-4E45-BEEC-35BFAE219A7B}" name="14.2.2025">
      <calculatedColumnFormula>TEXT(BB4, "ddd")</calculatedColumnFormula>
    </tableColumn>
    <tableColumn id="46" xr3:uid="{F457F5FA-2F0A-4D2B-9936-4EAEBDF58FB6}" name="15.2.2025">
      <calculatedColumnFormula>TEXT(BC4, "ddd")</calculatedColumnFormula>
    </tableColumn>
    <tableColumn id="47" xr3:uid="{D16FBBA9-6C40-4D0C-A307-17429194102E}" name="16.2.2025">
      <calculatedColumnFormula>TEXT(BD4, "ddd")</calculatedColumnFormula>
    </tableColumn>
    <tableColumn id="48" xr3:uid="{B8B5EF7B-CEF8-4E60-AE10-5C36F164EB67}" name="17.2.2025">
      <calculatedColumnFormula>TEXT(BE4, "ddd")</calculatedColumnFormula>
    </tableColumn>
    <tableColumn id="49" xr3:uid="{5A3CDA19-7940-413C-AA5E-7CFE02CFCC35}" name="18.2.2025">
      <calculatedColumnFormula>TEXT(BF4, "ddd")</calculatedColumnFormula>
    </tableColumn>
    <tableColumn id="50" xr3:uid="{FF7EB373-4FD3-491A-BEE8-00AC2B061BAF}" name="19.2.2025">
      <calculatedColumnFormula>TEXT(BG4, "ddd")</calculatedColumnFormula>
    </tableColumn>
    <tableColumn id="51" xr3:uid="{E516EC7B-D860-4D46-BB45-1BCC8676808B}" name="20.2.2025">
      <calculatedColumnFormula>TEXT(BH4, "ddd")</calculatedColumnFormula>
    </tableColumn>
    <tableColumn id="52" xr3:uid="{65851EAC-F30D-41C7-9150-948FDC5A3E27}" name="21.2.2025">
      <calculatedColumnFormula>TEXT(BI4, "ddd")</calculatedColumnFormula>
    </tableColumn>
    <tableColumn id="53" xr3:uid="{2AA5CD16-D48E-4853-AA86-9EB156C04CAA}" name="22.2.2025">
      <calculatedColumnFormula>TEXT(BJ4, "ddd")</calculatedColumnFormula>
    </tableColumn>
    <tableColumn id="54" xr3:uid="{EB0965AB-47A4-4337-AC66-769168BEB9FE}" name="23.2.2025">
      <calculatedColumnFormula>TEXT(BK4, "ddd")</calculatedColumnFormula>
    </tableColumn>
    <tableColumn id="55" xr3:uid="{C8937C80-4EA4-43DE-8EE3-320CA6BB814D}" name="24.2.2025">
      <calculatedColumnFormula>TEXT(BL4, "ddd")</calculatedColumnFormula>
    </tableColumn>
    <tableColumn id="56" xr3:uid="{7CAE3220-6ADC-40DC-BA95-ED103F559C20}" name="25.2.2025">
      <calculatedColumnFormula>TEXT(BM4, "ddd")</calculatedColumnFormula>
    </tableColumn>
    <tableColumn id="57" xr3:uid="{B85CD84E-9CD2-4885-9F9A-287711E8CF49}" name="26.2.2025">
      <calculatedColumnFormula>TEXT(BN4, "ddd")</calculatedColumnFormula>
    </tableColumn>
    <tableColumn id="58" xr3:uid="{B53A2DE0-53F7-418C-B40B-B92A92D1C526}" name="27.2.2025">
      <calculatedColumnFormula>TEXT(BO4, "ddd")</calculatedColumnFormula>
    </tableColumn>
    <tableColumn id="59" xr3:uid="{9F867559-205A-41FF-8F26-520637B15020}" name="28.2.2025">
      <calculatedColumnFormula>TEXT(BP4, "ddd")</calculatedColumnFormula>
    </tableColumn>
    <tableColumn id="60" xr3:uid="{291BB3EF-41E4-4163-BBC1-9A61AEB1E90E}" name="1.3.2025">
      <calculatedColumnFormula>TEXT(BQ4, "ddd")</calculatedColumnFormula>
    </tableColumn>
    <tableColumn id="61" xr3:uid="{FBCF18BA-ECE4-4A6E-A7A6-293691F1ECD4}" name="2.3.2025">
      <calculatedColumnFormula>TEXT(BR4, "ddd")</calculatedColumnFormula>
    </tableColumn>
    <tableColumn id="62" xr3:uid="{D7B251BB-60B6-4693-883A-32FC708035B8}" name="3.3.2025">
      <calculatedColumnFormula>TEXT(BS4, "ddd")</calculatedColumnFormula>
    </tableColumn>
    <tableColumn id="63" xr3:uid="{594585D5-31A3-4FB2-9D9E-ED362BF7A707}" name="4.3.2025">
      <calculatedColumnFormula>TEXT(BT4, "ddd")</calculatedColumnFormula>
    </tableColumn>
    <tableColumn id="64" xr3:uid="{91489CD9-D703-4480-B6FF-F1CBF45537F8}" name="5.3.2025">
      <calculatedColumnFormula>TEXT(BU4, "ddd")</calculatedColumnFormula>
    </tableColumn>
    <tableColumn id="65" xr3:uid="{2600DC79-6FE7-4B50-B886-FFB91C39F3D6}" name="6.3.2025">
      <calculatedColumnFormula>TEXT(BV4, "ddd")</calculatedColumnFormula>
    </tableColumn>
    <tableColumn id="66" xr3:uid="{61CDE9D4-DEBD-44A7-82AC-A185D93D55BE}" name="7.3.2025">
      <calculatedColumnFormula>TEXT(BW4, "ddd")</calculatedColumnFormula>
    </tableColumn>
    <tableColumn id="67" xr3:uid="{CD4C490A-FE54-42DC-8EE2-03C2CEB51B93}" name="8.3.2025">
      <calculatedColumnFormula>TEXT(BX4, "ddd")</calculatedColumnFormula>
    </tableColumn>
    <tableColumn id="68" xr3:uid="{BBC06204-B627-4F0E-AAC8-735BBCCB53E9}" name="9.3.2025">
      <calculatedColumnFormula>TEXT(BY4, "ddd")</calculatedColumnFormula>
    </tableColumn>
    <tableColumn id="69" xr3:uid="{A55D2C4F-292A-4036-A746-7E46EBB4C532}" name="10.3.2025">
      <calculatedColumnFormula>TEXT(BZ4, "ddd")</calculatedColumnFormula>
    </tableColumn>
    <tableColumn id="70" xr3:uid="{7B8D9604-AE5E-4047-AA5F-45134A1744A9}" name="11.3.2025">
      <calculatedColumnFormula>TEXT(CA4, "ddd")</calculatedColumnFormula>
    </tableColumn>
    <tableColumn id="71" xr3:uid="{DA2BFE07-FC20-4A7C-B0E9-0FED2AB381C2}" name="12.3.2025">
      <calculatedColumnFormula>TEXT(CB4, "ddd")</calculatedColumnFormula>
    </tableColumn>
    <tableColumn id="72" xr3:uid="{1D235EA7-CC1E-4427-BE17-26D26FA8E93D}" name="13.3.2025">
      <calculatedColumnFormula>TEXT(CC4, "ddd")</calculatedColumnFormula>
    </tableColumn>
    <tableColumn id="73" xr3:uid="{7C1F3452-2290-4C09-B628-25CC2D1D8501}" name="14.3.2025">
      <calculatedColumnFormula>TEXT(CD4, "ddd")</calculatedColumnFormula>
    </tableColumn>
    <tableColumn id="74" xr3:uid="{F9659551-9B2F-4EBD-BD76-30081B06632A}" name="15.3.2025">
      <calculatedColumnFormula>TEXT(CE4, "ddd")</calculatedColumnFormula>
    </tableColumn>
    <tableColumn id="75" xr3:uid="{0A339934-66DB-4129-AADC-A79DC88CE291}" name="16.3.2025">
      <calculatedColumnFormula>TEXT(CF4, "ddd")</calculatedColumnFormula>
    </tableColumn>
    <tableColumn id="76" xr3:uid="{EBC2D124-3EA1-4D80-89AB-933B25A75D6D}" name="17.3.2025">
      <calculatedColumnFormula>TEXT(CG4, "ddd")</calculatedColumnFormula>
    </tableColumn>
    <tableColumn id="77" xr3:uid="{75A294FE-FF2C-4FDE-80CE-B6FD9E813D27}" name="18.3.2025">
      <calculatedColumnFormula>TEXT(CH4, "ddd")</calculatedColumnFormula>
    </tableColumn>
    <tableColumn id="78" xr3:uid="{35BBB3FD-24EA-41B5-86A4-802B0E834662}" name="19.3.2025">
      <calculatedColumnFormula>TEXT(CI4, "ddd")</calculatedColumnFormula>
    </tableColumn>
    <tableColumn id="79" xr3:uid="{DB6D2D42-87E2-48FB-AF8D-B016A8506CD6}" name="20.3.2025">
      <calculatedColumnFormula>TEXT(CJ4, "ddd")</calculatedColumnFormula>
    </tableColumn>
    <tableColumn id="80" xr3:uid="{B4BDDD7F-EB60-4B98-87FD-3065FCAF885A}" name="21.3.2025">
      <calculatedColumnFormula>TEXT(CK4, "ddd")</calculatedColumnFormula>
    </tableColumn>
    <tableColumn id="81" xr3:uid="{B12DF1E6-C402-4E30-A596-ECC1CBABE39A}" name="22.3.2025">
      <calculatedColumnFormula>TEXT(CL4, "ddd")</calculatedColumnFormula>
    </tableColumn>
    <tableColumn id="82" xr3:uid="{208A61CF-D4C6-4598-ABBE-2710DFFBA6A8}" name="23.3.2025">
      <calculatedColumnFormula>TEXT(CM4, "ddd")</calculatedColumnFormula>
    </tableColumn>
    <tableColumn id="83" xr3:uid="{41667308-40E3-4A7D-A5B8-204150F72CED}" name="24.3.2025">
      <calculatedColumnFormula>TEXT(CN4, "ddd")</calculatedColumnFormula>
    </tableColumn>
    <tableColumn id="84" xr3:uid="{33301018-A23B-4E15-9DC6-468B9C4B7A2C}" name="25.3.2025">
      <calculatedColumnFormula>TEXT(CO4, "ddd")</calculatedColumnFormula>
    </tableColumn>
    <tableColumn id="85" xr3:uid="{B761300C-E640-46CC-98E0-27A40ACBC56F}" name="26.3.2025">
      <calculatedColumnFormula>TEXT(CP4, "ddd")</calculatedColumnFormula>
    </tableColumn>
    <tableColumn id="86" xr3:uid="{4857F605-8AEB-46B4-A945-45FACF38379F}" name="27.3.2025">
      <calculatedColumnFormula>TEXT(CQ4, "ddd")</calculatedColumnFormula>
    </tableColumn>
    <tableColumn id="87" xr3:uid="{C3785AF2-700B-4F49-9D65-38E34876EBC5}" name="28.3.2025">
      <calculatedColumnFormula>TEXT(CR4, "ddd")</calculatedColumnFormula>
    </tableColumn>
    <tableColumn id="88" xr3:uid="{FF47B9AF-D75C-47EA-9359-C1A3E5179ECD}" name="29.3.2025">
      <calculatedColumnFormula>TEXT(CS4, "ddd")</calculatedColumnFormula>
    </tableColumn>
    <tableColumn id="89" xr3:uid="{A2DB20F3-EE4C-4911-B8B7-25C048425E22}" name="30.3.2025">
      <calculatedColumnFormula>TEXT(CT4, "ddd")</calculatedColumnFormula>
    </tableColumn>
    <tableColumn id="90" xr3:uid="{27B7BC36-5A6A-4059-A8FE-13BDB31490AC}" name="31.3.2025">
      <calculatedColumnFormula>TEXT(CU4, "ddd")</calculatedColumnFormula>
    </tableColumn>
    <tableColumn id="91" xr3:uid="{AC0D0EF6-CDFF-4195-906E-4B0B0CF203AF}" name="1.4.2025">
      <calculatedColumnFormula>TEXT(CV4, "ddd")</calculatedColumnFormula>
    </tableColumn>
    <tableColumn id="92" xr3:uid="{53A20CD6-846C-46DC-804F-D3AFAB119E5E}" name="2.4.2025">
      <calculatedColumnFormula>TEXT(CW4, "ddd")</calculatedColumnFormula>
    </tableColumn>
    <tableColumn id="93" xr3:uid="{9F4FA112-E93A-4A1C-A798-6F529EABF01E}" name="3.4.2025">
      <calculatedColumnFormula>TEXT(CX4, "ddd")</calculatedColumnFormula>
    </tableColumn>
    <tableColumn id="94" xr3:uid="{12FE0672-0DD9-4D08-BECA-795C3CFE8CA7}" name="4.4.2025">
      <calculatedColumnFormula>TEXT(CY4, "ddd")</calculatedColumnFormula>
    </tableColumn>
    <tableColumn id="95" xr3:uid="{86800CB6-F6CA-4F9F-A46D-19DC6A24C267}" name="5.4.2025">
      <calculatedColumnFormula>TEXT(CZ4, "ddd")</calculatedColumnFormula>
    </tableColumn>
    <tableColumn id="96" xr3:uid="{035B84B6-D169-4BC9-864C-E67E6335B701}" name="6.4.2025">
      <calculatedColumnFormula>TEXT(DA4, "ddd")</calculatedColumnFormula>
    </tableColumn>
    <tableColumn id="97" xr3:uid="{24C116B8-9226-4855-A04E-B6E566EB1340}" name="7.4.2025">
      <calculatedColumnFormula>TEXT(DB4, "ddd")</calculatedColumnFormula>
    </tableColumn>
    <tableColumn id="98" xr3:uid="{1D278B52-1CAF-4EE1-8386-26304C77BB0A}" name="8.4.2025">
      <calculatedColumnFormula>TEXT(DC4, "ddd")</calculatedColumnFormula>
    </tableColumn>
    <tableColumn id="99" xr3:uid="{3BA28C0D-485F-477F-B499-BAF1FF5E9983}" name="9.4.2025">
      <calculatedColumnFormula>TEXT(DD4, "ddd")</calculatedColumnFormula>
    </tableColumn>
    <tableColumn id="100" xr3:uid="{B453AC0E-795C-4C51-9764-D44AA72EE1B2}" name="10.4.2025">
      <calculatedColumnFormula>TEXT(DE4, "ddd")</calculatedColumnFormula>
    </tableColumn>
    <tableColumn id="101" xr3:uid="{3528DE34-B062-4596-AA83-6757A128C6E9}" name="11.4.2025">
      <calculatedColumnFormula>TEXT(DF4, "ddd")</calculatedColumnFormula>
    </tableColumn>
    <tableColumn id="102" xr3:uid="{5204DE22-FA73-4F1A-B45A-54144D58F0D6}" name="12.4.2025">
      <calculatedColumnFormula>TEXT(DG4, "ddd")</calculatedColumnFormula>
    </tableColumn>
    <tableColumn id="103" xr3:uid="{F67E6607-3B4B-4162-9573-7C92CB4946F7}" name="13.4.2025">
      <calculatedColumnFormula>TEXT(DH4, "ddd")</calculatedColumnFormula>
    </tableColumn>
    <tableColumn id="104" xr3:uid="{2EFD1F15-94E1-451B-B79C-C89B0A43BD9D}" name="14.4.2025">
      <calculatedColumnFormula>TEXT(DI4, "ddd")</calculatedColumnFormula>
    </tableColumn>
    <tableColumn id="105" xr3:uid="{8BE456E2-0AFA-4068-8B14-ECD230B70E22}" name="15.4.2025">
      <calculatedColumnFormula>TEXT(DJ4, "ddd")</calculatedColumnFormula>
    </tableColumn>
    <tableColumn id="106" xr3:uid="{6A26101A-5B21-42F2-9188-1EB8317E60FB}" name="16.4.2025">
      <calculatedColumnFormula>TEXT(DK4, "ddd")</calculatedColumnFormula>
    </tableColumn>
    <tableColumn id="107" xr3:uid="{6040CBAC-8E1B-4E2A-92CE-8DCEAB732DA1}" name="17.4.2025">
      <calculatedColumnFormula>TEXT(DL4, "ddd")</calculatedColumnFormula>
    </tableColumn>
    <tableColumn id="108" xr3:uid="{37052B86-A199-4150-AEA2-5C8567C6C9F3}" name="18.4.2025">
      <calculatedColumnFormula>TEXT(DM4, "ddd")</calculatedColumnFormula>
    </tableColumn>
    <tableColumn id="109" xr3:uid="{0D0087C4-1577-4C49-AE09-B95047687B3D}" name="19.4.2025">
      <calculatedColumnFormula>TEXT(DN4, "ddd")</calculatedColumnFormula>
    </tableColumn>
    <tableColumn id="110" xr3:uid="{0EF06542-C922-474A-BE34-289EC7CAF5B5}" name="20.4.2025">
      <calculatedColumnFormula>TEXT(DO4, "ddd")</calculatedColumnFormula>
    </tableColumn>
    <tableColumn id="111" xr3:uid="{1B3D5B51-CA00-46E4-8232-83CA0255E3BC}" name="21.4.2025">
      <calculatedColumnFormula>TEXT(DP4, "ddd")</calculatedColumnFormula>
    </tableColumn>
    <tableColumn id="112" xr3:uid="{7B8F173B-A308-49FF-94CA-80EFFAA8DFC5}" name="22.4.2025">
      <calculatedColumnFormula>TEXT(DQ4, "ddd")</calculatedColumnFormula>
    </tableColumn>
    <tableColumn id="113" xr3:uid="{0291C099-3ECC-43B9-86FC-54A6ED6325B2}" name="23.4.2025">
      <calculatedColumnFormula>TEXT(DR4, "ddd")</calculatedColumnFormula>
    </tableColumn>
    <tableColumn id="114" xr3:uid="{6FAFD219-4AE6-4871-ACC3-DCAB38394869}" name="24.4.2025">
      <calculatedColumnFormula>TEXT(DS4, "ddd")</calculatedColumnFormula>
    </tableColumn>
    <tableColumn id="115" xr3:uid="{E6FC5714-B735-411C-B593-569A3CAAA9DE}" name="25.4.2025">
      <calculatedColumnFormula>TEXT(DT4, "ddd")</calculatedColumnFormula>
    </tableColumn>
    <tableColumn id="116" xr3:uid="{17EF3818-2667-4AFA-B5A3-B260DD9397DB}" name="26.4.2025">
      <calculatedColumnFormula>TEXT(DU4, "ddd")</calculatedColumnFormula>
    </tableColumn>
    <tableColumn id="117" xr3:uid="{DEB0A091-44F3-416E-ABB1-72C48A840985}" name="27.4.2025">
      <calculatedColumnFormula>TEXT(DV4, "ddd")</calculatedColumnFormula>
    </tableColumn>
    <tableColumn id="118" xr3:uid="{A81F32FF-AFE6-4218-95CB-7EEF7B3F6FC5}" name="28.4.2025">
      <calculatedColumnFormula>TEXT(DW4, "ddd")</calculatedColumnFormula>
    </tableColumn>
    <tableColumn id="119" xr3:uid="{BCA2F21E-1B48-4A21-8741-D7F4D5F7EB34}" name="29.4.2025">
      <calculatedColumnFormula>TEXT(DX4, "ddd")</calculatedColumnFormula>
    </tableColumn>
    <tableColumn id="120" xr3:uid="{1FD196EE-D093-435D-9FD6-44FB2B268FAB}" name="30.4.2025">
      <calculatedColumnFormula>TEXT(DY4, "ddd")</calculatedColumnFormula>
    </tableColumn>
    <tableColumn id="121" xr3:uid="{34591C2A-78A8-4F81-A1BA-C64ADE9C9614}" name="1.5.2025">
      <calculatedColumnFormula>TEXT(DZ4, "ddd")</calculatedColumnFormula>
    </tableColumn>
    <tableColumn id="122" xr3:uid="{968DF0AD-359D-4408-B508-6658DF1BD681}" name="2.5.2025">
      <calculatedColumnFormula>TEXT(EA4, "ddd")</calculatedColumnFormula>
    </tableColumn>
    <tableColumn id="123" xr3:uid="{AC12295A-0880-475F-98BE-1E89EC9D2380}" name="3.5.2025">
      <calculatedColumnFormula>TEXT(EB4, "ddd")</calculatedColumnFormula>
    </tableColumn>
    <tableColumn id="124" xr3:uid="{EBDE9BA7-47E4-458B-95FC-2DB9EA6FFD9A}" name="4.5.2025">
      <calculatedColumnFormula>TEXT(EC4, "ddd")</calculatedColumnFormula>
    </tableColumn>
    <tableColumn id="125" xr3:uid="{B6CB8A38-7A24-45FB-87BC-EA0FFE2D3FFD}" name="5.5.2025">
      <calculatedColumnFormula>TEXT(ED4, "ddd")</calculatedColumnFormula>
    </tableColumn>
    <tableColumn id="126" xr3:uid="{82D0E1DE-8DDE-4FDC-A57E-736EF1D1139A}" name="6.5.2025">
      <calculatedColumnFormula>TEXT(EE4, "ddd")</calculatedColumnFormula>
    </tableColumn>
    <tableColumn id="127" xr3:uid="{341C910B-A70B-4500-819E-8A8A14F1B23E}" name="7.5.2025">
      <calculatedColumnFormula>TEXT(EF4, "ddd")</calculatedColumnFormula>
    </tableColumn>
    <tableColumn id="128" xr3:uid="{C8E1AC67-86DE-411C-AE64-C3655ACEF23C}" name="8.5.2025">
      <calculatedColumnFormula>TEXT(EG4, "ddd")</calculatedColumnFormula>
    </tableColumn>
    <tableColumn id="129" xr3:uid="{22B5EBB8-757C-41CD-B3B8-799759AE3E52}" name="9.5.2025">
      <calculatedColumnFormula>TEXT(EH4, "ddd")</calculatedColumnFormula>
    </tableColumn>
    <tableColumn id="130" xr3:uid="{46D31A60-974A-45A2-88F5-18A7C3BBFD6D}" name="10.5.2025">
      <calculatedColumnFormula>TEXT(EI4, "ddd")</calculatedColumnFormula>
    </tableColumn>
    <tableColumn id="131" xr3:uid="{E2CEA462-7BD4-486D-9AEF-CBDA167CD5C3}" name="11.5.2025">
      <calculatedColumnFormula>TEXT(EJ4, "ddd")</calculatedColumnFormula>
    </tableColumn>
    <tableColumn id="132" xr3:uid="{130F04AE-8F4A-42FF-AA44-DE44D5B57381}" name="12.5.2025">
      <calculatedColumnFormula>TEXT(EK4, "ddd")</calculatedColumnFormula>
    </tableColumn>
    <tableColumn id="133" xr3:uid="{C275EF94-EAC2-4160-829A-298810A000AA}" name="13.5.2025">
      <calculatedColumnFormula>TEXT(EL4, "ddd")</calculatedColumnFormula>
    </tableColumn>
    <tableColumn id="134" xr3:uid="{F8035C47-22E6-41C4-A2AD-3D93817B561A}" name="14.5.2025">
      <calculatedColumnFormula>TEXT(EM4, "ddd")</calculatedColumnFormula>
    </tableColumn>
    <tableColumn id="135" xr3:uid="{6934DE98-9FD8-492A-A9F0-42BC4B9B57D1}" name="15.5.2025">
      <calculatedColumnFormula>TEXT(EN4, "ddd")</calculatedColumnFormula>
    </tableColumn>
    <tableColumn id="136" xr3:uid="{FF5D0F26-44BD-4003-B5DA-6B3FCD02DF7D}" name="16.5.2025">
      <calculatedColumnFormula>TEXT(EO4, "ddd")</calculatedColumnFormula>
    </tableColumn>
    <tableColumn id="137" xr3:uid="{CCD2AB4D-F74D-4D7C-A384-12749B7FCC3E}" name="17.5.2025">
      <calculatedColumnFormula>TEXT(EP4, "ddd")</calculatedColumnFormula>
    </tableColumn>
    <tableColumn id="138" xr3:uid="{91524399-05DA-46BB-B187-207BD56EBBC5}" name="18.5.2025">
      <calculatedColumnFormula>TEXT(EQ4, "ddd")</calculatedColumnFormula>
    </tableColumn>
    <tableColumn id="139" xr3:uid="{E2CCDBA8-6B5E-4DB8-80BE-1F31A30A8810}" name="19.5.2025">
      <calculatedColumnFormula>TEXT(ER4, "ddd")</calculatedColumnFormula>
    </tableColumn>
    <tableColumn id="140" xr3:uid="{5A5898B6-7949-492E-87EF-32BD9C701DC3}" name="20.5.2025">
      <calculatedColumnFormula>TEXT(ES4, "ddd")</calculatedColumnFormula>
    </tableColumn>
    <tableColumn id="141" xr3:uid="{C90DE3D0-25BD-4E40-A020-53B5F8E36AA8}" name="21.5.2025">
      <calculatedColumnFormula>TEXT(ET4, "ddd")</calculatedColumnFormula>
    </tableColumn>
    <tableColumn id="142" xr3:uid="{E9C8797C-1F33-4E80-B4A8-6595F9837406}" name="22.5.2025">
      <calculatedColumnFormula>TEXT(EU4, "ddd")</calculatedColumnFormula>
    </tableColumn>
    <tableColumn id="143" xr3:uid="{7B2A36FD-EA81-4CC3-9804-9B94611A04C7}" name="23.5.2025">
      <calculatedColumnFormula>TEXT(EV4, "ddd")</calculatedColumnFormula>
    </tableColumn>
    <tableColumn id="144" xr3:uid="{D7A3283D-1CFC-489A-9859-3060B488126E}" name="24.5.2025">
      <calculatedColumnFormula>TEXT(EW4, "ddd")</calculatedColumnFormula>
    </tableColumn>
    <tableColumn id="145" xr3:uid="{970D4B6B-2A17-473D-9124-C04A1FE3403F}" name="25.5.2025">
      <calculatedColumnFormula>TEXT(EX4, "ddd")</calculatedColumnFormula>
    </tableColumn>
    <tableColumn id="146" xr3:uid="{BB3FD0BF-9E76-4BA8-8D6E-7A6D9B69F46C}" name="26.5.2025">
      <calculatedColumnFormula>TEXT(EY4, "ddd")</calculatedColumnFormula>
    </tableColumn>
    <tableColumn id="147" xr3:uid="{5917FA52-4C2E-42C3-AB8F-4E95D32D53E2}" name="27.5.2025">
      <calculatedColumnFormula>TEXT(EZ4, "ddd")</calculatedColumnFormula>
    </tableColumn>
    <tableColumn id="148" xr3:uid="{6A36A7F9-82CD-4252-9AC5-83E4FA95717A}" name="28.5.2025">
      <calculatedColumnFormula>TEXT(FA4, "ddd")</calculatedColumnFormula>
    </tableColumn>
    <tableColumn id="149" xr3:uid="{B87D5580-DA5F-4F8E-A430-ABB78C2F7C12}" name="29.5.2025">
      <calculatedColumnFormula>TEXT(FB4, "ddd")</calculatedColumnFormula>
    </tableColumn>
    <tableColumn id="150" xr3:uid="{DDC4E5D3-225C-45AB-9498-5E546D558635}" name="30.5.2025">
      <calculatedColumnFormula>TEXT(FC4, "ddd")</calculatedColumnFormula>
    </tableColumn>
    <tableColumn id="151" xr3:uid="{743AA6EF-AC44-4FCB-A1FE-AA83E7F49A0A}" name="31.5.2025">
      <calculatedColumnFormula>TEXT(FD4, "ddd")</calculatedColumnFormula>
    </tableColumn>
    <tableColumn id="152" xr3:uid="{C257959D-0605-4B94-B883-94B134B96BE7}" name="1.6.2025">
      <calculatedColumnFormula>TEXT(FE4, "ddd")</calculatedColumnFormula>
    </tableColumn>
    <tableColumn id="153" xr3:uid="{B96B2826-BD17-49E0-AFEA-9CBD2E31D6D1}" name="2.6.2025">
      <calculatedColumnFormula>TEXT(FF4, "ddd")</calculatedColumnFormula>
    </tableColumn>
    <tableColumn id="154" xr3:uid="{C7D2701C-8241-4D4C-9D68-E97A7FEE8AAA}" name="3.6.2025">
      <calculatedColumnFormula>TEXT(FG4, "ddd")</calculatedColumnFormula>
    </tableColumn>
    <tableColumn id="155" xr3:uid="{D30C8A10-8731-43F8-A8CC-56F30FE9E847}" name="4.6.2025">
      <calculatedColumnFormula>TEXT(FH4, "ddd")</calculatedColumnFormula>
    </tableColumn>
    <tableColumn id="156" xr3:uid="{C714AC3E-2DA9-410C-AFC7-CC1B740FB8A5}" name="5.6.2025">
      <calculatedColumnFormula>TEXT(FI4, "ddd")</calculatedColumnFormula>
    </tableColumn>
    <tableColumn id="157" xr3:uid="{DA9B7D63-2324-41D1-BA1D-0C12CDE74BA4}" name="6.6.2025">
      <calculatedColumnFormula>TEXT(FJ4, "ddd")</calculatedColumnFormula>
    </tableColumn>
    <tableColumn id="158" xr3:uid="{48CC4898-C0C0-4256-9215-98BA04C54AA2}" name="7.6.2025">
      <calculatedColumnFormula>TEXT(FK4, "ddd")</calculatedColumnFormula>
    </tableColumn>
    <tableColumn id="159" xr3:uid="{57482417-6098-4E1E-A4A9-3320C150409E}" name="8.6.2025">
      <calculatedColumnFormula>TEXT(FL4, "ddd")</calculatedColumnFormula>
    </tableColumn>
    <tableColumn id="160" xr3:uid="{F51202FE-7AC2-4046-8C79-0D057DC7100E}" name="9.6.2025">
      <calculatedColumnFormula>TEXT(FM4, "ddd")</calculatedColumnFormula>
    </tableColumn>
    <tableColumn id="161" xr3:uid="{08D4A16C-5CF5-4203-846D-FA4724AD2C71}" name="10.6.2025">
      <calculatedColumnFormula>TEXT(FN4, "ddd")</calculatedColumnFormula>
    </tableColumn>
    <tableColumn id="162" xr3:uid="{C6BD19DF-6BD3-4897-B8B5-824D6D1D6B0B}" name="11.6.2025">
      <calculatedColumnFormula>TEXT(FO4, "ddd")</calculatedColumnFormula>
    </tableColumn>
    <tableColumn id="163" xr3:uid="{6AA3F87B-ADBD-47A4-A620-51C7DA9159E5}" name="12.6.2025">
      <calculatedColumnFormula>TEXT(FP4, "ddd")</calculatedColumnFormula>
    </tableColumn>
    <tableColumn id="164" xr3:uid="{4F5DF627-89E0-4F14-97CA-F102773799DC}" name="13.6.2025">
      <calculatedColumnFormula>TEXT(FQ4, "ddd")</calculatedColumnFormula>
    </tableColumn>
    <tableColumn id="165" xr3:uid="{0B1A383D-8A6D-479A-B7CE-6FC562C871CE}" name="14.6.2025">
      <calculatedColumnFormula>TEXT(FR4, "ddd")</calculatedColumnFormula>
    </tableColumn>
    <tableColumn id="166" xr3:uid="{0DC5971E-674D-4E45-BAF7-B0A152F60C51}" name="15.6.2025">
      <calculatedColumnFormula>TEXT(FS4, "ddd")</calculatedColumnFormula>
    </tableColumn>
    <tableColumn id="167" xr3:uid="{E34DE101-BEEA-4760-84FE-9C2CA40CF9B0}" name="16.6.2025">
      <calculatedColumnFormula>TEXT(FT4, "ddd")</calculatedColumnFormula>
    </tableColumn>
    <tableColumn id="168" xr3:uid="{A8EA9577-CFE6-41E1-91C8-1D5CCE60C48F}" name="17.6.2025">
      <calculatedColumnFormula>TEXT(FU4, "ddd")</calculatedColumnFormula>
    </tableColumn>
    <tableColumn id="169" xr3:uid="{5767A816-8635-4E88-81F9-22EEA6DAF259}" name="18.6.2025">
      <calculatedColumnFormula>TEXT(FV4, "ddd")</calculatedColumnFormula>
    </tableColumn>
    <tableColumn id="170" xr3:uid="{56B33A88-D085-4114-B6EF-1AAFBA3C3BF4}" name="19.6.2025">
      <calculatedColumnFormula>TEXT(FW4, "ddd")</calculatedColumnFormula>
    </tableColumn>
    <tableColumn id="171" xr3:uid="{753AF6D6-40E8-423B-938D-13D8FF066FF6}" name="20.6.2025">
      <calculatedColumnFormula>TEXT(FX4, "ddd")</calculatedColumnFormula>
    </tableColumn>
    <tableColumn id="172" xr3:uid="{56642029-68AD-4698-B955-2D0B76088778}" name="21.6.2025">
      <calculatedColumnFormula>TEXT(FY4, "ddd")</calculatedColumnFormula>
    </tableColumn>
    <tableColumn id="173" xr3:uid="{69A4658C-0CB1-4707-BDE4-D6CA7A554204}" name="22.6.2025">
      <calculatedColumnFormula>TEXT(FZ4, "ddd")</calculatedColumnFormula>
    </tableColumn>
    <tableColumn id="174" xr3:uid="{A56AE299-23D8-4A3B-BD28-B00447EA17EF}" name="23.6.2025">
      <calculatedColumnFormula>TEXT(GA4, "ddd")</calculatedColumnFormula>
    </tableColumn>
    <tableColumn id="175" xr3:uid="{6BE9F1E0-0CB2-45F7-B1C7-C066C4AC2F77}" name="24.6.2025">
      <calculatedColumnFormula>TEXT(GB4, "ddd")</calculatedColumnFormula>
    </tableColumn>
    <tableColumn id="176" xr3:uid="{99555BDA-93A4-401D-8632-F84CA7EE945C}" name="25.6.2025">
      <calculatedColumnFormula>TEXT(GC4, "ddd")</calculatedColumnFormula>
    </tableColumn>
    <tableColumn id="177" xr3:uid="{2BFBDBB6-EBA7-4BAF-8EB4-7395B45A9052}" name="26.6.2025">
      <calculatedColumnFormula>TEXT(GD4, "ddd")</calculatedColumnFormula>
    </tableColumn>
    <tableColumn id="178" xr3:uid="{45B1068F-B03F-49C2-BCE0-16F2BFE419A3}" name="27.6.2025">
      <calculatedColumnFormula>TEXT(GE4, "ddd")</calculatedColumnFormula>
    </tableColumn>
    <tableColumn id="179" xr3:uid="{4A6935B0-9008-4BE3-BAC2-4F3D4AAFD674}" name="28.6.2025">
      <calculatedColumnFormula>TEXT(GF4, "ddd")</calculatedColumnFormula>
    </tableColumn>
    <tableColumn id="180" xr3:uid="{3D3B9B5D-CD7D-41EA-96BB-3803954893DE}" name="29.6.2025">
      <calculatedColumnFormula>TEXT(GG4, "ddd")</calculatedColumnFormula>
    </tableColumn>
    <tableColumn id="181" xr3:uid="{C4A85203-06AD-4FC0-B1E5-1F95B176FD22}" name="30.6.2025">
      <calculatedColumnFormula>TEXT(GH4, "ddd")</calculatedColumnFormula>
    </tableColumn>
    <tableColumn id="182" xr3:uid="{838742A7-6991-4656-A9B2-3F2690D35CD6}" name="1.7.2025">
      <calculatedColumnFormula>TEXT(GI4, "ddd")</calculatedColumnFormula>
    </tableColumn>
    <tableColumn id="183" xr3:uid="{BC470727-95DF-4E04-856E-282653BD6217}" name="2.7.2025">
      <calculatedColumnFormula>TEXT(GJ4, "ddd")</calculatedColumnFormula>
    </tableColumn>
    <tableColumn id="184" xr3:uid="{1B6784B2-E2E0-446A-884B-FB2586D1FD3A}" name="3.7.2025">
      <calculatedColumnFormula>TEXT(GK4, "ddd")</calculatedColumnFormula>
    </tableColumn>
    <tableColumn id="185" xr3:uid="{FC4352CB-D363-46D9-8504-8C9079320DB3}" name="4.7.2025">
      <calculatedColumnFormula>TEXT(GL4, "ddd")</calculatedColumnFormula>
    </tableColumn>
    <tableColumn id="186" xr3:uid="{6A417F4A-5148-4447-B370-9C97F2AAB0AF}" name="5.7.2025">
      <calculatedColumnFormula>TEXT(GM4, "ddd")</calculatedColumnFormula>
    </tableColumn>
    <tableColumn id="187" xr3:uid="{025F46E0-A896-4E38-ACD4-5802D0BB9023}" name="6.7.2025">
      <calculatedColumnFormula>TEXT(GN4, "ddd")</calculatedColumnFormula>
    </tableColumn>
    <tableColumn id="188" xr3:uid="{1BECDFCE-9388-472E-986E-E1E1BDC4ACA6}" name="7.7.2025">
      <calculatedColumnFormula>TEXT(GO4, "ddd")</calculatedColumnFormula>
    </tableColumn>
    <tableColumn id="189" xr3:uid="{606BB0E9-9A28-4E5F-AFCD-E97BCA5310F0}" name="8.7.2025">
      <calculatedColumnFormula>TEXT(GP4, "ddd")</calculatedColumnFormula>
    </tableColumn>
    <tableColumn id="190" xr3:uid="{E9629323-305F-42B2-A09D-95B33D13FC70}" name="9.7.2025">
      <calculatedColumnFormula>TEXT(GQ4, "ddd")</calculatedColumnFormula>
    </tableColumn>
    <tableColumn id="191" xr3:uid="{BA67C49B-12E8-474C-9334-BA2E522E0D19}" name="10.7.2025">
      <calculatedColumnFormula>TEXT(GR4, "ddd")</calculatedColumnFormula>
    </tableColumn>
    <tableColumn id="192" xr3:uid="{5C0A87E2-161E-4AB8-87B3-70D0A8E40F39}" name="11.7.2025">
      <calculatedColumnFormula>TEXT(GS4, "ddd")</calculatedColumnFormula>
    </tableColumn>
    <tableColumn id="193" xr3:uid="{036BEF21-171D-48FA-89CC-96D1D868516F}" name="12.7.2025">
      <calculatedColumnFormula>TEXT(GT4, "ddd")</calculatedColumnFormula>
    </tableColumn>
    <tableColumn id="194" xr3:uid="{BBFC45C0-6DD8-431A-87C4-5B37EA188F90}" name="13.7.2025">
      <calculatedColumnFormula>TEXT(GU4, "ddd")</calculatedColumnFormula>
    </tableColumn>
    <tableColumn id="195" xr3:uid="{E4BF6320-8F39-48A6-9D50-50344FA4F484}" name="14.7.2025">
      <calculatedColumnFormula>TEXT(GV4, "ddd")</calculatedColumnFormula>
    </tableColumn>
    <tableColumn id="196" xr3:uid="{E22FEAB8-048B-4C2C-BD34-3B84D3097CD6}" name="15.7.2025">
      <calculatedColumnFormula>TEXT(GW4, "ddd")</calculatedColumnFormula>
    </tableColumn>
    <tableColumn id="197" xr3:uid="{F92E5585-F32D-492D-84EA-9A7E3F1FECFE}" name="16.7.2025">
      <calculatedColumnFormula>TEXT(GX4, "ddd")</calculatedColumnFormula>
    </tableColumn>
    <tableColumn id="198" xr3:uid="{32CFA47C-8701-4F63-84D8-9460C6F438B6}" name="17.7.2025">
      <calculatedColumnFormula>TEXT(GY4, "ddd")</calculatedColumnFormula>
    </tableColumn>
    <tableColumn id="199" xr3:uid="{3E893C8E-B78F-4EFC-BEF2-B7F2C2850C1E}" name="18.7.2025">
      <calculatedColumnFormula>TEXT(GZ4, "ddd")</calculatedColumnFormula>
    </tableColumn>
    <tableColumn id="200" xr3:uid="{707AA664-C337-4C5E-BDE5-283F0615DE7A}" name="19.7.2025">
      <calculatedColumnFormula>TEXT(HA4, "ddd")</calculatedColumnFormula>
    </tableColumn>
    <tableColumn id="201" xr3:uid="{A411546C-3194-4DC1-8057-516CBC5C4904}" name="20.7.2025">
      <calculatedColumnFormula>TEXT(HB4, "ddd")</calculatedColumnFormula>
    </tableColumn>
    <tableColumn id="202" xr3:uid="{C68C2EA7-0DB2-497A-9814-9F5DDAF98950}" name="21.7.2025">
      <calculatedColumnFormula>TEXT(HC4, "ddd")</calculatedColumnFormula>
    </tableColumn>
    <tableColumn id="203" xr3:uid="{CF0D3C5E-C21D-4072-B3D0-D5E01AD44FB6}" name="22.7.2025">
      <calculatedColumnFormula>TEXT(HD4, "ddd")</calculatedColumnFormula>
    </tableColumn>
    <tableColumn id="204" xr3:uid="{27C02088-0E33-4333-846E-911E5EB05D5A}" name="23.7.2025">
      <calculatedColumnFormula>TEXT(HE4, "ddd")</calculatedColumnFormula>
    </tableColumn>
    <tableColumn id="205" xr3:uid="{3B697C6C-B49F-4A2B-84FF-85B92CEEC33B}" name="24.7.2025">
      <calculatedColumnFormula>TEXT(HF4, "ddd")</calculatedColumnFormula>
    </tableColumn>
    <tableColumn id="206" xr3:uid="{3DAAFA9B-C234-499D-B360-645AC6F7C6AC}" name="25.7.2025">
      <calculatedColumnFormula>TEXT(HG4, "ddd")</calculatedColumnFormula>
    </tableColumn>
    <tableColumn id="207" xr3:uid="{713FCF46-004B-45B8-B948-A41AD9E47082}" name="26.7.2025">
      <calculatedColumnFormula>TEXT(HH4, "ddd")</calculatedColumnFormula>
    </tableColumn>
    <tableColumn id="208" xr3:uid="{ED9F8395-2113-4EB3-829A-247C6BB617E6}" name="27.7.2025">
      <calculatedColumnFormula>TEXT(HI4, "ddd")</calculatedColumnFormula>
    </tableColumn>
    <tableColumn id="209" xr3:uid="{1E297516-EEE0-4B5E-934B-D3DF691AE4D3}" name="28.7.2025">
      <calculatedColumnFormula>TEXT(HJ4, "ddd")</calculatedColumnFormula>
    </tableColumn>
    <tableColumn id="210" xr3:uid="{315450CE-C9D4-4E52-8785-4A2B794D51DB}" name="29.7.2025">
      <calculatedColumnFormula>TEXT(HK4, "ddd")</calculatedColumnFormula>
    </tableColumn>
    <tableColumn id="211" xr3:uid="{1354E8D6-1CA5-4256-A319-9B725A67F6D1}" name="30.7.2025">
      <calculatedColumnFormula>TEXT(HL4, "ddd")</calculatedColumnFormula>
    </tableColumn>
    <tableColumn id="212" xr3:uid="{BC8B38C4-96E5-49CA-B7F0-047A4EB0F8F4}" name="31.7.2025">
      <calculatedColumnFormula>TEXT(HM4, "ddd")</calculatedColumnFormula>
    </tableColumn>
    <tableColumn id="213" xr3:uid="{4AB508ED-24F3-4CDA-9077-E91AFA258117}" name="1.8.2025">
      <calculatedColumnFormula>TEXT(HN4, "ddd")</calculatedColumnFormula>
    </tableColumn>
    <tableColumn id="214" xr3:uid="{16D15F5F-A11F-4A16-B51C-2B3D77D35E4F}" name="2.8.2025">
      <calculatedColumnFormula>TEXT(HO4, "ddd")</calculatedColumnFormula>
    </tableColumn>
    <tableColumn id="215" xr3:uid="{B6025804-89E9-4B26-B366-C67E154288C6}" name="3.8.2025">
      <calculatedColumnFormula>TEXT(HP4, "ddd")</calculatedColumnFormula>
    </tableColumn>
    <tableColumn id="216" xr3:uid="{9E339C06-04EE-484F-8EE3-94712DC9FB8F}" name="4.8.2025">
      <calculatedColumnFormula>TEXT(HQ4, "ddd")</calculatedColumnFormula>
    </tableColumn>
    <tableColumn id="217" xr3:uid="{BE150334-6F2B-4E30-AB5D-A8CA7D986190}" name="5.8.2025">
      <calculatedColumnFormula>TEXT(HR4, "ddd")</calculatedColumnFormula>
    </tableColumn>
    <tableColumn id="218" xr3:uid="{AAA1DCA6-71AB-427A-B83A-267F07619223}" name="6.8.2025">
      <calculatedColumnFormula>TEXT(HS4, "ddd")</calculatedColumnFormula>
    </tableColumn>
    <tableColumn id="219" xr3:uid="{2275E213-35FE-41FF-B538-3FE790B2980C}" name="7.8.2025">
      <calculatedColumnFormula>TEXT(HT4, "ddd")</calculatedColumnFormula>
    </tableColumn>
    <tableColumn id="220" xr3:uid="{652E184E-CD57-469A-BC81-740BDDA37B65}" name="8.8.2025">
      <calculatedColumnFormula>TEXT(HU4, "ddd")</calculatedColumnFormula>
    </tableColumn>
    <tableColumn id="221" xr3:uid="{69548D84-6CC5-48C8-A535-C2FADE5FA5C1}" name="9.8.2025">
      <calculatedColumnFormula>TEXT(HV4, "ddd")</calculatedColumnFormula>
    </tableColumn>
    <tableColumn id="222" xr3:uid="{17EBCD71-F2F7-41BB-AD6E-146B7900A810}" name="10.8.2025">
      <calculatedColumnFormula>TEXT(HW4, "ddd")</calculatedColumnFormula>
    </tableColumn>
    <tableColumn id="223" xr3:uid="{849EAA0F-9C47-4775-953A-0FBAA026FAEE}" name="11.8.2025">
      <calculatedColumnFormula>TEXT(HX4, "ddd")</calculatedColumnFormula>
    </tableColumn>
    <tableColumn id="224" xr3:uid="{4E3DE8CA-C37F-4F6F-B4AD-260FE3763D7C}" name="12.8.2025">
      <calculatedColumnFormula>TEXT(HY4, "ddd")</calculatedColumnFormula>
    </tableColumn>
    <tableColumn id="225" xr3:uid="{02AB0B6A-9BF7-436A-81A4-E3849745B03B}" name="13.8.2025">
      <calculatedColumnFormula>TEXT(HZ4, "ddd")</calculatedColumnFormula>
    </tableColumn>
    <tableColumn id="226" xr3:uid="{D5DA26BA-43A4-475E-B561-86D6451A7C29}" name="14.8.2025">
      <calculatedColumnFormula>TEXT(IA4, "ddd")</calculatedColumnFormula>
    </tableColumn>
    <tableColumn id="227" xr3:uid="{884003E8-FE41-4AC6-BBDC-B4C1780B2507}" name="15.8.2025">
      <calculatedColumnFormula>TEXT(IB4, "ddd")</calculatedColumnFormula>
    </tableColumn>
    <tableColumn id="228" xr3:uid="{698277BB-7255-4D74-ACAD-606C7B8C8434}" name="16.8.2025">
      <calculatedColumnFormula>TEXT(IC4, "ddd")</calculatedColumnFormula>
    </tableColumn>
    <tableColumn id="229" xr3:uid="{752206DB-E3A3-4754-AF45-DF39B2B6EA41}" name="17.8.2025">
      <calculatedColumnFormula>TEXT(ID4, "ddd")</calculatedColumnFormula>
    </tableColumn>
    <tableColumn id="230" xr3:uid="{FCD33D7B-2FF6-4CCE-A37C-D36B5453DA01}" name="18.8.2025">
      <calculatedColumnFormula>TEXT(IE4, "ddd")</calculatedColumnFormula>
    </tableColumn>
    <tableColumn id="231" xr3:uid="{E120EFC6-5470-429A-B85C-8B93BD0B7735}" name="19.8.2025">
      <calculatedColumnFormula>TEXT(IF4, "ddd")</calculatedColumnFormula>
    </tableColumn>
    <tableColumn id="232" xr3:uid="{C6099506-D98B-48B9-85AE-6EF6F0268B57}" name="20.8.2025">
      <calculatedColumnFormula>TEXT(IG4, "ddd")</calculatedColumnFormula>
    </tableColumn>
    <tableColumn id="233" xr3:uid="{1A5E2820-9B0D-4FF6-BE46-BC45F9C5088F}" name="21.8.2025">
      <calculatedColumnFormula>TEXT(IH4, "ddd")</calculatedColumnFormula>
    </tableColumn>
    <tableColumn id="234" xr3:uid="{5AE8E41E-ED58-44A2-B416-D9813A4CCAFB}" name="22.8.2025">
      <calculatedColumnFormula>TEXT(II4, "ddd")</calculatedColumnFormula>
    </tableColumn>
    <tableColumn id="235" xr3:uid="{6F5DC168-2842-4575-9E93-92D40F5E33C5}" name="23.8.2025">
      <calculatedColumnFormula>TEXT(IJ4, "ddd")</calculatedColumnFormula>
    </tableColumn>
    <tableColumn id="236" xr3:uid="{C63E6AA9-6E9E-49E0-B00F-818FFC64F997}" name="24.8.2025">
      <calculatedColumnFormula>TEXT(IK4, "ddd")</calculatedColumnFormula>
    </tableColumn>
    <tableColumn id="237" xr3:uid="{B558BA34-7A63-4D23-B041-9D0382EC7EE9}" name="25.8.2025">
      <calculatedColumnFormula>TEXT(IL4, "ddd")</calculatedColumnFormula>
    </tableColumn>
    <tableColumn id="238" xr3:uid="{CE8BBBF8-67DF-402F-97B3-E9D09E8B81F3}" name="26.8.2025">
      <calculatedColumnFormula>TEXT(IM4, "ddd")</calculatedColumnFormula>
    </tableColumn>
    <tableColumn id="239" xr3:uid="{D1AFED75-575D-4177-BF0B-1C8B4117F2AA}" name="27.8.2025">
      <calculatedColumnFormula>TEXT(IN4, "ddd")</calculatedColumnFormula>
    </tableColumn>
    <tableColumn id="240" xr3:uid="{65367269-94CE-4133-AA08-B805D2DD71FB}" name="28.8.2025">
      <calculatedColumnFormula>TEXT(IO4, "ddd")</calculatedColumnFormula>
    </tableColumn>
    <tableColumn id="241" xr3:uid="{F872F1F7-3F96-447A-9161-746F40C56683}" name="29.8.2025">
      <calculatedColumnFormula>TEXT(IP4, "ddd")</calculatedColumnFormula>
    </tableColumn>
    <tableColumn id="242" xr3:uid="{FCFD2020-9E64-49D3-8AD8-A9EBE85A8F0D}" name="30.8.2025">
      <calculatedColumnFormula>TEXT(IQ4, "ddd")</calculatedColumnFormula>
    </tableColumn>
    <tableColumn id="243" xr3:uid="{377BEDF1-1329-438F-B941-4089D7DF44CF}" name="31.8.2025">
      <calculatedColumnFormula>TEXT(IR4, "ddd")</calculatedColumnFormula>
    </tableColumn>
    <tableColumn id="244" xr3:uid="{8EFF3D11-FD5B-410E-ACC2-B2A90A32FAF1}" name="1.9.2025">
      <calculatedColumnFormula>TEXT(IS4, "ddd")</calculatedColumnFormula>
    </tableColumn>
    <tableColumn id="245" xr3:uid="{A26308FC-5694-4B22-8BF3-F4FEE722EEC2}" name="2.9.2025">
      <calculatedColumnFormula>TEXT(IT4, "ddd")</calculatedColumnFormula>
    </tableColumn>
    <tableColumn id="246" xr3:uid="{113CDD27-6FD2-4C14-9A86-AB65E0D2D30A}" name="3.9.2025">
      <calculatedColumnFormula>TEXT(IU4, "ddd")</calculatedColumnFormula>
    </tableColumn>
    <tableColumn id="247" xr3:uid="{C3513FD4-5852-4E54-883E-E3C15FE167B9}" name="4.9.2025">
      <calculatedColumnFormula>TEXT(IV4, "ddd")</calculatedColumnFormula>
    </tableColumn>
    <tableColumn id="248" xr3:uid="{77DA1A65-702B-495C-A433-C5E20634696F}" name="5.9.2025">
      <calculatedColumnFormula>TEXT(IW4, "ddd")</calculatedColumnFormula>
    </tableColumn>
    <tableColumn id="249" xr3:uid="{BD24661E-412C-4F28-864D-E16979F64E47}" name="6.9.2025">
      <calculatedColumnFormula>TEXT(IX4, "ddd")</calculatedColumnFormula>
    </tableColumn>
    <tableColumn id="250" xr3:uid="{26995DB5-BD08-462C-A7E3-4181B99623D7}" name="7.9.2025">
      <calculatedColumnFormula>TEXT(IY4, "ddd")</calculatedColumnFormula>
    </tableColumn>
    <tableColumn id="251" xr3:uid="{6F2C02D8-1195-46CE-89CF-1F85A6C4BE14}" name="8.9.2025">
      <calculatedColumnFormula>TEXT(IZ4, "ddd")</calculatedColumnFormula>
    </tableColumn>
    <tableColumn id="252" xr3:uid="{39329AC7-5EC7-4E16-ACA8-E3449EA3C2A5}" name="9.9.2025">
      <calculatedColumnFormula>TEXT(JA4, "ddd")</calculatedColumnFormula>
    </tableColumn>
    <tableColumn id="253" xr3:uid="{4EED944E-B469-4AB2-874C-828AE3BDE581}" name="10.9.2025">
      <calculatedColumnFormula>TEXT(JB4, "ddd")</calculatedColumnFormula>
    </tableColumn>
    <tableColumn id="254" xr3:uid="{22C1192E-3B58-4B45-8CBC-FF5F90A49043}" name="11.9.2025">
      <calculatedColumnFormula>TEXT(JC4, "ddd")</calculatedColumnFormula>
    </tableColumn>
    <tableColumn id="255" xr3:uid="{C249B95B-B993-4F68-9D36-A7C7938DC019}" name="12.9.2025">
      <calculatedColumnFormula>TEXT(JD4, "ddd")</calculatedColumnFormula>
    </tableColumn>
    <tableColumn id="256" xr3:uid="{3C23F004-0C16-4E75-858D-82EF3E94B77A}" name="13.9.2025">
      <calculatedColumnFormula>TEXT(JE4, "ddd")</calculatedColumnFormula>
    </tableColumn>
    <tableColumn id="257" xr3:uid="{AA2CF01A-B2A0-45CF-B0FB-2DA8AB60F3E8}" name="14.9.2025">
      <calculatedColumnFormula>TEXT(JF4, "ddd")</calculatedColumnFormula>
    </tableColumn>
    <tableColumn id="258" xr3:uid="{47B3A6FC-A450-4E55-914A-91653FDECD28}" name="15.9.2025">
      <calculatedColumnFormula>TEXT(JG4, "ddd")</calculatedColumnFormula>
    </tableColumn>
    <tableColumn id="259" xr3:uid="{7A4D8FD9-7408-40FA-AFFF-1B31A890D436}" name="16.9.2025">
      <calculatedColumnFormula>TEXT(JH4, "ddd")</calculatedColumnFormula>
    </tableColumn>
    <tableColumn id="260" xr3:uid="{4494C295-32A5-4619-BC81-B2F9AB0D5585}" name="17.9.2025">
      <calculatedColumnFormula>TEXT(JI4, "ddd")</calculatedColumnFormula>
    </tableColumn>
    <tableColumn id="261" xr3:uid="{FFDF55E4-440C-488A-903B-0499591C2BCF}" name="18.9.2025">
      <calculatedColumnFormula>TEXT(JJ4, "ddd")</calculatedColumnFormula>
    </tableColumn>
    <tableColumn id="262" xr3:uid="{6CE38B89-88B6-406C-80B3-965C3F2C35D9}" name="19.9.2025">
      <calculatedColumnFormula>TEXT(JK4, "ddd")</calculatedColumnFormula>
    </tableColumn>
    <tableColumn id="263" xr3:uid="{E11DFB1B-5008-4E41-AFB5-39C4D0FA6696}" name="20.9.2025">
      <calculatedColumnFormula>TEXT(JL4, "ddd")</calculatedColumnFormula>
    </tableColumn>
    <tableColumn id="264" xr3:uid="{F5B681A2-A595-4496-BDFD-34ECDEC53324}" name="21.9.2025">
      <calculatedColumnFormula>TEXT(JM4, "ddd")</calculatedColumnFormula>
    </tableColumn>
    <tableColumn id="265" xr3:uid="{91FEB070-C8BC-40B2-A8CD-BDF5103DD71C}" name="22.9.2025">
      <calculatedColumnFormula>TEXT(JN4, "ddd")</calculatedColumnFormula>
    </tableColumn>
    <tableColumn id="266" xr3:uid="{F816D1B3-BDC5-442C-9838-70E0C49498E0}" name="23.9.2025">
      <calculatedColumnFormula>TEXT(JO4, "ddd")</calculatedColumnFormula>
    </tableColumn>
    <tableColumn id="267" xr3:uid="{959595B2-90BE-4EEB-9041-74839F2D0968}" name="24.9.2025">
      <calculatedColumnFormula>TEXT(JP4, "ddd")</calculatedColumnFormula>
    </tableColumn>
    <tableColumn id="268" xr3:uid="{D2BAD065-7543-4EC4-A7C0-FC7B7C789073}" name="25.9.2025">
      <calculatedColumnFormula>TEXT(JQ4, "ddd")</calculatedColumnFormula>
    </tableColumn>
    <tableColumn id="269" xr3:uid="{542CEA17-4C62-4933-87FF-49376D946C10}" name="26.9.2025">
      <calculatedColumnFormula>TEXT(JR4, "ddd")</calculatedColumnFormula>
    </tableColumn>
    <tableColumn id="270" xr3:uid="{537EB68A-6572-461E-A768-9C6C1832F3DC}" name="27.9.2025">
      <calculatedColumnFormula>TEXT(JS4, "ddd")</calculatedColumnFormula>
    </tableColumn>
    <tableColumn id="271" xr3:uid="{3A5409F6-5570-46D9-8229-31119AAFE74B}" name="28.9.2025">
      <calculatedColumnFormula>TEXT(JT4, "ddd")</calculatedColumnFormula>
    </tableColumn>
    <tableColumn id="272" xr3:uid="{12968079-4206-41F3-8789-BED4D302D44F}" name="29.9.2025">
      <calculatedColumnFormula>TEXT(JU4, "ddd")</calculatedColumnFormula>
    </tableColumn>
    <tableColumn id="273" xr3:uid="{5C4323AA-B5C8-4343-A500-5238F9384CCB}" name="30.9.2025">
      <calculatedColumnFormula>TEXT(JV4, "ddd")</calculatedColumnFormula>
    </tableColumn>
    <tableColumn id="274" xr3:uid="{205EF918-0A47-4775-A0B0-E3086AD0708C}" name="1.10.2025">
      <calculatedColumnFormula>TEXT(JW4, "ddd")</calculatedColumnFormula>
    </tableColumn>
    <tableColumn id="275" xr3:uid="{F5ACB737-065B-43BF-ACEA-20259D9C8FE2}" name="2.10.2025">
      <calculatedColumnFormula>TEXT(JX4, "ddd")</calculatedColumnFormula>
    </tableColumn>
    <tableColumn id="276" xr3:uid="{9AD42129-2B8E-4AA2-8714-B789C1317A86}" name="3.10.2025">
      <calculatedColumnFormula>TEXT(JY4, "ddd")</calculatedColumnFormula>
    </tableColumn>
    <tableColumn id="277" xr3:uid="{07024A05-DE14-4A79-95E3-27EF511CAF80}" name="4.10.2025">
      <calculatedColumnFormula>TEXT(JZ4, "ddd")</calculatedColumnFormula>
    </tableColumn>
    <tableColumn id="278" xr3:uid="{2106BBC3-61C9-477F-8A7C-CF957F498304}" name="5.10.2025">
      <calculatedColumnFormula>TEXT(KA4, "ddd")</calculatedColumnFormula>
    </tableColumn>
    <tableColumn id="279" xr3:uid="{E3E5ABFC-B864-49A8-96E0-595F126082EC}" name="6.10.2025">
      <calculatedColumnFormula>TEXT(KB4, "ddd")</calculatedColumnFormula>
    </tableColumn>
    <tableColumn id="280" xr3:uid="{8CE2AA5F-9AA9-44D0-9DAA-E968EC0988CA}" name="7.10.2025">
      <calculatedColumnFormula>TEXT(KC4, "ddd")</calculatedColumnFormula>
    </tableColumn>
    <tableColumn id="281" xr3:uid="{48E8B47A-B253-4F44-8235-D9AD02BE939E}" name="8.10.2025">
      <calculatedColumnFormula>TEXT(KD4, "ddd")</calculatedColumnFormula>
    </tableColumn>
    <tableColumn id="282" xr3:uid="{1DED4ACD-74D9-430F-9FE8-7A4E62B6E7BE}" name="9.10.2025">
      <calculatedColumnFormula>TEXT(KE4, "ddd")</calculatedColumnFormula>
    </tableColumn>
    <tableColumn id="283" xr3:uid="{7D61FB03-4E05-444A-B93B-A1DD5826CDFF}" name="10.10.2025">
      <calculatedColumnFormula>TEXT(KF4, "ddd")</calculatedColumnFormula>
    </tableColumn>
    <tableColumn id="284" xr3:uid="{C728DE1A-E396-4230-9F56-5CDDA004A082}" name="11.10.2025">
      <calculatedColumnFormula>TEXT(KG4, "ddd")</calculatedColumnFormula>
    </tableColumn>
    <tableColumn id="285" xr3:uid="{BD160D9B-F575-4259-AB4D-0762BDFBA25A}" name="12.10.2025">
      <calculatedColumnFormula>TEXT(KH4, "ddd")</calculatedColumnFormula>
    </tableColumn>
    <tableColumn id="286" xr3:uid="{EAFFADFC-7AD8-40D1-AB81-7A9AD7156E75}" name="13.10.2025">
      <calculatedColumnFormula>TEXT(KI4, "ddd")</calculatedColumnFormula>
    </tableColumn>
    <tableColumn id="287" xr3:uid="{24669F6B-CE95-4FC6-91E4-EA498D4408E4}" name="14.10.2025">
      <calculatedColumnFormula>TEXT(KJ4, "ddd")</calculatedColumnFormula>
    </tableColumn>
    <tableColumn id="288" xr3:uid="{6901CD21-94F4-4FB6-9F62-441BB9B3442E}" name="15.10.2025">
      <calculatedColumnFormula>TEXT(KK4, "ddd")</calculatedColumnFormula>
    </tableColumn>
    <tableColumn id="289" xr3:uid="{3F495350-909A-4D15-BAEF-8E5F0FDDA385}" name="16.10.2025">
      <calculatedColumnFormula>TEXT(KL4, "ddd")</calculatedColumnFormula>
    </tableColumn>
    <tableColumn id="290" xr3:uid="{C52B9828-EFBD-45AD-98B5-949093C5082A}" name="17.10.2025">
      <calculatedColumnFormula>TEXT(KM4, "ddd")</calculatedColumnFormula>
    </tableColumn>
    <tableColumn id="291" xr3:uid="{3BABBCC7-B378-4421-BAA1-AEA9FE024A0C}" name="18.10.2025">
      <calculatedColumnFormula>TEXT(KN4, "ddd")</calculatedColumnFormula>
    </tableColumn>
    <tableColumn id="292" xr3:uid="{1591D6D9-56F0-4D69-A448-338A808DC8C9}" name="19.10.2025">
      <calculatedColumnFormula>TEXT(KO4, "ddd")</calculatedColumnFormula>
    </tableColumn>
    <tableColumn id="293" xr3:uid="{16B434CA-9BF1-402E-85B4-857727D20679}" name="20.10.2025">
      <calculatedColumnFormula>TEXT(KP4, "ddd")</calculatedColumnFormula>
    </tableColumn>
    <tableColumn id="294" xr3:uid="{2120EAE6-213D-4799-8FBA-D25576C97F7A}" name="21.10.2025">
      <calculatedColumnFormula>TEXT(KQ4, "ddd")</calculatedColumnFormula>
    </tableColumn>
    <tableColumn id="295" xr3:uid="{185E4388-AF4C-446D-9EDE-5F64CA5A8D01}" name="22.10.2025">
      <calculatedColumnFormula>TEXT(KR4, "ddd")</calculatedColumnFormula>
    </tableColumn>
    <tableColumn id="296" xr3:uid="{ADB6F187-44D2-43FA-A2A3-43F3ECAA2AFE}" name="23.10.2025">
      <calculatedColumnFormula>TEXT(KS4, "ddd")</calculatedColumnFormula>
    </tableColumn>
    <tableColumn id="297" xr3:uid="{0ED22689-1F59-417F-8B4E-465327D6E12F}" name="24.10.2025">
      <calculatedColumnFormula>TEXT(KT4, "ddd")</calculatedColumnFormula>
    </tableColumn>
    <tableColumn id="298" xr3:uid="{CCADDFF1-5551-454B-BFEF-F925ED48EF3E}" name="25.10.2025">
      <calculatedColumnFormula>TEXT(KU4, "ddd")</calculatedColumnFormula>
    </tableColumn>
    <tableColumn id="299" xr3:uid="{6F7C7995-7466-4AB6-97AE-8355B3AAD250}" name="26.10.2025">
      <calculatedColumnFormula>TEXT(KV4, "ddd")</calculatedColumnFormula>
    </tableColumn>
    <tableColumn id="300" xr3:uid="{9DB73398-1102-4DA4-A947-4629DFC8A75B}" name="27.10.2025">
      <calculatedColumnFormula>TEXT(KW4, "ddd")</calculatedColumnFormula>
    </tableColumn>
    <tableColumn id="301" xr3:uid="{39CBC113-650C-4BA7-B338-327904D6F4BB}" name="28.10.2025">
      <calculatedColumnFormula>TEXT(KX4, "ddd")</calculatedColumnFormula>
    </tableColumn>
    <tableColumn id="302" xr3:uid="{09AB1C7A-EF62-4A8B-8989-67B1AA847A7A}" name="29.10.2025">
      <calculatedColumnFormula>TEXT(KY4, "ddd")</calculatedColumnFormula>
    </tableColumn>
    <tableColumn id="303" xr3:uid="{5FB5FD6F-2D42-4B64-9627-76C43A82C333}" name="30.10.2025">
      <calculatedColumnFormula>TEXT(KZ4, "ddd")</calculatedColumnFormula>
    </tableColumn>
    <tableColumn id="304" xr3:uid="{B945F1C5-67CA-4E47-8783-250D6DC2AD47}" name="31.10.2025">
      <calculatedColumnFormula>TEXT(LA4, "ddd")</calculatedColumnFormula>
    </tableColumn>
    <tableColumn id="305" xr3:uid="{CAD5DD07-4DB3-4A47-BB81-C8E2DBDB1D3A}" name="1.11.2025">
      <calculatedColumnFormula>TEXT(LB4, "ddd")</calculatedColumnFormula>
    </tableColumn>
    <tableColumn id="306" xr3:uid="{63EE78E1-088E-4A7F-AA9F-82D75638C903}" name="2.11.2025">
      <calculatedColumnFormula>TEXT(LC4, "ddd")</calculatedColumnFormula>
    </tableColumn>
    <tableColumn id="307" xr3:uid="{16F094A9-10FE-4558-969A-810FE47540D9}" name="3.11.2025">
      <calculatedColumnFormula>TEXT(LD4, "ddd")</calculatedColumnFormula>
    </tableColumn>
    <tableColumn id="308" xr3:uid="{9D67AD90-C16B-4515-89D2-D50C91CA9B47}" name="4.11.2025">
      <calculatedColumnFormula>TEXT(LE4, "ddd")</calculatedColumnFormula>
    </tableColumn>
    <tableColumn id="309" xr3:uid="{88D3AF33-781D-4E37-B462-606185D5995A}" name="5.11.2025">
      <calculatedColumnFormula>TEXT(LF4, "ddd")</calculatedColumnFormula>
    </tableColumn>
    <tableColumn id="310" xr3:uid="{603C9614-524F-4C75-B0DE-21B82EE1008A}" name="6.11.2025">
      <calculatedColumnFormula>TEXT(LG4, "ddd")</calculatedColumnFormula>
    </tableColumn>
    <tableColumn id="311" xr3:uid="{E5AE37A4-A61D-49A2-8BF0-77ABB936C507}" name="7.11.2025">
      <calculatedColumnFormula>TEXT(LH4, "ddd")</calculatedColumnFormula>
    </tableColumn>
    <tableColumn id="312" xr3:uid="{BC21B5D4-0D53-4EC8-B3BF-4D00B85BB1EE}" name="8.11.2025">
      <calculatedColumnFormula>TEXT(LI4, "ddd")</calculatedColumnFormula>
    </tableColumn>
    <tableColumn id="313" xr3:uid="{867A252F-CF34-4810-B388-E97548E731A9}" name="9.11.2025">
      <calculatedColumnFormula>TEXT(LJ4, "ddd")</calculatedColumnFormula>
    </tableColumn>
    <tableColumn id="314" xr3:uid="{C8D0B6C4-7163-4445-B442-B259F2B6B981}" name="10.11.2025">
      <calculatedColumnFormula>TEXT(LK4, "ddd")</calculatedColumnFormula>
    </tableColumn>
    <tableColumn id="315" xr3:uid="{C7592787-0985-42C7-A184-479FB544DC55}" name="11.11.2025">
      <calculatedColumnFormula>TEXT(LL4, "ddd")</calculatedColumnFormula>
    </tableColumn>
    <tableColumn id="316" xr3:uid="{C8D7A294-2C7D-445E-ABA2-C4DF6F1501AD}" name="12.11.2025">
      <calculatedColumnFormula>TEXT(LM4, "ddd")</calculatedColumnFormula>
    </tableColumn>
    <tableColumn id="317" xr3:uid="{EF636317-EB99-4D33-92DF-14A4B1319450}" name="13.11.2025">
      <calculatedColumnFormula>TEXT(LN4, "ddd")</calculatedColumnFormula>
    </tableColumn>
    <tableColumn id="318" xr3:uid="{08EBAD76-EE69-4DCB-87A1-4FC9B80DDFD7}" name="14.11.2025">
      <calculatedColumnFormula>TEXT(LO4, "ddd")</calculatedColumnFormula>
    </tableColumn>
    <tableColumn id="319" xr3:uid="{A8A4A199-2BE0-497F-986C-1940BE0C4700}" name="15.11.2025">
      <calculatedColumnFormula>TEXT(LP4, "ddd")</calculatedColumnFormula>
    </tableColumn>
    <tableColumn id="320" xr3:uid="{87C36EDA-1177-4416-A74E-9C0955436AE5}" name="16.11.2025">
      <calculatedColumnFormula>TEXT(LQ4, "ddd")</calculatedColumnFormula>
    </tableColumn>
    <tableColumn id="321" xr3:uid="{B5EAEAAB-0C48-4A62-894B-622CF16B66BF}" name="17.11.2025">
      <calculatedColumnFormula>TEXT(LR4, "ddd")</calculatedColumnFormula>
    </tableColumn>
    <tableColumn id="322" xr3:uid="{F4A87DFA-54DB-4B0D-A7A2-6BFEA1318524}" name="18.11.2025">
      <calculatedColumnFormula>TEXT(LS4, "ddd")</calculatedColumnFormula>
    </tableColumn>
    <tableColumn id="323" xr3:uid="{B39A7DFD-6AF3-498E-8648-E008E38EB08B}" name="19.11.2025">
      <calculatedColumnFormula>TEXT(LT4, "ddd")</calculatedColumnFormula>
    </tableColumn>
    <tableColumn id="324" xr3:uid="{71E03203-65BF-4DA4-81C8-5303AA435ADA}" name="20.11.2025">
      <calculatedColumnFormula>TEXT(LU4, "ddd")</calculatedColumnFormula>
    </tableColumn>
    <tableColumn id="325" xr3:uid="{FDCB22CC-FDA5-43C9-95C2-947F6910D908}" name="21.11.2025">
      <calculatedColumnFormula>TEXT(LV4, "ddd")</calculatedColumnFormula>
    </tableColumn>
    <tableColumn id="326" xr3:uid="{4ABA66B1-493C-4860-A222-DBB43801B0CD}" name="22.11.2025">
      <calculatedColumnFormula>TEXT(LW4, "ddd")</calculatedColumnFormula>
    </tableColumn>
    <tableColumn id="327" xr3:uid="{EB62E9DB-57CE-44FE-BBCF-AA5F81421468}" name="23.11.2025">
      <calculatedColumnFormula>TEXT(LX4, "ddd")</calculatedColumnFormula>
    </tableColumn>
    <tableColumn id="328" xr3:uid="{C45A2468-0509-4228-B379-2AE0B3C40C6D}" name="24.11.2025">
      <calculatedColumnFormula>TEXT(LY4, "ddd")</calculatedColumnFormula>
    </tableColumn>
    <tableColumn id="329" xr3:uid="{665E95CA-2FAC-4316-8DFB-BE1AF910A223}" name="25.11.2025">
      <calculatedColumnFormula>TEXT(LZ4, "ddd")</calculatedColumnFormula>
    </tableColumn>
    <tableColumn id="330" xr3:uid="{8AAC933E-67BF-492E-B7EF-30FBB70A0BB1}" name="26.11.2025">
      <calculatedColumnFormula>TEXT(MA4, "ddd")</calculatedColumnFormula>
    </tableColumn>
    <tableColumn id="331" xr3:uid="{2A466913-3AB8-4496-BE39-A8A18417DB2B}" name="27.11.2025">
      <calculatedColumnFormula>TEXT(MB4, "ddd")</calculatedColumnFormula>
    </tableColumn>
    <tableColumn id="332" xr3:uid="{0C0FEBD9-BC64-473A-973C-7FB1A84CC0D0}" name="28.11.2025">
      <calculatedColumnFormula>TEXT(MC4, "ddd")</calculatedColumnFormula>
    </tableColumn>
    <tableColumn id="333" xr3:uid="{3353BAF7-E52E-4E5C-BB66-D7035F344A1D}" name="29.11.2025">
      <calculatedColumnFormula>TEXT(MD4, "ddd")</calculatedColumnFormula>
    </tableColumn>
    <tableColumn id="334" xr3:uid="{D3E28547-FDB1-45EE-8435-3C83F9444E1F}" name="30.11.2025">
      <calculatedColumnFormula>TEXT(ME4, "ddd")</calculatedColumnFormula>
    </tableColumn>
    <tableColumn id="335" xr3:uid="{DA9E9F40-DD98-4402-8109-7B168E1159B4}" name="1.12.2025">
      <calculatedColumnFormula>TEXT(MF4, "ddd")</calculatedColumnFormula>
    </tableColumn>
    <tableColumn id="336" xr3:uid="{44E5F66C-7D3A-494D-8041-35E297BD2A89}" name="2.12.2025">
      <calculatedColumnFormula>TEXT(MG4, "ddd")</calculatedColumnFormula>
    </tableColumn>
    <tableColumn id="337" xr3:uid="{EBEFB274-F983-480A-91CA-2473A49409B3}" name="3.12.2025">
      <calculatedColumnFormula>TEXT(MH4, "ddd")</calculatedColumnFormula>
    </tableColumn>
    <tableColumn id="338" xr3:uid="{6360D0ED-2BC5-4BCA-BF51-A56C3739723C}" name="4.12.2025">
      <calculatedColumnFormula>TEXT(MI4, "ddd")</calculatedColumnFormula>
    </tableColumn>
    <tableColumn id="339" xr3:uid="{9E8209A7-43CC-499F-89B0-F19598E80BDA}" name="5.12.2025">
      <calculatedColumnFormula>TEXT(MJ4, "ddd")</calculatedColumnFormula>
    </tableColumn>
    <tableColumn id="340" xr3:uid="{5A504F5A-6BE0-4E4B-BEE5-5B8DE10A5E44}" name="6.12.2025">
      <calculatedColumnFormula>TEXT(MK4, "ddd")</calculatedColumnFormula>
    </tableColumn>
    <tableColumn id="341" xr3:uid="{27A192AA-0609-4FFC-A1A9-AC585A4382C4}" name="7.12.2025">
      <calculatedColumnFormula>TEXT(ML4, "ddd")</calculatedColumnFormula>
    </tableColumn>
    <tableColumn id="342" xr3:uid="{2CB59388-C21D-4F1E-B325-E36A9B3DBD0D}" name="8.12.2025">
      <calculatedColumnFormula>TEXT(MM4, "ddd")</calculatedColumnFormula>
    </tableColumn>
    <tableColumn id="343" xr3:uid="{BEEFCA04-4704-49DC-914B-4BD07E2B4317}" name="9.12.2025">
      <calculatedColumnFormula>TEXT(MN4, "ddd")</calculatedColumnFormula>
    </tableColumn>
    <tableColumn id="344" xr3:uid="{0092A89A-0497-4837-BF25-17C27FB583ED}" name="10.12.2025">
      <calculatedColumnFormula>TEXT(MO4, "ddd")</calculatedColumnFormula>
    </tableColumn>
    <tableColumn id="345" xr3:uid="{1C9FDE3E-BF46-4A5B-BA42-3B1E41A4CBBC}" name="11.12.2025">
      <calculatedColumnFormula>TEXT(MP4, "ddd")</calculatedColumnFormula>
    </tableColumn>
    <tableColumn id="346" xr3:uid="{955FBF79-5E16-47AB-8609-5650AA892A90}" name="12.12.2025">
      <calculatedColumnFormula>TEXT(MQ4, "ddd")</calculatedColumnFormula>
    </tableColumn>
    <tableColumn id="347" xr3:uid="{6F0FDE32-14B5-4EAF-895F-32B20BA93CD4}" name="13.12.2025">
      <calculatedColumnFormula>TEXT(MR4, "ddd")</calculatedColumnFormula>
    </tableColumn>
    <tableColumn id="348" xr3:uid="{6E445443-C91D-4FB3-B3C3-7638C23A2D21}" name="14.12.2025">
      <calculatedColumnFormula>TEXT(MS4, "ddd")</calculatedColumnFormula>
    </tableColumn>
    <tableColumn id="349" xr3:uid="{00EAB3CA-0EDF-49F0-BCA4-6D174EC54B11}" name="15.12.2025">
      <calculatedColumnFormula>TEXT(MT4, "ddd")</calculatedColumnFormula>
    </tableColumn>
    <tableColumn id="350" xr3:uid="{AA3968EC-CB04-41A2-8D3D-D2CB37AF2ABE}" name="16.12.2025">
      <calculatedColumnFormula>TEXT(MU4, "ddd")</calculatedColumnFormula>
    </tableColumn>
    <tableColumn id="351" xr3:uid="{1BD6C283-1C3B-456E-8F59-06852C996011}" name="17.12.2025">
      <calculatedColumnFormula>TEXT(MV4, "ddd")</calculatedColumnFormula>
    </tableColumn>
    <tableColumn id="352" xr3:uid="{1E06C49C-F40D-4DF0-AAD2-AC95DBF50F4B}" name="18.12.2025">
      <calculatedColumnFormula>TEXT(MW4, "ddd")</calculatedColumnFormula>
    </tableColumn>
    <tableColumn id="353" xr3:uid="{FC25DFEC-6577-4808-9A8D-39768CB0CDB1}" name="19.12.2025">
      <calculatedColumnFormula>TEXT(MX4, "ddd")</calculatedColumnFormula>
    </tableColumn>
    <tableColumn id="354" xr3:uid="{84195830-35A1-44AF-A3F4-20E490DA9BB2}" name="20.12.2025">
      <calculatedColumnFormula>TEXT(MY4, "ddd")</calculatedColumnFormula>
    </tableColumn>
    <tableColumn id="355" xr3:uid="{BB8E9063-B2A8-440B-823B-CEC59D8521FB}" name="21.12.2025">
      <calculatedColumnFormula>TEXT(MZ4, "ddd")</calculatedColumnFormula>
    </tableColumn>
    <tableColumn id="356" xr3:uid="{026C0AED-53E2-4E5D-B04E-B2603C84C47A}" name="22.12.2025">
      <calculatedColumnFormula>TEXT(NA4, "ddd")</calculatedColumnFormula>
    </tableColumn>
    <tableColumn id="357" xr3:uid="{27111E27-F43C-49B3-9C3A-B154CFFA8B7C}" name="23.12.2025">
      <calculatedColumnFormula>TEXT(NB4, "ddd")</calculatedColumnFormula>
    </tableColumn>
    <tableColumn id="358" xr3:uid="{A30A369A-593E-4E8B-8730-E0CA4ADCDFCC}" name="24.12.2025">
      <calculatedColumnFormula>TEXT(NC4, "ddd")</calculatedColumnFormula>
    </tableColumn>
    <tableColumn id="359" xr3:uid="{6579736E-581D-4585-BCE6-964403792397}" name="25.12.2025">
      <calculatedColumnFormula>TEXT(ND4, "ddd")</calculatedColumnFormula>
    </tableColumn>
    <tableColumn id="360" xr3:uid="{EBEF82A0-93E9-4B9A-9E36-F420EDBEB26A}" name="26.12.2025">
      <calculatedColumnFormula>TEXT(NE4, "ddd")</calculatedColumnFormula>
    </tableColumn>
    <tableColumn id="361" xr3:uid="{B04AC03A-8566-4300-A62B-E14157D3BFA6}" name="27.12.2025">
      <calculatedColumnFormula>TEXT(NF4, "ddd")</calculatedColumnFormula>
    </tableColumn>
    <tableColumn id="362" xr3:uid="{009B109C-D8FC-4D7D-AE67-47BE38237233}" name="28.12.2025">
      <calculatedColumnFormula>TEXT(NG4, "ddd")</calculatedColumnFormula>
    </tableColumn>
    <tableColumn id="363" xr3:uid="{EF24A15D-EEEE-4FB6-90D2-EC418C04D668}" name="29.12.2025">
      <calculatedColumnFormula>TEXT(NH4, "ddd")</calculatedColumnFormula>
    </tableColumn>
    <tableColumn id="364" xr3:uid="{218B2076-AF33-488D-9C3E-AD9A91BCF3B2}" name="30.12.2025">
      <calculatedColumnFormula>TEXT(NI4, "ddd")</calculatedColumnFormula>
    </tableColumn>
    <tableColumn id="365" xr3:uid="{4913BFAA-A6C5-430D-A3D1-71D4115A6AA4}" name="31.12.2025">
      <calculatedColumnFormula>TEXT(NJ4, "ddd")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3AC6-9313-4DC6-860E-86083D3BCC84}">
  <dimension ref="A1:NJ60"/>
  <sheetViews>
    <sheetView tabSelected="1" topLeftCell="A24" zoomScale="55" zoomScaleNormal="55" workbookViewId="0">
      <pane xSplit="1" topLeftCell="B1" activePane="topRight" state="frozen"/>
      <selection pane="topRight" activeCell="K26" sqref="K26"/>
    </sheetView>
  </sheetViews>
  <sheetFormatPr defaultRowHeight="16" x14ac:dyDescent="0.4"/>
  <cols>
    <col min="1" max="1" width="37.54296875" style="16" customWidth="1"/>
    <col min="2" max="2" width="22.7265625" style="1" customWidth="1"/>
    <col min="3" max="3" width="22.36328125" style="11" customWidth="1"/>
    <col min="4" max="6" width="20" customWidth="1"/>
    <col min="7" max="7" width="12.81640625" customWidth="1"/>
    <col min="8" max="8" width="24" bestFit="1" customWidth="1"/>
    <col min="9" max="9" width="24" customWidth="1"/>
    <col min="10" max="18" width="19.453125" bestFit="1" customWidth="1"/>
    <col min="19" max="40" width="22.1796875" bestFit="1" customWidth="1"/>
    <col min="41" max="49" width="19.453125" bestFit="1" customWidth="1"/>
    <col min="50" max="68" width="22.1796875" bestFit="1" customWidth="1"/>
    <col min="69" max="77" width="19.453125" bestFit="1" customWidth="1"/>
    <col min="78" max="99" width="22.1796875" bestFit="1" customWidth="1"/>
    <col min="100" max="108" width="19.453125" bestFit="1" customWidth="1"/>
    <col min="109" max="129" width="22.1796875" bestFit="1" customWidth="1"/>
    <col min="130" max="138" width="19.453125" bestFit="1" customWidth="1"/>
    <col min="139" max="160" width="22.1796875" bestFit="1" customWidth="1"/>
    <col min="161" max="169" width="19.453125" bestFit="1" customWidth="1"/>
    <col min="170" max="190" width="22.1796875" bestFit="1" customWidth="1"/>
    <col min="191" max="199" width="19.453125" bestFit="1" customWidth="1"/>
    <col min="200" max="221" width="22.1796875" bestFit="1" customWidth="1"/>
    <col min="222" max="230" width="19.453125" bestFit="1" customWidth="1"/>
    <col min="231" max="252" width="22.1796875" bestFit="1" customWidth="1"/>
    <col min="253" max="261" width="19.453125" bestFit="1" customWidth="1"/>
    <col min="262" max="291" width="22.1796875" bestFit="1" customWidth="1"/>
    <col min="292" max="313" width="24.6328125" bestFit="1" customWidth="1"/>
    <col min="314" max="322" width="22.1796875" bestFit="1" customWidth="1"/>
    <col min="323" max="343" width="24.6328125" bestFit="1" customWidth="1"/>
    <col min="344" max="352" width="22.1796875" bestFit="1" customWidth="1"/>
    <col min="353" max="373" width="24.6328125" bestFit="1" customWidth="1"/>
    <col min="374" max="374" width="24.6328125" customWidth="1"/>
  </cols>
  <sheetData>
    <row r="1" spans="1:374" ht="16.5" thickBot="1" x14ac:dyDescent="0.45">
      <c r="I1" s="13" t="s">
        <v>416</v>
      </c>
      <c r="J1" s="14">
        <f>IF(J3=$I$2,1,0)</f>
        <v>1</v>
      </c>
      <c r="K1" s="14">
        <f t="shared" ref="K1:BV1" si="0">IF(K3=$I$2,1,0)</f>
        <v>1</v>
      </c>
      <c r="L1" s="14">
        <f t="shared" si="0"/>
        <v>1</v>
      </c>
      <c r="M1" s="14">
        <f t="shared" si="0"/>
        <v>1</v>
      </c>
      <c r="N1" s="14">
        <f t="shared" si="0"/>
        <v>1</v>
      </c>
      <c r="O1" s="14">
        <f t="shared" si="0"/>
        <v>1</v>
      </c>
      <c r="P1" s="14">
        <f t="shared" si="0"/>
        <v>1</v>
      </c>
      <c r="Q1" s="14">
        <f t="shared" si="0"/>
        <v>1</v>
      </c>
      <c r="R1" s="14">
        <f t="shared" si="0"/>
        <v>1</v>
      </c>
      <c r="S1" s="14">
        <f t="shared" si="0"/>
        <v>1</v>
      </c>
      <c r="T1" s="14">
        <f t="shared" si="0"/>
        <v>1</v>
      </c>
      <c r="U1" s="14">
        <f t="shared" si="0"/>
        <v>1</v>
      </c>
      <c r="V1" s="14">
        <f t="shared" si="0"/>
        <v>1</v>
      </c>
      <c r="W1" s="14">
        <f t="shared" si="0"/>
        <v>1</v>
      </c>
      <c r="X1" s="14">
        <f t="shared" si="0"/>
        <v>1</v>
      </c>
      <c r="Y1" s="14">
        <f t="shared" si="0"/>
        <v>1</v>
      </c>
      <c r="Z1" s="14">
        <f t="shared" si="0"/>
        <v>1</v>
      </c>
      <c r="AA1" s="14">
        <f t="shared" si="0"/>
        <v>1</v>
      </c>
      <c r="AB1" s="14">
        <f t="shared" si="0"/>
        <v>1</v>
      </c>
      <c r="AC1" s="14">
        <f t="shared" si="0"/>
        <v>1</v>
      </c>
      <c r="AD1" s="14">
        <f t="shared" si="0"/>
        <v>1</v>
      </c>
      <c r="AE1" s="14">
        <f t="shared" si="0"/>
        <v>1</v>
      </c>
      <c r="AF1" s="14">
        <f t="shared" si="0"/>
        <v>1</v>
      </c>
      <c r="AG1" s="14">
        <f t="shared" si="0"/>
        <v>1</v>
      </c>
      <c r="AH1" s="14">
        <f t="shared" si="0"/>
        <v>1</v>
      </c>
      <c r="AI1" s="14">
        <f t="shared" si="0"/>
        <v>1</v>
      </c>
      <c r="AJ1" s="14">
        <f t="shared" si="0"/>
        <v>1</v>
      </c>
      <c r="AK1" s="14">
        <f t="shared" si="0"/>
        <v>1</v>
      </c>
      <c r="AL1" s="14">
        <f t="shared" si="0"/>
        <v>1</v>
      </c>
      <c r="AM1" s="14">
        <f t="shared" si="0"/>
        <v>1</v>
      </c>
      <c r="AN1" s="14">
        <f t="shared" si="0"/>
        <v>1</v>
      </c>
      <c r="AO1" s="14">
        <f t="shared" si="0"/>
        <v>0</v>
      </c>
      <c r="AP1" s="14">
        <f t="shared" si="0"/>
        <v>0</v>
      </c>
      <c r="AQ1" s="14">
        <f t="shared" si="0"/>
        <v>0</v>
      </c>
      <c r="AR1" s="14">
        <f t="shared" si="0"/>
        <v>0</v>
      </c>
      <c r="AS1" s="14">
        <f t="shared" si="0"/>
        <v>0</v>
      </c>
      <c r="AT1" s="14">
        <f t="shared" si="0"/>
        <v>0</v>
      </c>
      <c r="AU1" s="14">
        <f t="shared" si="0"/>
        <v>0</v>
      </c>
      <c r="AV1" s="14">
        <f t="shared" si="0"/>
        <v>0</v>
      </c>
      <c r="AW1" s="14">
        <f t="shared" si="0"/>
        <v>0</v>
      </c>
      <c r="AX1" s="14">
        <f t="shared" si="0"/>
        <v>0</v>
      </c>
      <c r="AY1" s="14">
        <f t="shared" si="0"/>
        <v>0</v>
      </c>
      <c r="AZ1" s="14">
        <f t="shared" si="0"/>
        <v>0</v>
      </c>
      <c r="BA1" s="14">
        <f t="shared" si="0"/>
        <v>0</v>
      </c>
      <c r="BB1" s="14">
        <f t="shared" si="0"/>
        <v>0</v>
      </c>
      <c r="BC1" s="14">
        <f t="shared" si="0"/>
        <v>0</v>
      </c>
      <c r="BD1" s="14">
        <f t="shared" si="0"/>
        <v>0</v>
      </c>
      <c r="BE1" s="14">
        <f t="shared" si="0"/>
        <v>0</v>
      </c>
      <c r="BF1" s="14">
        <f t="shared" si="0"/>
        <v>0</v>
      </c>
      <c r="BG1" s="14">
        <f t="shared" si="0"/>
        <v>0</v>
      </c>
      <c r="BH1" s="14">
        <f t="shared" si="0"/>
        <v>0</v>
      </c>
      <c r="BI1" s="14">
        <f t="shared" si="0"/>
        <v>0</v>
      </c>
      <c r="BJ1" s="14">
        <f t="shared" si="0"/>
        <v>0</v>
      </c>
      <c r="BK1" s="14">
        <f t="shared" si="0"/>
        <v>0</v>
      </c>
      <c r="BL1" s="14">
        <f t="shared" si="0"/>
        <v>0</v>
      </c>
      <c r="BM1" s="14">
        <f t="shared" si="0"/>
        <v>0</v>
      </c>
      <c r="BN1" s="14">
        <f t="shared" si="0"/>
        <v>0</v>
      </c>
      <c r="BO1" s="14">
        <f t="shared" si="0"/>
        <v>0</v>
      </c>
      <c r="BP1" s="14">
        <f t="shared" si="0"/>
        <v>0</v>
      </c>
      <c r="BQ1" s="14">
        <f t="shared" si="0"/>
        <v>0</v>
      </c>
      <c r="BR1" s="14">
        <f t="shared" si="0"/>
        <v>0</v>
      </c>
      <c r="BS1" s="14">
        <f t="shared" si="0"/>
        <v>0</v>
      </c>
      <c r="BT1" s="14">
        <f t="shared" si="0"/>
        <v>0</v>
      </c>
      <c r="BU1" s="14">
        <f t="shared" si="0"/>
        <v>0</v>
      </c>
      <c r="BV1" s="14">
        <f t="shared" si="0"/>
        <v>0</v>
      </c>
      <c r="BW1" s="14">
        <f t="shared" ref="BW1:EH1" si="1">IF(BW3=$I$2,1,0)</f>
        <v>0</v>
      </c>
      <c r="BX1" s="14">
        <f t="shared" si="1"/>
        <v>0</v>
      </c>
      <c r="BY1" s="14">
        <f t="shared" si="1"/>
        <v>0</v>
      </c>
      <c r="BZ1" s="14">
        <f t="shared" si="1"/>
        <v>0</v>
      </c>
      <c r="CA1" s="14">
        <f t="shared" si="1"/>
        <v>0</v>
      </c>
      <c r="CB1" s="14">
        <f t="shared" si="1"/>
        <v>0</v>
      </c>
      <c r="CC1" s="14">
        <f t="shared" si="1"/>
        <v>0</v>
      </c>
      <c r="CD1" s="14">
        <f t="shared" si="1"/>
        <v>0</v>
      </c>
      <c r="CE1" s="14">
        <f t="shared" si="1"/>
        <v>0</v>
      </c>
      <c r="CF1" s="14">
        <f t="shared" si="1"/>
        <v>0</v>
      </c>
      <c r="CG1" s="14">
        <f t="shared" si="1"/>
        <v>0</v>
      </c>
      <c r="CH1" s="14">
        <f t="shared" si="1"/>
        <v>0</v>
      </c>
      <c r="CI1" s="14">
        <f t="shared" si="1"/>
        <v>0</v>
      </c>
      <c r="CJ1" s="14">
        <f t="shared" si="1"/>
        <v>0</v>
      </c>
      <c r="CK1" s="14">
        <f t="shared" si="1"/>
        <v>0</v>
      </c>
      <c r="CL1" s="14">
        <f t="shared" si="1"/>
        <v>0</v>
      </c>
      <c r="CM1" s="14">
        <f t="shared" si="1"/>
        <v>0</v>
      </c>
      <c r="CN1" s="14">
        <f t="shared" si="1"/>
        <v>0</v>
      </c>
      <c r="CO1" s="14">
        <f t="shared" si="1"/>
        <v>0</v>
      </c>
      <c r="CP1" s="14">
        <f t="shared" si="1"/>
        <v>0</v>
      </c>
      <c r="CQ1" s="14">
        <f t="shared" si="1"/>
        <v>0</v>
      </c>
      <c r="CR1" s="14">
        <f t="shared" si="1"/>
        <v>0</v>
      </c>
      <c r="CS1" s="14">
        <f t="shared" si="1"/>
        <v>0</v>
      </c>
      <c r="CT1" s="14">
        <f t="shared" si="1"/>
        <v>0</v>
      </c>
      <c r="CU1" s="14">
        <f t="shared" si="1"/>
        <v>0</v>
      </c>
      <c r="CV1" s="14">
        <f t="shared" si="1"/>
        <v>0</v>
      </c>
      <c r="CW1" s="14">
        <f t="shared" si="1"/>
        <v>0</v>
      </c>
      <c r="CX1" s="14">
        <f t="shared" si="1"/>
        <v>0</v>
      </c>
      <c r="CY1" s="14">
        <f t="shared" si="1"/>
        <v>0</v>
      </c>
      <c r="CZ1" s="14">
        <f t="shared" si="1"/>
        <v>0</v>
      </c>
      <c r="DA1" s="14">
        <f t="shared" si="1"/>
        <v>0</v>
      </c>
      <c r="DB1" s="14">
        <f t="shared" si="1"/>
        <v>0</v>
      </c>
      <c r="DC1" s="14">
        <f t="shared" si="1"/>
        <v>0</v>
      </c>
      <c r="DD1" s="14">
        <f t="shared" si="1"/>
        <v>0</v>
      </c>
      <c r="DE1" s="14">
        <f t="shared" si="1"/>
        <v>0</v>
      </c>
      <c r="DF1" s="14">
        <f t="shared" si="1"/>
        <v>0</v>
      </c>
      <c r="DG1" s="14">
        <f t="shared" si="1"/>
        <v>0</v>
      </c>
      <c r="DH1" s="14">
        <f t="shared" si="1"/>
        <v>0</v>
      </c>
      <c r="DI1" s="14">
        <f t="shared" si="1"/>
        <v>0</v>
      </c>
      <c r="DJ1" s="14">
        <f t="shared" si="1"/>
        <v>0</v>
      </c>
      <c r="DK1" s="14">
        <f t="shared" si="1"/>
        <v>0</v>
      </c>
      <c r="DL1" s="14">
        <f t="shared" si="1"/>
        <v>0</v>
      </c>
      <c r="DM1" s="14">
        <f t="shared" si="1"/>
        <v>0</v>
      </c>
      <c r="DN1" s="14">
        <f t="shared" si="1"/>
        <v>0</v>
      </c>
      <c r="DO1" s="14">
        <f t="shared" si="1"/>
        <v>0</v>
      </c>
      <c r="DP1" s="14">
        <f t="shared" si="1"/>
        <v>0</v>
      </c>
      <c r="DQ1" s="14">
        <f t="shared" si="1"/>
        <v>0</v>
      </c>
      <c r="DR1" s="14">
        <f t="shared" si="1"/>
        <v>0</v>
      </c>
      <c r="DS1" s="14">
        <f t="shared" si="1"/>
        <v>0</v>
      </c>
      <c r="DT1" s="14">
        <f t="shared" si="1"/>
        <v>0</v>
      </c>
      <c r="DU1" s="14">
        <f t="shared" si="1"/>
        <v>0</v>
      </c>
      <c r="DV1" s="14">
        <f t="shared" si="1"/>
        <v>0</v>
      </c>
      <c r="DW1" s="14">
        <f t="shared" si="1"/>
        <v>0</v>
      </c>
      <c r="DX1" s="14">
        <f t="shared" si="1"/>
        <v>0</v>
      </c>
      <c r="DY1" s="14">
        <f t="shared" si="1"/>
        <v>0</v>
      </c>
      <c r="DZ1" s="14">
        <f t="shared" si="1"/>
        <v>0</v>
      </c>
      <c r="EA1" s="14">
        <f t="shared" si="1"/>
        <v>0</v>
      </c>
      <c r="EB1" s="14">
        <f t="shared" si="1"/>
        <v>0</v>
      </c>
      <c r="EC1" s="14">
        <f t="shared" si="1"/>
        <v>0</v>
      </c>
      <c r="ED1" s="14">
        <f t="shared" si="1"/>
        <v>0</v>
      </c>
      <c r="EE1" s="14">
        <f t="shared" si="1"/>
        <v>0</v>
      </c>
      <c r="EF1" s="14">
        <f t="shared" si="1"/>
        <v>0</v>
      </c>
      <c r="EG1" s="14">
        <f t="shared" si="1"/>
        <v>0</v>
      </c>
      <c r="EH1" s="14">
        <f t="shared" si="1"/>
        <v>0</v>
      </c>
      <c r="EI1" s="14">
        <f t="shared" ref="EI1:GT1" si="2">IF(EI3=$I$2,1,0)</f>
        <v>0</v>
      </c>
      <c r="EJ1" s="14">
        <f t="shared" si="2"/>
        <v>0</v>
      </c>
      <c r="EK1" s="14">
        <f t="shared" si="2"/>
        <v>0</v>
      </c>
      <c r="EL1" s="14">
        <f t="shared" si="2"/>
        <v>0</v>
      </c>
      <c r="EM1" s="14">
        <f t="shared" si="2"/>
        <v>0</v>
      </c>
      <c r="EN1" s="14">
        <f t="shared" si="2"/>
        <v>0</v>
      </c>
      <c r="EO1" s="14">
        <f t="shared" si="2"/>
        <v>0</v>
      </c>
      <c r="EP1" s="14">
        <f t="shared" si="2"/>
        <v>0</v>
      </c>
      <c r="EQ1" s="14">
        <f t="shared" si="2"/>
        <v>0</v>
      </c>
      <c r="ER1" s="14">
        <f t="shared" si="2"/>
        <v>0</v>
      </c>
      <c r="ES1" s="14">
        <f t="shared" si="2"/>
        <v>0</v>
      </c>
      <c r="ET1" s="14">
        <f t="shared" si="2"/>
        <v>0</v>
      </c>
      <c r="EU1" s="14">
        <f t="shared" si="2"/>
        <v>0</v>
      </c>
      <c r="EV1" s="14">
        <f t="shared" si="2"/>
        <v>0</v>
      </c>
      <c r="EW1" s="14">
        <f t="shared" si="2"/>
        <v>0</v>
      </c>
      <c r="EX1" s="14">
        <f t="shared" si="2"/>
        <v>0</v>
      </c>
      <c r="EY1" s="14">
        <f t="shared" si="2"/>
        <v>0</v>
      </c>
      <c r="EZ1" s="14">
        <f t="shared" si="2"/>
        <v>0</v>
      </c>
      <c r="FA1" s="14">
        <f t="shared" si="2"/>
        <v>0</v>
      </c>
      <c r="FB1" s="14">
        <f t="shared" si="2"/>
        <v>0</v>
      </c>
      <c r="FC1" s="14">
        <f t="shared" si="2"/>
        <v>0</v>
      </c>
      <c r="FD1" s="14">
        <f t="shared" si="2"/>
        <v>0</v>
      </c>
      <c r="FE1" s="14">
        <f t="shared" si="2"/>
        <v>0</v>
      </c>
      <c r="FF1" s="14">
        <f t="shared" si="2"/>
        <v>0</v>
      </c>
      <c r="FG1" s="14">
        <f t="shared" si="2"/>
        <v>0</v>
      </c>
      <c r="FH1" s="14">
        <f t="shared" si="2"/>
        <v>0</v>
      </c>
      <c r="FI1" s="14">
        <f t="shared" si="2"/>
        <v>0</v>
      </c>
      <c r="FJ1" s="14">
        <f t="shared" si="2"/>
        <v>0</v>
      </c>
      <c r="FK1" s="14">
        <f t="shared" si="2"/>
        <v>0</v>
      </c>
      <c r="FL1" s="14">
        <f t="shared" si="2"/>
        <v>0</v>
      </c>
      <c r="FM1" s="14">
        <f t="shared" si="2"/>
        <v>0</v>
      </c>
      <c r="FN1" s="14">
        <f t="shared" si="2"/>
        <v>0</v>
      </c>
      <c r="FO1" s="14">
        <f t="shared" si="2"/>
        <v>0</v>
      </c>
      <c r="FP1" s="14">
        <f t="shared" si="2"/>
        <v>0</v>
      </c>
      <c r="FQ1" s="14">
        <f t="shared" si="2"/>
        <v>0</v>
      </c>
      <c r="FR1" s="14">
        <f t="shared" si="2"/>
        <v>0</v>
      </c>
      <c r="FS1" s="14">
        <f t="shared" si="2"/>
        <v>0</v>
      </c>
      <c r="FT1" s="14">
        <f t="shared" si="2"/>
        <v>0</v>
      </c>
      <c r="FU1" s="14">
        <f t="shared" si="2"/>
        <v>0</v>
      </c>
      <c r="FV1" s="14">
        <f t="shared" si="2"/>
        <v>0</v>
      </c>
      <c r="FW1" s="14">
        <f t="shared" si="2"/>
        <v>0</v>
      </c>
      <c r="FX1" s="14">
        <f t="shared" si="2"/>
        <v>0</v>
      </c>
      <c r="FY1" s="14">
        <f t="shared" si="2"/>
        <v>0</v>
      </c>
      <c r="FZ1" s="14">
        <f t="shared" si="2"/>
        <v>0</v>
      </c>
      <c r="GA1" s="14">
        <f t="shared" si="2"/>
        <v>0</v>
      </c>
      <c r="GB1" s="14">
        <f t="shared" si="2"/>
        <v>0</v>
      </c>
      <c r="GC1" s="14">
        <f t="shared" si="2"/>
        <v>0</v>
      </c>
      <c r="GD1" s="14">
        <f t="shared" si="2"/>
        <v>0</v>
      </c>
      <c r="GE1" s="14">
        <f t="shared" si="2"/>
        <v>0</v>
      </c>
      <c r="GF1" s="14">
        <f t="shared" si="2"/>
        <v>0</v>
      </c>
      <c r="GG1" s="14">
        <f t="shared" si="2"/>
        <v>0</v>
      </c>
      <c r="GH1" s="14">
        <f t="shared" si="2"/>
        <v>0</v>
      </c>
      <c r="GI1" s="14">
        <f t="shared" si="2"/>
        <v>0</v>
      </c>
      <c r="GJ1" s="14">
        <f t="shared" si="2"/>
        <v>0</v>
      </c>
      <c r="GK1" s="14">
        <f t="shared" si="2"/>
        <v>0</v>
      </c>
      <c r="GL1" s="14">
        <f t="shared" si="2"/>
        <v>0</v>
      </c>
      <c r="GM1" s="14">
        <f t="shared" si="2"/>
        <v>0</v>
      </c>
      <c r="GN1" s="14">
        <f t="shared" si="2"/>
        <v>0</v>
      </c>
      <c r="GO1" s="14">
        <f t="shared" si="2"/>
        <v>0</v>
      </c>
      <c r="GP1" s="14">
        <f t="shared" si="2"/>
        <v>0</v>
      </c>
      <c r="GQ1" s="14">
        <f t="shared" si="2"/>
        <v>0</v>
      </c>
      <c r="GR1" s="14">
        <f t="shared" si="2"/>
        <v>0</v>
      </c>
      <c r="GS1" s="14">
        <f t="shared" si="2"/>
        <v>0</v>
      </c>
      <c r="GT1" s="14">
        <f t="shared" si="2"/>
        <v>0</v>
      </c>
      <c r="GU1" s="14">
        <f t="shared" ref="GU1:JF1" si="3">IF(GU3=$I$2,1,0)</f>
        <v>0</v>
      </c>
      <c r="GV1" s="14">
        <f t="shared" si="3"/>
        <v>0</v>
      </c>
      <c r="GW1" s="14">
        <f t="shared" si="3"/>
        <v>0</v>
      </c>
      <c r="GX1" s="14">
        <f t="shared" si="3"/>
        <v>0</v>
      </c>
      <c r="GY1" s="14">
        <f t="shared" si="3"/>
        <v>0</v>
      </c>
      <c r="GZ1" s="14">
        <f t="shared" si="3"/>
        <v>0</v>
      </c>
      <c r="HA1" s="14">
        <f t="shared" si="3"/>
        <v>0</v>
      </c>
      <c r="HB1" s="14">
        <f t="shared" si="3"/>
        <v>0</v>
      </c>
      <c r="HC1" s="14">
        <f t="shared" si="3"/>
        <v>0</v>
      </c>
      <c r="HD1" s="14">
        <f t="shared" si="3"/>
        <v>0</v>
      </c>
      <c r="HE1" s="14">
        <f t="shared" si="3"/>
        <v>0</v>
      </c>
      <c r="HF1" s="14">
        <f t="shared" si="3"/>
        <v>0</v>
      </c>
      <c r="HG1" s="14">
        <f t="shared" si="3"/>
        <v>0</v>
      </c>
      <c r="HH1" s="14">
        <f t="shared" si="3"/>
        <v>0</v>
      </c>
      <c r="HI1" s="14">
        <f t="shared" si="3"/>
        <v>0</v>
      </c>
      <c r="HJ1" s="14">
        <f t="shared" si="3"/>
        <v>0</v>
      </c>
      <c r="HK1" s="14">
        <f t="shared" si="3"/>
        <v>0</v>
      </c>
      <c r="HL1" s="14">
        <f t="shared" si="3"/>
        <v>0</v>
      </c>
      <c r="HM1" s="14">
        <f t="shared" si="3"/>
        <v>0</v>
      </c>
      <c r="HN1" s="14">
        <f t="shared" si="3"/>
        <v>0</v>
      </c>
      <c r="HO1" s="14">
        <f t="shared" si="3"/>
        <v>0</v>
      </c>
      <c r="HP1" s="14">
        <f t="shared" si="3"/>
        <v>0</v>
      </c>
      <c r="HQ1" s="14">
        <f t="shared" si="3"/>
        <v>0</v>
      </c>
      <c r="HR1" s="14">
        <f t="shared" si="3"/>
        <v>0</v>
      </c>
      <c r="HS1" s="14">
        <f t="shared" si="3"/>
        <v>0</v>
      </c>
      <c r="HT1" s="14">
        <f t="shared" si="3"/>
        <v>0</v>
      </c>
      <c r="HU1" s="14">
        <f t="shared" si="3"/>
        <v>0</v>
      </c>
      <c r="HV1" s="14">
        <f t="shared" si="3"/>
        <v>0</v>
      </c>
      <c r="HW1" s="14">
        <f t="shared" si="3"/>
        <v>0</v>
      </c>
      <c r="HX1" s="14">
        <f t="shared" si="3"/>
        <v>0</v>
      </c>
      <c r="HY1" s="14">
        <f t="shared" si="3"/>
        <v>0</v>
      </c>
      <c r="HZ1" s="14">
        <f t="shared" si="3"/>
        <v>0</v>
      </c>
      <c r="IA1" s="14">
        <f t="shared" si="3"/>
        <v>0</v>
      </c>
      <c r="IB1" s="14">
        <f t="shared" si="3"/>
        <v>0</v>
      </c>
      <c r="IC1" s="14">
        <f t="shared" si="3"/>
        <v>0</v>
      </c>
      <c r="ID1" s="14">
        <f t="shared" si="3"/>
        <v>0</v>
      </c>
      <c r="IE1" s="14">
        <f t="shared" si="3"/>
        <v>0</v>
      </c>
      <c r="IF1" s="14">
        <f t="shared" si="3"/>
        <v>0</v>
      </c>
      <c r="IG1" s="14">
        <f t="shared" si="3"/>
        <v>0</v>
      </c>
      <c r="IH1" s="14">
        <f t="shared" si="3"/>
        <v>0</v>
      </c>
      <c r="II1" s="14">
        <f t="shared" si="3"/>
        <v>0</v>
      </c>
      <c r="IJ1" s="14">
        <f t="shared" si="3"/>
        <v>0</v>
      </c>
      <c r="IK1" s="14">
        <f t="shared" si="3"/>
        <v>0</v>
      </c>
      <c r="IL1" s="14">
        <f t="shared" si="3"/>
        <v>0</v>
      </c>
      <c r="IM1" s="14">
        <f t="shared" si="3"/>
        <v>0</v>
      </c>
      <c r="IN1" s="14">
        <f t="shared" si="3"/>
        <v>0</v>
      </c>
      <c r="IO1" s="14">
        <f t="shared" si="3"/>
        <v>0</v>
      </c>
      <c r="IP1" s="14">
        <f t="shared" si="3"/>
        <v>0</v>
      </c>
      <c r="IQ1" s="14">
        <f t="shared" si="3"/>
        <v>0</v>
      </c>
      <c r="IR1" s="14">
        <f t="shared" si="3"/>
        <v>0</v>
      </c>
      <c r="IS1" s="14">
        <f t="shared" si="3"/>
        <v>0</v>
      </c>
      <c r="IT1" s="14">
        <f t="shared" si="3"/>
        <v>0</v>
      </c>
      <c r="IU1" s="14">
        <f t="shared" si="3"/>
        <v>0</v>
      </c>
      <c r="IV1" s="14">
        <f t="shared" si="3"/>
        <v>0</v>
      </c>
      <c r="IW1" s="14">
        <f t="shared" si="3"/>
        <v>0</v>
      </c>
      <c r="IX1" s="14">
        <f t="shared" si="3"/>
        <v>0</v>
      </c>
      <c r="IY1" s="14">
        <f t="shared" si="3"/>
        <v>0</v>
      </c>
      <c r="IZ1" s="14">
        <f t="shared" si="3"/>
        <v>0</v>
      </c>
      <c r="JA1" s="14">
        <f t="shared" si="3"/>
        <v>0</v>
      </c>
      <c r="JB1" s="14">
        <f t="shared" si="3"/>
        <v>0</v>
      </c>
      <c r="JC1" s="14">
        <f t="shared" si="3"/>
        <v>0</v>
      </c>
      <c r="JD1" s="14">
        <f t="shared" si="3"/>
        <v>0</v>
      </c>
      <c r="JE1" s="14">
        <f t="shared" si="3"/>
        <v>0</v>
      </c>
      <c r="JF1" s="14">
        <f t="shared" si="3"/>
        <v>0</v>
      </c>
      <c r="JG1" s="14">
        <f t="shared" ref="JG1:LR1" si="4">IF(JG3=$I$2,1,0)</f>
        <v>0</v>
      </c>
      <c r="JH1" s="14">
        <f t="shared" si="4"/>
        <v>0</v>
      </c>
      <c r="JI1" s="14">
        <f t="shared" si="4"/>
        <v>0</v>
      </c>
      <c r="JJ1" s="14">
        <f t="shared" si="4"/>
        <v>0</v>
      </c>
      <c r="JK1" s="14">
        <f t="shared" si="4"/>
        <v>0</v>
      </c>
      <c r="JL1" s="14">
        <f t="shared" si="4"/>
        <v>0</v>
      </c>
      <c r="JM1" s="14">
        <f t="shared" si="4"/>
        <v>0</v>
      </c>
      <c r="JN1" s="14">
        <f t="shared" si="4"/>
        <v>0</v>
      </c>
      <c r="JO1" s="14">
        <f t="shared" si="4"/>
        <v>0</v>
      </c>
      <c r="JP1" s="14">
        <f t="shared" si="4"/>
        <v>0</v>
      </c>
      <c r="JQ1" s="14">
        <f t="shared" si="4"/>
        <v>0</v>
      </c>
      <c r="JR1" s="14">
        <f t="shared" si="4"/>
        <v>0</v>
      </c>
      <c r="JS1" s="14">
        <f t="shared" si="4"/>
        <v>0</v>
      </c>
      <c r="JT1" s="14">
        <f t="shared" si="4"/>
        <v>0</v>
      </c>
      <c r="JU1" s="14">
        <f t="shared" si="4"/>
        <v>0</v>
      </c>
      <c r="JV1" s="14">
        <f t="shared" si="4"/>
        <v>0</v>
      </c>
      <c r="JW1" s="14">
        <f t="shared" si="4"/>
        <v>0</v>
      </c>
      <c r="JX1" s="14">
        <f t="shared" si="4"/>
        <v>0</v>
      </c>
      <c r="JY1" s="14">
        <f t="shared" si="4"/>
        <v>0</v>
      </c>
      <c r="JZ1" s="14">
        <f t="shared" si="4"/>
        <v>0</v>
      </c>
      <c r="KA1" s="14">
        <f t="shared" si="4"/>
        <v>0</v>
      </c>
      <c r="KB1" s="14">
        <f t="shared" si="4"/>
        <v>0</v>
      </c>
      <c r="KC1" s="14">
        <f t="shared" si="4"/>
        <v>0</v>
      </c>
      <c r="KD1" s="14">
        <f t="shared" si="4"/>
        <v>0</v>
      </c>
      <c r="KE1" s="14">
        <f t="shared" si="4"/>
        <v>0</v>
      </c>
      <c r="KF1" s="14">
        <f t="shared" si="4"/>
        <v>0</v>
      </c>
      <c r="KG1" s="14">
        <f t="shared" si="4"/>
        <v>0</v>
      </c>
      <c r="KH1" s="14">
        <f t="shared" si="4"/>
        <v>0</v>
      </c>
      <c r="KI1" s="14">
        <f t="shared" si="4"/>
        <v>0</v>
      </c>
      <c r="KJ1" s="14">
        <f t="shared" si="4"/>
        <v>0</v>
      </c>
      <c r="KK1" s="14">
        <f t="shared" si="4"/>
        <v>0</v>
      </c>
      <c r="KL1" s="14">
        <f t="shared" si="4"/>
        <v>0</v>
      </c>
      <c r="KM1" s="14">
        <f t="shared" si="4"/>
        <v>0</v>
      </c>
      <c r="KN1" s="14">
        <f t="shared" si="4"/>
        <v>0</v>
      </c>
      <c r="KO1" s="14">
        <f t="shared" si="4"/>
        <v>0</v>
      </c>
      <c r="KP1" s="14">
        <f t="shared" si="4"/>
        <v>0</v>
      </c>
      <c r="KQ1" s="14">
        <f t="shared" si="4"/>
        <v>0</v>
      </c>
      <c r="KR1" s="14">
        <f t="shared" si="4"/>
        <v>0</v>
      </c>
      <c r="KS1" s="14">
        <f t="shared" si="4"/>
        <v>0</v>
      </c>
      <c r="KT1" s="14">
        <f t="shared" si="4"/>
        <v>0</v>
      </c>
      <c r="KU1" s="14">
        <f t="shared" si="4"/>
        <v>0</v>
      </c>
      <c r="KV1" s="14">
        <f t="shared" si="4"/>
        <v>0</v>
      </c>
      <c r="KW1" s="14">
        <f t="shared" si="4"/>
        <v>0</v>
      </c>
      <c r="KX1" s="14">
        <f t="shared" si="4"/>
        <v>0</v>
      </c>
      <c r="KY1" s="14">
        <f t="shared" si="4"/>
        <v>0</v>
      </c>
      <c r="KZ1" s="14">
        <f t="shared" si="4"/>
        <v>0</v>
      </c>
      <c r="LA1" s="14">
        <f t="shared" si="4"/>
        <v>0</v>
      </c>
      <c r="LB1" s="14">
        <f t="shared" si="4"/>
        <v>0</v>
      </c>
      <c r="LC1" s="14">
        <f t="shared" si="4"/>
        <v>0</v>
      </c>
      <c r="LD1" s="14">
        <f t="shared" si="4"/>
        <v>0</v>
      </c>
      <c r="LE1" s="14">
        <f t="shared" si="4"/>
        <v>0</v>
      </c>
      <c r="LF1" s="14">
        <f t="shared" si="4"/>
        <v>0</v>
      </c>
      <c r="LG1" s="14">
        <f t="shared" si="4"/>
        <v>0</v>
      </c>
      <c r="LH1" s="14">
        <f t="shared" si="4"/>
        <v>0</v>
      </c>
      <c r="LI1" s="14">
        <f t="shared" si="4"/>
        <v>0</v>
      </c>
      <c r="LJ1" s="14">
        <f t="shared" si="4"/>
        <v>0</v>
      </c>
      <c r="LK1" s="14">
        <f t="shared" si="4"/>
        <v>0</v>
      </c>
      <c r="LL1" s="14">
        <f t="shared" si="4"/>
        <v>0</v>
      </c>
      <c r="LM1" s="14">
        <f t="shared" si="4"/>
        <v>0</v>
      </c>
      <c r="LN1" s="14">
        <f t="shared" si="4"/>
        <v>0</v>
      </c>
      <c r="LO1" s="14">
        <f t="shared" si="4"/>
        <v>0</v>
      </c>
      <c r="LP1" s="14">
        <f t="shared" si="4"/>
        <v>0</v>
      </c>
      <c r="LQ1" s="14">
        <f t="shared" si="4"/>
        <v>0</v>
      </c>
      <c r="LR1" s="14">
        <f t="shared" si="4"/>
        <v>0</v>
      </c>
      <c r="LS1" s="14">
        <f t="shared" ref="LS1:NJ1" si="5">IF(LS3=$I$2,1,0)</f>
        <v>0</v>
      </c>
      <c r="LT1" s="14">
        <f t="shared" si="5"/>
        <v>0</v>
      </c>
      <c r="LU1" s="14">
        <f t="shared" si="5"/>
        <v>0</v>
      </c>
      <c r="LV1" s="14">
        <f t="shared" si="5"/>
        <v>0</v>
      </c>
      <c r="LW1" s="14">
        <f t="shared" si="5"/>
        <v>0</v>
      </c>
      <c r="LX1" s="14">
        <f t="shared" si="5"/>
        <v>0</v>
      </c>
      <c r="LY1" s="14">
        <f t="shared" si="5"/>
        <v>0</v>
      </c>
      <c r="LZ1" s="14">
        <f t="shared" si="5"/>
        <v>0</v>
      </c>
      <c r="MA1" s="14">
        <f t="shared" si="5"/>
        <v>0</v>
      </c>
      <c r="MB1" s="14">
        <f t="shared" si="5"/>
        <v>0</v>
      </c>
      <c r="MC1" s="14">
        <f t="shared" si="5"/>
        <v>0</v>
      </c>
      <c r="MD1" s="14">
        <f t="shared" si="5"/>
        <v>0</v>
      </c>
      <c r="ME1" s="14">
        <f t="shared" si="5"/>
        <v>0</v>
      </c>
      <c r="MF1" s="14">
        <f t="shared" si="5"/>
        <v>0</v>
      </c>
      <c r="MG1" s="14">
        <f t="shared" si="5"/>
        <v>0</v>
      </c>
      <c r="MH1" s="14">
        <f t="shared" si="5"/>
        <v>0</v>
      </c>
      <c r="MI1" s="14">
        <f t="shared" si="5"/>
        <v>0</v>
      </c>
      <c r="MJ1" s="14">
        <f t="shared" si="5"/>
        <v>0</v>
      </c>
      <c r="MK1" s="14">
        <f t="shared" si="5"/>
        <v>0</v>
      </c>
      <c r="ML1" s="14">
        <f t="shared" si="5"/>
        <v>0</v>
      </c>
      <c r="MM1" s="14">
        <f t="shared" si="5"/>
        <v>0</v>
      </c>
      <c r="MN1" s="14">
        <f t="shared" si="5"/>
        <v>0</v>
      </c>
      <c r="MO1" s="14">
        <f t="shared" si="5"/>
        <v>0</v>
      </c>
      <c r="MP1" s="14">
        <f t="shared" si="5"/>
        <v>0</v>
      </c>
      <c r="MQ1" s="14">
        <f t="shared" si="5"/>
        <v>0</v>
      </c>
      <c r="MR1" s="14">
        <f t="shared" si="5"/>
        <v>0</v>
      </c>
      <c r="MS1" s="14">
        <f t="shared" si="5"/>
        <v>0</v>
      </c>
      <c r="MT1" s="14">
        <f t="shared" si="5"/>
        <v>0</v>
      </c>
      <c r="MU1" s="14">
        <f t="shared" si="5"/>
        <v>0</v>
      </c>
      <c r="MV1" s="14">
        <f t="shared" si="5"/>
        <v>0</v>
      </c>
      <c r="MW1" s="14">
        <f t="shared" si="5"/>
        <v>0</v>
      </c>
      <c r="MX1" s="14">
        <f t="shared" si="5"/>
        <v>0</v>
      </c>
      <c r="MY1" s="14">
        <f t="shared" si="5"/>
        <v>0</v>
      </c>
      <c r="MZ1" s="14">
        <f t="shared" si="5"/>
        <v>0</v>
      </c>
      <c r="NA1" s="14">
        <f t="shared" si="5"/>
        <v>0</v>
      </c>
      <c r="NB1" s="14">
        <f t="shared" si="5"/>
        <v>0</v>
      </c>
      <c r="NC1" s="14">
        <f t="shared" si="5"/>
        <v>0</v>
      </c>
      <c r="ND1" s="14">
        <f t="shared" si="5"/>
        <v>0</v>
      </c>
      <c r="NE1" s="14">
        <f t="shared" si="5"/>
        <v>0</v>
      </c>
      <c r="NF1" s="14">
        <f t="shared" si="5"/>
        <v>0</v>
      </c>
      <c r="NG1" s="14">
        <f t="shared" si="5"/>
        <v>0</v>
      </c>
      <c r="NH1" s="14">
        <f t="shared" si="5"/>
        <v>0</v>
      </c>
      <c r="NI1" s="14">
        <f t="shared" si="5"/>
        <v>0</v>
      </c>
      <c r="NJ1" s="14">
        <f t="shared" si="5"/>
        <v>0</v>
      </c>
    </row>
    <row r="2" spans="1:374" ht="34.5" x14ac:dyDescent="0.8">
      <c r="B2" s="19" t="s">
        <v>417</v>
      </c>
      <c r="C2" s="19"/>
      <c r="D2" s="19"/>
      <c r="E2" s="19"/>
      <c r="F2" s="19"/>
      <c r="G2" s="19"/>
      <c r="H2" s="5"/>
      <c r="I2" s="20" t="s">
        <v>404</v>
      </c>
      <c r="J2" s="10" t="s">
        <v>32</v>
      </c>
      <c r="K2" s="10" t="s">
        <v>33</v>
      </c>
      <c r="L2" s="10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43</v>
      </c>
      <c r="V2" s="10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0" t="s">
        <v>50</v>
      </c>
      <c r="AC2" s="10" t="s">
        <v>51</v>
      </c>
      <c r="AD2" s="10" t="s">
        <v>52</v>
      </c>
      <c r="AE2" s="10" t="s">
        <v>53</v>
      </c>
      <c r="AF2" s="10" t="s">
        <v>54</v>
      </c>
      <c r="AG2" s="10" t="s">
        <v>55</v>
      </c>
      <c r="AH2" s="10" t="s">
        <v>56</v>
      </c>
      <c r="AI2" s="10" t="s">
        <v>57</v>
      </c>
      <c r="AJ2" s="10" t="s">
        <v>58</v>
      </c>
      <c r="AK2" s="10" t="s">
        <v>59</v>
      </c>
      <c r="AL2" s="10" t="s">
        <v>60</v>
      </c>
      <c r="AM2" s="10" t="s">
        <v>61</v>
      </c>
      <c r="AN2" s="10" t="s">
        <v>62</v>
      </c>
      <c r="AO2" s="10" t="s">
        <v>63</v>
      </c>
      <c r="AP2" s="10" t="s">
        <v>64</v>
      </c>
      <c r="AQ2" s="10" t="s">
        <v>65</v>
      </c>
      <c r="AR2" s="10" t="s">
        <v>66</v>
      </c>
      <c r="AS2" s="10" t="s">
        <v>67</v>
      </c>
      <c r="AT2" s="10" t="s">
        <v>68</v>
      </c>
      <c r="AU2" s="10" t="s">
        <v>69</v>
      </c>
      <c r="AV2" s="10" t="s">
        <v>70</v>
      </c>
      <c r="AW2" s="10" t="s">
        <v>71</v>
      </c>
      <c r="AX2" s="10" t="s">
        <v>72</v>
      </c>
      <c r="AY2" s="10" t="s">
        <v>73</v>
      </c>
      <c r="AZ2" s="10" t="s">
        <v>74</v>
      </c>
      <c r="BA2" s="10" t="s">
        <v>75</v>
      </c>
      <c r="BB2" s="10" t="s">
        <v>76</v>
      </c>
      <c r="BC2" s="10" t="s">
        <v>77</v>
      </c>
      <c r="BD2" s="10" t="s">
        <v>78</v>
      </c>
      <c r="BE2" s="10" t="s">
        <v>79</v>
      </c>
      <c r="BF2" s="10" t="s">
        <v>80</v>
      </c>
      <c r="BG2" s="10" t="s">
        <v>81</v>
      </c>
      <c r="BH2" s="10" t="s">
        <v>82</v>
      </c>
      <c r="BI2" s="10" t="s">
        <v>83</v>
      </c>
      <c r="BJ2" s="10" t="s">
        <v>84</v>
      </c>
      <c r="BK2" s="10" t="s">
        <v>85</v>
      </c>
      <c r="BL2" s="10" t="s">
        <v>86</v>
      </c>
      <c r="BM2" s="10" t="s">
        <v>87</v>
      </c>
      <c r="BN2" s="10" t="s">
        <v>88</v>
      </c>
      <c r="BO2" s="10" t="s">
        <v>89</v>
      </c>
      <c r="BP2" s="10" t="s">
        <v>90</v>
      </c>
      <c r="BQ2" s="10" t="s">
        <v>91</v>
      </c>
      <c r="BR2" s="10" t="s">
        <v>92</v>
      </c>
      <c r="BS2" s="10" t="s">
        <v>93</v>
      </c>
      <c r="BT2" s="10" t="s">
        <v>94</v>
      </c>
      <c r="BU2" s="10" t="s">
        <v>95</v>
      </c>
      <c r="BV2" s="10" t="s">
        <v>96</v>
      </c>
      <c r="BW2" s="10" t="s">
        <v>97</v>
      </c>
      <c r="BX2" s="10" t="s">
        <v>98</v>
      </c>
      <c r="BY2" s="10" t="s">
        <v>99</v>
      </c>
      <c r="BZ2" s="10" t="s">
        <v>100</v>
      </c>
      <c r="CA2" s="10" t="s">
        <v>101</v>
      </c>
      <c r="CB2" s="10" t="s">
        <v>102</v>
      </c>
      <c r="CC2" s="10" t="s">
        <v>103</v>
      </c>
      <c r="CD2" s="10" t="s">
        <v>104</v>
      </c>
      <c r="CE2" s="10" t="s">
        <v>105</v>
      </c>
      <c r="CF2" s="10" t="s">
        <v>106</v>
      </c>
      <c r="CG2" s="10" t="s">
        <v>107</v>
      </c>
      <c r="CH2" s="10" t="s">
        <v>108</v>
      </c>
      <c r="CI2" s="10" t="s">
        <v>109</v>
      </c>
      <c r="CJ2" s="10" t="s">
        <v>110</v>
      </c>
      <c r="CK2" s="10" t="s">
        <v>111</v>
      </c>
      <c r="CL2" s="10" t="s">
        <v>112</v>
      </c>
      <c r="CM2" s="10" t="s">
        <v>113</v>
      </c>
      <c r="CN2" s="10" t="s">
        <v>114</v>
      </c>
      <c r="CO2" s="10" t="s">
        <v>115</v>
      </c>
      <c r="CP2" s="10" t="s">
        <v>116</v>
      </c>
      <c r="CQ2" s="10" t="s">
        <v>117</v>
      </c>
      <c r="CR2" s="10" t="s">
        <v>118</v>
      </c>
      <c r="CS2" s="10" t="s">
        <v>119</v>
      </c>
      <c r="CT2" s="10" t="s">
        <v>120</v>
      </c>
      <c r="CU2" s="10" t="s">
        <v>121</v>
      </c>
      <c r="CV2" s="10" t="s">
        <v>122</v>
      </c>
      <c r="CW2" s="10" t="s">
        <v>123</v>
      </c>
      <c r="CX2" s="10" t="s">
        <v>124</v>
      </c>
      <c r="CY2" s="10" t="s">
        <v>125</v>
      </c>
      <c r="CZ2" s="10" t="s">
        <v>126</v>
      </c>
      <c r="DA2" s="10" t="s">
        <v>127</v>
      </c>
      <c r="DB2" s="10" t="s">
        <v>128</v>
      </c>
      <c r="DC2" s="10" t="s">
        <v>129</v>
      </c>
      <c r="DD2" s="10" t="s">
        <v>130</v>
      </c>
      <c r="DE2" s="10" t="s">
        <v>131</v>
      </c>
      <c r="DF2" s="10" t="s">
        <v>132</v>
      </c>
      <c r="DG2" s="10" t="s">
        <v>133</v>
      </c>
      <c r="DH2" s="10" t="s">
        <v>134</v>
      </c>
      <c r="DI2" s="10" t="s">
        <v>135</v>
      </c>
      <c r="DJ2" s="10" t="s">
        <v>136</v>
      </c>
      <c r="DK2" s="10" t="s">
        <v>137</v>
      </c>
      <c r="DL2" s="10" t="s">
        <v>138</v>
      </c>
      <c r="DM2" s="10" t="s">
        <v>139</v>
      </c>
      <c r="DN2" s="10" t="s">
        <v>140</v>
      </c>
      <c r="DO2" s="10" t="s">
        <v>141</v>
      </c>
      <c r="DP2" s="10" t="s">
        <v>142</v>
      </c>
      <c r="DQ2" s="10" t="s">
        <v>143</v>
      </c>
      <c r="DR2" s="10" t="s">
        <v>144</v>
      </c>
      <c r="DS2" s="10" t="s">
        <v>145</v>
      </c>
      <c r="DT2" s="10" t="s">
        <v>146</v>
      </c>
      <c r="DU2" s="10" t="s">
        <v>147</v>
      </c>
      <c r="DV2" s="10" t="s">
        <v>148</v>
      </c>
      <c r="DW2" s="10" t="s">
        <v>149</v>
      </c>
      <c r="DX2" s="10" t="s">
        <v>150</v>
      </c>
      <c r="DY2" s="10" t="s">
        <v>151</v>
      </c>
      <c r="DZ2" s="10" t="s">
        <v>152</v>
      </c>
      <c r="EA2" s="10" t="s">
        <v>153</v>
      </c>
      <c r="EB2" s="10" t="s">
        <v>154</v>
      </c>
      <c r="EC2" s="10" t="s">
        <v>155</v>
      </c>
      <c r="ED2" s="10" t="s">
        <v>156</v>
      </c>
      <c r="EE2" s="10" t="s">
        <v>157</v>
      </c>
      <c r="EF2" s="10" t="s">
        <v>158</v>
      </c>
      <c r="EG2" s="10" t="s">
        <v>159</v>
      </c>
      <c r="EH2" s="10" t="s">
        <v>160</v>
      </c>
      <c r="EI2" s="10" t="s">
        <v>161</v>
      </c>
      <c r="EJ2" s="10" t="s">
        <v>162</v>
      </c>
      <c r="EK2" s="10" t="s">
        <v>163</v>
      </c>
      <c r="EL2" s="10" t="s">
        <v>164</v>
      </c>
      <c r="EM2" s="10" t="s">
        <v>165</v>
      </c>
      <c r="EN2" s="10" t="s">
        <v>166</v>
      </c>
      <c r="EO2" s="10" t="s">
        <v>167</v>
      </c>
      <c r="EP2" s="10" t="s">
        <v>168</v>
      </c>
      <c r="EQ2" s="10" t="s">
        <v>169</v>
      </c>
      <c r="ER2" s="10" t="s">
        <v>170</v>
      </c>
      <c r="ES2" s="10" t="s">
        <v>171</v>
      </c>
      <c r="ET2" s="10" t="s">
        <v>172</v>
      </c>
      <c r="EU2" s="10" t="s">
        <v>173</v>
      </c>
      <c r="EV2" s="10" t="s">
        <v>174</v>
      </c>
      <c r="EW2" s="10" t="s">
        <v>175</v>
      </c>
      <c r="EX2" s="10" t="s">
        <v>176</v>
      </c>
      <c r="EY2" s="10" t="s">
        <v>177</v>
      </c>
      <c r="EZ2" s="10" t="s">
        <v>178</v>
      </c>
      <c r="FA2" s="10" t="s">
        <v>179</v>
      </c>
      <c r="FB2" s="10" t="s">
        <v>180</v>
      </c>
      <c r="FC2" s="10" t="s">
        <v>181</v>
      </c>
      <c r="FD2" s="10" t="s">
        <v>182</v>
      </c>
      <c r="FE2" s="10" t="s">
        <v>183</v>
      </c>
      <c r="FF2" s="10" t="s">
        <v>184</v>
      </c>
      <c r="FG2" s="10" t="s">
        <v>185</v>
      </c>
      <c r="FH2" s="10" t="s">
        <v>186</v>
      </c>
      <c r="FI2" s="10" t="s">
        <v>187</v>
      </c>
      <c r="FJ2" s="10" t="s">
        <v>188</v>
      </c>
      <c r="FK2" s="10" t="s">
        <v>189</v>
      </c>
      <c r="FL2" s="10" t="s">
        <v>190</v>
      </c>
      <c r="FM2" s="10" t="s">
        <v>191</v>
      </c>
      <c r="FN2" s="10" t="s">
        <v>192</v>
      </c>
      <c r="FO2" s="10" t="s">
        <v>193</v>
      </c>
      <c r="FP2" s="10" t="s">
        <v>194</v>
      </c>
      <c r="FQ2" s="10" t="s">
        <v>195</v>
      </c>
      <c r="FR2" s="10" t="s">
        <v>196</v>
      </c>
      <c r="FS2" s="10" t="s">
        <v>197</v>
      </c>
      <c r="FT2" s="10" t="s">
        <v>198</v>
      </c>
      <c r="FU2" s="10" t="s">
        <v>199</v>
      </c>
      <c r="FV2" s="10" t="s">
        <v>200</v>
      </c>
      <c r="FW2" s="10" t="s">
        <v>201</v>
      </c>
      <c r="FX2" s="10" t="s">
        <v>202</v>
      </c>
      <c r="FY2" s="10" t="s">
        <v>203</v>
      </c>
      <c r="FZ2" s="10" t="s">
        <v>204</v>
      </c>
      <c r="GA2" s="10" t="s">
        <v>205</v>
      </c>
      <c r="GB2" s="10" t="s">
        <v>206</v>
      </c>
      <c r="GC2" s="10" t="s">
        <v>207</v>
      </c>
      <c r="GD2" s="10" t="s">
        <v>208</v>
      </c>
      <c r="GE2" s="10" t="s">
        <v>209</v>
      </c>
      <c r="GF2" s="10" t="s">
        <v>210</v>
      </c>
      <c r="GG2" s="10" t="s">
        <v>211</v>
      </c>
      <c r="GH2" s="10" t="s">
        <v>212</v>
      </c>
      <c r="GI2" s="10" t="s">
        <v>213</v>
      </c>
      <c r="GJ2" s="10" t="s">
        <v>214</v>
      </c>
      <c r="GK2" s="10" t="s">
        <v>215</v>
      </c>
      <c r="GL2" s="10" t="s">
        <v>216</v>
      </c>
      <c r="GM2" s="10" t="s">
        <v>217</v>
      </c>
      <c r="GN2" s="10" t="s">
        <v>218</v>
      </c>
      <c r="GO2" s="10" t="s">
        <v>219</v>
      </c>
      <c r="GP2" s="10" t="s">
        <v>220</v>
      </c>
      <c r="GQ2" s="10" t="s">
        <v>221</v>
      </c>
      <c r="GR2" s="10" t="s">
        <v>222</v>
      </c>
      <c r="GS2" s="10" t="s">
        <v>223</v>
      </c>
      <c r="GT2" s="10" t="s">
        <v>224</v>
      </c>
      <c r="GU2" s="10" t="s">
        <v>225</v>
      </c>
      <c r="GV2" s="10" t="s">
        <v>226</v>
      </c>
      <c r="GW2" s="10" t="s">
        <v>227</v>
      </c>
      <c r="GX2" s="10" t="s">
        <v>228</v>
      </c>
      <c r="GY2" s="10" t="s">
        <v>229</v>
      </c>
      <c r="GZ2" s="10" t="s">
        <v>230</v>
      </c>
      <c r="HA2" s="10" t="s">
        <v>231</v>
      </c>
      <c r="HB2" s="10" t="s">
        <v>232</v>
      </c>
      <c r="HC2" s="10" t="s">
        <v>233</v>
      </c>
      <c r="HD2" s="10" t="s">
        <v>234</v>
      </c>
      <c r="HE2" s="10" t="s">
        <v>235</v>
      </c>
      <c r="HF2" s="10" t="s">
        <v>236</v>
      </c>
      <c r="HG2" s="10" t="s">
        <v>237</v>
      </c>
      <c r="HH2" s="10" t="s">
        <v>238</v>
      </c>
      <c r="HI2" s="10" t="s">
        <v>239</v>
      </c>
      <c r="HJ2" s="10" t="s">
        <v>240</v>
      </c>
      <c r="HK2" s="10" t="s">
        <v>241</v>
      </c>
      <c r="HL2" s="10" t="s">
        <v>242</v>
      </c>
      <c r="HM2" s="10" t="s">
        <v>243</v>
      </c>
      <c r="HN2" s="10" t="s">
        <v>244</v>
      </c>
      <c r="HO2" s="10" t="s">
        <v>245</v>
      </c>
      <c r="HP2" s="10" t="s">
        <v>246</v>
      </c>
      <c r="HQ2" s="10" t="s">
        <v>247</v>
      </c>
      <c r="HR2" s="10" t="s">
        <v>248</v>
      </c>
      <c r="HS2" s="10" t="s">
        <v>249</v>
      </c>
      <c r="HT2" s="10" t="s">
        <v>250</v>
      </c>
      <c r="HU2" s="10" t="s">
        <v>251</v>
      </c>
      <c r="HV2" s="10" t="s">
        <v>252</v>
      </c>
      <c r="HW2" s="10" t="s">
        <v>253</v>
      </c>
      <c r="HX2" s="10" t="s">
        <v>254</v>
      </c>
      <c r="HY2" s="10" t="s">
        <v>255</v>
      </c>
      <c r="HZ2" s="10" t="s">
        <v>256</v>
      </c>
      <c r="IA2" s="10" t="s">
        <v>257</v>
      </c>
      <c r="IB2" s="10" t="s">
        <v>258</v>
      </c>
      <c r="IC2" s="10" t="s">
        <v>259</v>
      </c>
      <c r="ID2" s="10" t="s">
        <v>260</v>
      </c>
      <c r="IE2" s="10" t="s">
        <v>261</v>
      </c>
      <c r="IF2" s="10" t="s">
        <v>262</v>
      </c>
      <c r="IG2" s="10" t="s">
        <v>263</v>
      </c>
      <c r="IH2" s="10" t="s">
        <v>264</v>
      </c>
      <c r="II2" s="10" t="s">
        <v>265</v>
      </c>
      <c r="IJ2" s="10" t="s">
        <v>266</v>
      </c>
      <c r="IK2" s="10" t="s">
        <v>267</v>
      </c>
      <c r="IL2" s="10" t="s">
        <v>268</v>
      </c>
      <c r="IM2" s="10" t="s">
        <v>269</v>
      </c>
      <c r="IN2" s="10" t="s">
        <v>270</v>
      </c>
      <c r="IO2" s="10" t="s">
        <v>271</v>
      </c>
      <c r="IP2" s="10" t="s">
        <v>272</v>
      </c>
      <c r="IQ2" s="10" t="s">
        <v>273</v>
      </c>
      <c r="IR2" s="10" t="s">
        <v>274</v>
      </c>
      <c r="IS2" s="10" t="s">
        <v>275</v>
      </c>
      <c r="IT2" s="10" t="s">
        <v>276</v>
      </c>
      <c r="IU2" s="10" t="s">
        <v>277</v>
      </c>
      <c r="IV2" s="10" t="s">
        <v>278</v>
      </c>
      <c r="IW2" s="10" t="s">
        <v>279</v>
      </c>
      <c r="IX2" s="10" t="s">
        <v>280</v>
      </c>
      <c r="IY2" s="10" t="s">
        <v>281</v>
      </c>
      <c r="IZ2" s="10" t="s">
        <v>282</v>
      </c>
      <c r="JA2" s="10" t="s">
        <v>283</v>
      </c>
      <c r="JB2" s="10" t="s">
        <v>284</v>
      </c>
      <c r="JC2" s="10" t="s">
        <v>285</v>
      </c>
      <c r="JD2" s="10" t="s">
        <v>286</v>
      </c>
      <c r="JE2" s="10" t="s">
        <v>287</v>
      </c>
      <c r="JF2" s="10" t="s">
        <v>288</v>
      </c>
      <c r="JG2" s="10" t="s">
        <v>289</v>
      </c>
      <c r="JH2" s="10" t="s">
        <v>290</v>
      </c>
      <c r="JI2" s="10" t="s">
        <v>291</v>
      </c>
      <c r="JJ2" s="10" t="s">
        <v>292</v>
      </c>
      <c r="JK2" s="10" t="s">
        <v>293</v>
      </c>
      <c r="JL2" s="10" t="s">
        <v>294</v>
      </c>
      <c r="JM2" s="10" t="s">
        <v>295</v>
      </c>
      <c r="JN2" s="10" t="s">
        <v>296</v>
      </c>
      <c r="JO2" s="10" t="s">
        <v>297</v>
      </c>
      <c r="JP2" s="10" t="s">
        <v>298</v>
      </c>
      <c r="JQ2" s="10" t="s">
        <v>299</v>
      </c>
      <c r="JR2" s="10" t="s">
        <v>300</v>
      </c>
      <c r="JS2" s="10" t="s">
        <v>301</v>
      </c>
      <c r="JT2" s="10" t="s">
        <v>302</v>
      </c>
      <c r="JU2" s="10" t="s">
        <v>303</v>
      </c>
      <c r="JV2" s="10" t="s">
        <v>304</v>
      </c>
      <c r="JW2" s="10" t="s">
        <v>305</v>
      </c>
      <c r="JX2" s="10" t="s">
        <v>306</v>
      </c>
      <c r="JY2" s="10" t="s">
        <v>307</v>
      </c>
      <c r="JZ2" s="10" t="s">
        <v>308</v>
      </c>
      <c r="KA2" s="10" t="s">
        <v>309</v>
      </c>
      <c r="KB2" s="10" t="s">
        <v>310</v>
      </c>
      <c r="KC2" s="10" t="s">
        <v>311</v>
      </c>
      <c r="KD2" s="10" t="s">
        <v>312</v>
      </c>
      <c r="KE2" s="10" t="s">
        <v>313</v>
      </c>
      <c r="KF2" s="10" t="s">
        <v>314</v>
      </c>
      <c r="KG2" s="10" t="s">
        <v>315</v>
      </c>
      <c r="KH2" s="10" t="s">
        <v>316</v>
      </c>
      <c r="KI2" s="10" t="s">
        <v>317</v>
      </c>
      <c r="KJ2" s="10" t="s">
        <v>318</v>
      </c>
      <c r="KK2" s="10" t="s">
        <v>319</v>
      </c>
      <c r="KL2" s="10" t="s">
        <v>320</v>
      </c>
      <c r="KM2" s="10" t="s">
        <v>321</v>
      </c>
      <c r="KN2" s="10" t="s">
        <v>322</v>
      </c>
      <c r="KO2" s="10" t="s">
        <v>323</v>
      </c>
      <c r="KP2" s="10" t="s">
        <v>324</v>
      </c>
      <c r="KQ2" s="10" t="s">
        <v>325</v>
      </c>
      <c r="KR2" s="10" t="s">
        <v>326</v>
      </c>
      <c r="KS2" s="10" t="s">
        <v>327</v>
      </c>
      <c r="KT2" s="10" t="s">
        <v>328</v>
      </c>
      <c r="KU2" s="10" t="s">
        <v>329</v>
      </c>
      <c r="KV2" s="10" t="s">
        <v>330</v>
      </c>
      <c r="KW2" s="10" t="s">
        <v>331</v>
      </c>
      <c r="KX2" s="10" t="s">
        <v>332</v>
      </c>
      <c r="KY2" s="10" t="s">
        <v>333</v>
      </c>
      <c r="KZ2" s="10" t="s">
        <v>334</v>
      </c>
      <c r="LA2" s="10" t="s">
        <v>335</v>
      </c>
      <c r="LB2" s="10" t="s">
        <v>336</v>
      </c>
      <c r="LC2" s="10" t="s">
        <v>337</v>
      </c>
      <c r="LD2" s="10" t="s">
        <v>338</v>
      </c>
      <c r="LE2" s="10" t="s">
        <v>339</v>
      </c>
      <c r="LF2" s="10" t="s">
        <v>340</v>
      </c>
      <c r="LG2" s="10" t="s">
        <v>341</v>
      </c>
      <c r="LH2" s="10" t="s">
        <v>342</v>
      </c>
      <c r="LI2" s="10" t="s">
        <v>343</v>
      </c>
      <c r="LJ2" s="10" t="s">
        <v>344</v>
      </c>
      <c r="LK2" s="10" t="s">
        <v>345</v>
      </c>
      <c r="LL2" s="10" t="s">
        <v>346</v>
      </c>
      <c r="LM2" s="10" t="s">
        <v>347</v>
      </c>
      <c r="LN2" s="10" t="s">
        <v>348</v>
      </c>
      <c r="LO2" s="10" t="s">
        <v>349</v>
      </c>
      <c r="LP2" s="10" t="s">
        <v>350</v>
      </c>
      <c r="LQ2" s="10" t="s">
        <v>351</v>
      </c>
      <c r="LR2" s="10" t="s">
        <v>352</v>
      </c>
      <c r="LS2" s="10" t="s">
        <v>353</v>
      </c>
      <c r="LT2" s="10" t="s">
        <v>354</v>
      </c>
      <c r="LU2" s="10" t="s">
        <v>355</v>
      </c>
      <c r="LV2" s="10" t="s">
        <v>356</v>
      </c>
      <c r="LW2" s="10" t="s">
        <v>357</v>
      </c>
      <c r="LX2" s="10" t="s">
        <v>358</v>
      </c>
      <c r="LY2" s="10" t="s">
        <v>359</v>
      </c>
      <c r="LZ2" s="10" t="s">
        <v>360</v>
      </c>
      <c r="MA2" s="10" t="s">
        <v>361</v>
      </c>
      <c r="MB2" s="10" t="s">
        <v>362</v>
      </c>
      <c r="MC2" s="10" t="s">
        <v>363</v>
      </c>
      <c r="MD2" s="10" t="s">
        <v>364</v>
      </c>
      <c r="ME2" s="10" t="s">
        <v>365</v>
      </c>
      <c r="MF2" s="10" t="s">
        <v>366</v>
      </c>
      <c r="MG2" s="10" t="s">
        <v>367</v>
      </c>
      <c r="MH2" s="10" t="s">
        <v>368</v>
      </c>
      <c r="MI2" s="10" t="s">
        <v>369</v>
      </c>
      <c r="MJ2" s="10" t="s">
        <v>370</v>
      </c>
      <c r="MK2" s="10" t="s">
        <v>371</v>
      </c>
      <c r="ML2" s="10" t="s">
        <v>372</v>
      </c>
      <c r="MM2" s="10" t="s">
        <v>373</v>
      </c>
      <c r="MN2" s="10" t="s">
        <v>374</v>
      </c>
      <c r="MO2" s="10" t="s">
        <v>375</v>
      </c>
      <c r="MP2" s="10" t="s">
        <v>376</v>
      </c>
      <c r="MQ2" s="10" t="s">
        <v>377</v>
      </c>
      <c r="MR2" s="10" t="s">
        <v>378</v>
      </c>
      <c r="MS2" s="10" t="s">
        <v>379</v>
      </c>
      <c r="MT2" s="10" t="s">
        <v>380</v>
      </c>
      <c r="MU2" s="10" t="s">
        <v>381</v>
      </c>
      <c r="MV2" s="10" t="s">
        <v>382</v>
      </c>
      <c r="MW2" s="10" t="s">
        <v>383</v>
      </c>
      <c r="MX2" s="10" t="s">
        <v>384</v>
      </c>
      <c r="MY2" s="10" t="s">
        <v>385</v>
      </c>
      <c r="MZ2" s="10" t="s">
        <v>386</v>
      </c>
      <c r="NA2" s="10" t="s">
        <v>387</v>
      </c>
      <c r="NB2" s="10" t="s">
        <v>388</v>
      </c>
      <c r="NC2" s="10" t="s">
        <v>389</v>
      </c>
      <c r="ND2" s="10" t="s">
        <v>390</v>
      </c>
      <c r="NE2" s="10" t="s">
        <v>391</v>
      </c>
      <c r="NF2" s="10" t="s">
        <v>392</v>
      </c>
      <c r="NG2" s="10" t="s">
        <v>393</v>
      </c>
      <c r="NH2" s="10" t="s">
        <v>394</v>
      </c>
      <c r="NI2" s="10" t="s">
        <v>395</v>
      </c>
      <c r="NJ2" s="10" t="s">
        <v>396</v>
      </c>
    </row>
    <row r="3" spans="1:374" x14ac:dyDescent="0.4">
      <c r="B3" s="19"/>
      <c r="C3" s="19"/>
      <c r="D3" s="19"/>
      <c r="E3" s="19"/>
      <c r="F3" s="19"/>
      <c r="G3" s="19"/>
      <c r="H3" s="5"/>
      <c r="I3" s="21"/>
      <c r="J3" t="str">
        <f>TEXT(J5, "mmm")</f>
        <v>jan</v>
      </c>
      <c r="K3" t="str">
        <f t="shared" ref="K3:BV3" si="6">TEXT(K5, "mmm")</f>
        <v>jan</v>
      </c>
      <c r="L3" t="str">
        <f t="shared" si="6"/>
        <v>jan</v>
      </c>
      <c r="M3" t="str">
        <f t="shared" si="6"/>
        <v>jan</v>
      </c>
      <c r="N3" t="str">
        <f t="shared" si="6"/>
        <v>jan</v>
      </c>
      <c r="O3" t="str">
        <f t="shared" si="6"/>
        <v>jan</v>
      </c>
      <c r="P3" t="str">
        <f t="shared" si="6"/>
        <v>jan</v>
      </c>
      <c r="Q3" t="str">
        <f t="shared" si="6"/>
        <v>jan</v>
      </c>
      <c r="R3" t="str">
        <f t="shared" si="6"/>
        <v>jan</v>
      </c>
      <c r="S3" t="str">
        <f t="shared" si="6"/>
        <v>jan</v>
      </c>
      <c r="T3" t="str">
        <f t="shared" si="6"/>
        <v>jan</v>
      </c>
      <c r="U3" t="str">
        <f t="shared" si="6"/>
        <v>jan</v>
      </c>
      <c r="V3" t="str">
        <f t="shared" si="6"/>
        <v>jan</v>
      </c>
      <c r="W3" t="str">
        <f t="shared" si="6"/>
        <v>jan</v>
      </c>
      <c r="X3" t="str">
        <f t="shared" si="6"/>
        <v>jan</v>
      </c>
      <c r="Y3" t="str">
        <f t="shared" si="6"/>
        <v>jan</v>
      </c>
      <c r="Z3" t="str">
        <f t="shared" si="6"/>
        <v>jan</v>
      </c>
      <c r="AA3" t="str">
        <f t="shared" si="6"/>
        <v>jan</v>
      </c>
      <c r="AB3" t="str">
        <f t="shared" si="6"/>
        <v>jan</v>
      </c>
      <c r="AC3" t="str">
        <f t="shared" si="6"/>
        <v>jan</v>
      </c>
      <c r="AD3" t="str">
        <f t="shared" si="6"/>
        <v>jan</v>
      </c>
      <c r="AE3" t="str">
        <f t="shared" si="6"/>
        <v>jan</v>
      </c>
      <c r="AF3" t="str">
        <f t="shared" si="6"/>
        <v>jan</v>
      </c>
      <c r="AG3" t="str">
        <f t="shared" si="6"/>
        <v>jan</v>
      </c>
      <c r="AH3" t="str">
        <f t="shared" si="6"/>
        <v>jan</v>
      </c>
      <c r="AI3" t="str">
        <f t="shared" si="6"/>
        <v>jan</v>
      </c>
      <c r="AJ3" t="str">
        <f t="shared" si="6"/>
        <v>jan</v>
      </c>
      <c r="AK3" t="str">
        <f t="shared" si="6"/>
        <v>jan</v>
      </c>
      <c r="AL3" t="str">
        <f t="shared" si="6"/>
        <v>jan</v>
      </c>
      <c r="AM3" t="str">
        <f t="shared" si="6"/>
        <v>jan</v>
      </c>
      <c r="AN3" t="str">
        <f t="shared" si="6"/>
        <v>jan</v>
      </c>
      <c r="AO3" t="str">
        <f t="shared" si="6"/>
        <v>feb</v>
      </c>
      <c r="AP3" t="str">
        <f t="shared" si="6"/>
        <v>feb</v>
      </c>
      <c r="AQ3" t="str">
        <f t="shared" si="6"/>
        <v>feb</v>
      </c>
      <c r="AR3" t="str">
        <f t="shared" si="6"/>
        <v>feb</v>
      </c>
      <c r="AS3" t="str">
        <f t="shared" si="6"/>
        <v>feb</v>
      </c>
      <c r="AT3" t="str">
        <f t="shared" si="6"/>
        <v>feb</v>
      </c>
      <c r="AU3" t="str">
        <f t="shared" si="6"/>
        <v>feb</v>
      </c>
      <c r="AV3" t="str">
        <f t="shared" si="6"/>
        <v>feb</v>
      </c>
      <c r="AW3" t="str">
        <f t="shared" si="6"/>
        <v>feb</v>
      </c>
      <c r="AX3" t="str">
        <f t="shared" si="6"/>
        <v>feb</v>
      </c>
      <c r="AY3" t="str">
        <f t="shared" si="6"/>
        <v>feb</v>
      </c>
      <c r="AZ3" t="str">
        <f t="shared" si="6"/>
        <v>feb</v>
      </c>
      <c r="BA3" t="str">
        <f t="shared" si="6"/>
        <v>feb</v>
      </c>
      <c r="BB3" t="str">
        <f t="shared" si="6"/>
        <v>feb</v>
      </c>
      <c r="BC3" t="str">
        <f t="shared" si="6"/>
        <v>feb</v>
      </c>
      <c r="BD3" t="str">
        <f t="shared" si="6"/>
        <v>feb</v>
      </c>
      <c r="BE3" t="str">
        <f t="shared" si="6"/>
        <v>feb</v>
      </c>
      <c r="BF3" t="str">
        <f t="shared" si="6"/>
        <v>feb</v>
      </c>
      <c r="BG3" t="str">
        <f t="shared" si="6"/>
        <v>feb</v>
      </c>
      <c r="BH3" t="str">
        <f t="shared" si="6"/>
        <v>feb</v>
      </c>
      <c r="BI3" t="str">
        <f t="shared" si="6"/>
        <v>feb</v>
      </c>
      <c r="BJ3" t="str">
        <f t="shared" si="6"/>
        <v>feb</v>
      </c>
      <c r="BK3" t="str">
        <f t="shared" si="6"/>
        <v>feb</v>
      </c>
      <c r="BL3" t="str">
        <f t="shared" si="6"/>
        <v>feb</v>
      </c>
      <c r="BM3" t="str">
        <f t="shared" si="6"/>
        <v>feb</v>
      </c>
      <c r="BN3" t="str">
        <f t="shared" si="6"/>
        <v>feb</v>
      </c>
      <c r="BO3" t="str">
        <f t="shared" si="6"/>
        <v>feb</v>
      </c>
      <c r="BP3" t="str">
        <f t="shared" si="6"/>
        <v>feb</v>
      </c>
      <c r="BQ3" t="str">
        <f t="shared" si="6"/>
        <v>mar</v>
      </c>
      <c r="BR3" t="str">
        <f t="shared" si="6"/>
        <v>mar</v>
      </c>
      <c r="BS3" t="str">
        <f t="shared" si="6"/>
        <v>mar</v>
      </c>
      <c r="BT3" t="str">
        <f t="shared" si="6"/>
        <v>mar</v>
      </c>
      <c r="BU3" t="str">
        <f t="shared" si="6"/>
        <v>mar</v>
      </c>
      <c r="BV3" t="str">
        <f t="shared" si="6"/>
        <v>mar</v>
      </c>
      <c r="BW3" t="str">
        <f t="shared" ref="BW3:EH3" si="7">TEXT(BW5, "mmm")</f>
        <v>mar</v>
      </c>
      <c r="BX3" t="str">
        <f t="shared" si="7"/>
        <v>mar</v>
      </c>
      <c r="BY3" t="str">
        <f t="shared" si="7"/>
        <v>mar</v>
      </c>
      <c r="BZ3" t="str">
        <f t="shared" si="7"/>
        <v>mar</v>
      </c>
      <c r="CA3" t="str">
        <f t="shared" si="7"/>
        <v>mar</v>
      </c>
      <c r="CB3" t="str">
        <f t="shared" si="7"/>
        <v>mar</v>
      </c>
      <c r="CC3" t="str">
        <f t="shared" si="7"/>
        <v>mar</v>
      </c>
      <c r="CD3" t="str">
        <f t="shared" si="7"/>
        <v>mar</v>
      </c>
      <c r="CE3" t="str">
        <f t="shared" si="7"/>
        <v>mar</v>
      </c>
      <c r="CF3" t="str">
        <f t="shared" si="7"/>
        <v>mar</v>
      </c>
      <c r="CG3" t="str">
        <f t="shared" si="7"/>
        <v>mar</v>
      </c>
      <c r="CH3" t="str">
        <f t="shared" si="7"/>
        <v>mar</v>
      </c>
      <c r="CI3" t="str">
        <f t="shared" si="7"/>
        <v>mar</v>
      </c>
      <c r="CJ3" t="str">
        <f t="shared" si="7"/>
        <v>mar</v>
      </c>
      <c r="CK3" t="str">
        <f t="shared" si="7"/>
        <v>mar</v>
      </c>
      <c r="CL3" t="str">
        <f t="shared" si="7"/>
        <v>mar</v>
      </c>
      <c r="CM3" t="str">
        <f t="shared" si="7"/>
        <v>mar</v>
      </c>
      <c r="CN3" t="str">
        <f t="shared" si="7"/>
        <v>mar</v>
      </c>
      <c r="CO3" t="str">
        <f t="shared" si="7"/>
        <v>mar</v>
      </c>
      <c r="CP3" t="str">
        <f t="shared" si="7"/>
        <v>mar</v>
      </c>
      <c r="CQ3" t="str">
        <f t="shared" si="7"/>
        <v>mar</v>
      </c>
      <c r="CR3" t="str">
        <f t="shared" si="7"/>
        <v>mar</v>
      </c>
      <c r="CS3" t="str">
        <f t="shared" si="7"/>
        <v>mar</v>
      </c>
      <c r="CT3" t="str">
        <f t="shared" si="7"/>
        <v>mar</v>
      </c>
      <c r="CU3" t="str">
        <f t="shared" si="7"/>
        <v>mar</v>
      </c>
      <c r="CV3" t="str">
        <f t="shared" si="7"/>
        <v>apr</v>
      </c>
      <c r="CW3" t="str">
        <f t="shared" si="7"/>
        <v>apr</v>
      </c>
      <c r="CX3" t="str">
        <f t="shared" si="7"/>
        <v>apr</v>
      </c>
      <c r="CY3" t="str">
        <f t="shared" si="7"/>
        <v>apr</v>
      </c>
      <c r="CZ3" t="str">
        <f t="shared" si="7"/>
        <v>apr</v>
      </c>
      <c r="DA3" t="str">
        <f t="shared" si="7"/>
        <v>apr</v>
      </c>
      <c r="DB3" t="str">
        <f t="shared" si="7"/>
        <v>apr</v>
      </c>
      <c r="DC3" t="str">
        <f t="shared" si="7"/>
        <v>apr</v>
      </c>
      <c r="DD3" t="str">
        <f t="shared" si="7"/>
        <v>apr</v>
      </c>
      <c r="DE3" t="str">
        <f t="shared" si="7"/>
        <v>apr</v>
      </c>
      <c r="DF3" t="str">
        <f t="shared" si="7"/>
        <v>apr</v>
      </c>
      <c r="DG3" t="str">
        <f t="shared" si="7"/>
        <v>apr</v>
      </c>
      <c r="DH3" t="str">
        <f t="shared" si="7"/>
        <v>apr</v>
      </c>
      <c r="DI3" t="str">
        <f t="shared" si="7"/>
        <v>apr</v>
      </c>
      <c r="DJ3" t="str">
        <f t="shared" si="7"/>
        <v>apr</v>
      </c>
      <c r="DK3" t="str">
        <f t="shared" si="7"/>
        <v>apr</v>
      </c>
      <c r="DL3" t="str">
        <f t="shared" si="7"/>
        <v>apr</v>
      </c>
      <c r="DM3" t="str">
        <f t="shared" si="7"/>
        <v>apr</v>
      </c>
      <c r="DN3" t="str">
        <f t="shared" si="7"/>
        <v>apr</v>
      </c>
      <c r="DO3" t="str">
        <f t="shared" si="7"/>
        <v>apr</v>
      </c>
      <c r="DP3" t="str">
        <f t="shared" si="7"/>
        <v>apr</v>
      </c>
      <c r="DQ3" t="str">
        <f t="shared" si="7"/>
        <v>apr</v>
      </c>
      <c r="DR3" t="str">
        <f t="shared" si="7"/>
        <v>apr</v>
      </c>
      <c r="DS3" t="str">
        <f t="shared" si="7"/>
        <v>apr</v>
      </c>
      <c r="DT3" t="str">
        <f t="shared" si="7"/>
        <v>apr</v>
      </c>
      <c r="DU3" t="str">
        <f t="shared" si="7"/>
        <v>apr</v>
      </c>
      <c r="DV3" t="str">
        <f t="shared" si="7"/>
        <v>apr</v>
      </c>
      <c r="DW3" t="str">
        <f t="shared" si="7"/>
        <v>apr</v>
      </c>
      <c r="DX3" t="str">
        <f t="shared" si="7"/>
        <v>apr</v>
      </c>
      <c r="DY3" t="str">
        <f t="shared" si="7"/>
        <v>apr</v>
      </c>
      <c r="DZ3" t="str">
        <f t="shared" si="7"/>
        <v>maj</v>
      </c>
      <c r="EA3" t="str">
        <f t="shared" si="7"/>
        <v>maj</v>
      </c>
      <c r="EB3" t="str">
        <f t="shared" si="7"/>
        <v>maj</v>
      </c>
      <c r="EC3" t="str">
        <f t="shared" si="7"/>
        <v>maj</v>
      </c>
      <c r="ED3" t="str">
        <f t="shared" si="7"/>
        <v>maj</v>
      </c>
      <c r="EE3" t="str">
        <f t="shared" si="7"/>
        <v>maj</v>
      </c>
      <c r="EF3" t="str">
        <f t="shared" si="7"/>
        <v>maj</v>
      </c>
      <c r="EG3" t="str">
        <f t="shared" si="7"/>
        <v>maj</v>
      </c>
      <c r="EH3" t="str">
        <f t="shared" si="7"/>
        <v>maj</v>
      </c>
      <c r="EI3" t="str">
        <f t="shared" ref="EI3:GT3" si="8">TEXT(EI5, "mmm")</f>
        <v>maj</v>
      </c>
      <c r="EJ3" t="str">
        <f t="shared" si="8"/>
        <v>maj</v>
      </c>
      <c r="EK3" t="str">
        <f t="shared" si="8"/>
        <v>maj</v>
      </c>
      <c r="EL3" t="str">
        <f t="shared" si="8"/>
        <v>maj</v>
      </c>
      <c r="EM3" t="str">
        <f t="shared" si="8"/>
        <v>maj</v>
      </c>
      <c r="EN3" t="str">
        <f t="shared" si="8"/>
        <v>maj</v>
      </c>
      <c r="EO3" t="str">
        <f t="shared" si="8"/>
        <v>maj</v>
      </c>
      <c r="EP3" t="str">
        <f t="shared" si="8"/>
        <v>maj</v>
      </c>
      <c r="EQ3" t="str">
        <f t="shared" si="8"/>
        <v>maj</v>
      </c>
      <c r="ER3" t="str">
        <f t="shared" si="8"/>
        <v>maj</v>
      </c>
      <c r="ES3" t="str">
        <f t="shared" si="8"/>
        <v>maj</v>
      </c>
      <c r="ET3" t="str">
        <f t="shared" si="8"/>
        <v>maj</v>
      </c>
      <c r="EU3" t="str">
        <f t="shared" si="8"/>
        <v>maj</v>
      </c>
      <c r="EV3" t="str">
        <f t="shared" si="8"/>
        <v>maj</v>
      </c>
      <c r="EW3" t="str">
        <f t="shared" si="8"/>
        <v>maj</v>
      </c>
      <c r="EX3" t="str">
        <f t="shared" si="8"/>
        <v>maj</v>
      </c>
      <c r="EY3" t="str">
        <f t="shared" si="8"/>
        <v>maj</v>
      </c>
      <c r="EZ3" t="str">
        <f t="shared" si="8"/>
        <v>maj</v>
      </c>
      <c r="FA3" t="str">
        <f t="shared" si="8"/>
        <v>maj</v>
      </c>
      <c r="FB3" t="str">
        <f t="shared" si="8"/>
        <v>maj</v>
      </c>
      <c r="FC3" t="str">
        <f t="shared" si="8"/>
        <v>maj</v>
      </c>
      <c r="FD3" t="str">
        <f t="shared" si="8"/>
        <v>maj</v>
      </c>
      <c r="FE3" t="str">
        <f t="shared" si="8"/>
        <v>jun</v>
      </c>
      <c r="FF3" t="str">
        <f t="shared" si="8"/>
        <v>jun</v>
      </c>
      <c r="FG3" t="str">
        <f t="shared" si="8"/>
        <v>jun</v>
      </c>
      <c r="FH3" t="str">
        <f t="shared" si="8"/>
        <v>jun</v>
      </c>
      <c r="FI3" t="str">
        <f t="shared" si="8"/>
        <v>jun</v>
      </c>
      <c r="FJ3" t="str">
        <f t="shared" si="8"/>
        <v>jun</v>
      </c>
      <c r="FK3" t="str">
        <f t="shared" si="8"/>
        <v>jun</v>
      </c>
      <c r="FL3" t="str">
        <f t="shared" si="8"/>
        <v>jun</v>
      </c>
      <c r="FM3" t="str">
        <f t="shared" si="8"/>
        <v>jun</v>
      </c>
      <c r="FN3" t="str">
        <f t="shared" si="8"/>
        <v>jun</v>
      </c>
      <c r="FO3" t="str">
        <f t="shared" si="8"/>
        <v>jun</v>
      </c>
      <c r="FP3" t="str">
        <f t="shared" si="8"/>
        <v>jun</v>
      </c>
      <c r="FQ3" t="str">
        <f t="shared" si="8"/>
        <v>jun</v>
      </c>
      <c r="FR3" t="str">
        <f t="shared" si="8"/>
        <v>jun</v>
      </c>
      <c r="FS3" t="str">
        <f t="shared" si="8"/>
        <v>jun</v>
      </c>
      <c r="FT3" t="str">
        <f t="shared" si="8"/>
        <v>jun</v>
      </c>
      <c r="FU3" t="str">
        <f t="shared" si="8"/>
        <v>jun</v>
      </c>
      <c r="FV3" t="str">
        <f t="shared" si="8"/>
        <v>jun</v>
      </c>
      <c r="FW3" t="str">
        <f t="shared" si="8"/>
        <v>jun</v>
      </c>
      <c r="FX3" t="str">
        <f t="shared" si="8"/>
        <v>jun</v>
      </c>
      <c r="FY3" t="str">
        <f t="shared" si="8"/>
        <v>jun</v>
      </c>
      <c r="FZ3" t="str">
        <f t="shared" si="8"/>
        <v>jun</v>
      </c>
      <c r="GA3" t="str">
        <f t="shared" si="8"/>
        <v>jun</v>
      </c>
      <c r="GB3" t="str">
        <f t="shared" si="8"/>
        <v>jun</v>
      </c>
      <c r="GC3" t="str">
        <f t="shared" si="8"/>
        <v>jun</v>
      </c>
      <c r="GD3" t="str">
        <f t="shared" si="8"/>
        <v>jun</v>
      </c>
      <c r="GE3" t="str">
        <f t="shared" si="8"/>
        <v>jun</v>
      </c>
      <c r="GF3" t="str">
        <f t="shared" si="8"/>
        <v>jun</v>
      </c>
      <c r="GG3" t="str">
        <f t="shared" si="8"/>
        <v>jun</v>
      </c>
      <c r="GH3" t="str">
        <f t="shared" si="8"/>
        <v>jun</v>
      </c>
      <c r="GI3" t="str">
        <f t="shared" si="8"/>
        <v>jul</v>
      </c>
      <c r="GJ3" t="str">
        <f t="shared" si="8"/>
        <v>jul</v>
      </c>
      <c r="GK3" t="str">
        <f t="shared" si="8"/>
        <v>jul</v>
      </c>
      <c r="GL3" t="str">
        <f t="shared" si="8"/>
        <v>jul</v>
      </c>
      <c r="GM3" t="str">
        <f t="shared" si="8"/>
        <v>jul</v>
      </c>
      <c r="GN3" t="str">
        <f t="shared" si="8"/>
        <v>jul</v>
      </c>
      <c r="GO3" t="str">
        <f t="shared" si="8"/>
        <v>jul</v>
      </c>
      <c r="GP3" t="str">
        <f t="shared" si="8"/>
        <v>jul</v>
      </c>
      <c r="GQ3" t="str">
        <f t="shared" si="8"/>
        <v>jul</v>
      </c>
      <c r="GR3" t="str">
        <f t="shared" si="8"/>
        <v>jul</v>
      </c>
      <c r="GS3" t="str">
        <f t="shared" si="8"/>
        <v>jul</v>
      </c>
      <c r="GT3" t="str">
        <f t="shared" si="8"/>
        <v>jul</v>
      </c>
      <c r="GU3" t="str">
        <f t="shared" ref="GU3:JF3" si="9">TEXT(GU5, "mmm")</f>
        <v>jul</v>
      </c>
      <c r="GV3" t="str">
        <f t="shared" si="9"/>
        <v>jul</v>
      </c>
      <c r="GW3" t="str">
        <f t="shared" si="9"/>
        <v>jul</v>
      </c>
      <c r="GX3" t="str">
        <f t="shared" si="9"/>
        <v>jul</v>
      </c>
      <c r="GY3" t="str">
        <f t="shared" si="9"/>
        <v>jul</v>
      </c>
      <c r="GZ3" t="str">
        <f t="shared" si="9"/>
        <v>jul</v>
      </c>
      <c r="HA3" t="str">
        <f t="shared" si="9"/>
        <v>jul</v>
      </c>
      <c r="HB3" t="str">
        <f t="shared" si="9"/>
        <v>jul</v>
      </c>
      <c r="HC3" t="str">
        <f t="shared" si="9"/>
        <v>jul</v>
      </c>
      <c r="HD3" t="str">
        <f t="shared" si="9"/>
        <v>jul</v>
      </c>
      <c r="HE3" t="str">
        <f t="shared" si="9"/>
        <v>jul</v>
      </c>
      <c r="HF3" t="str">
        <f t="shared" si="9"/>
        <v>jul</v>
      </c>
      <c r="HG3" t="str">
        <f t="shared" si="9"/>
        <v>jul</v>
      </c>
      <c r="HH3" t="str">
        <f t="shared" si="9"/>
        <v>jul</v>
      </c>
      <c r="HI3" t="str">
        <f t="shared" si="9"/>
        <v>jul</v>
      </c>
      <c r="HJ3" t="str">
        <f t="shared" si="9"/>
        <v>jul</v>
      </c>
      <c r="HK3" t="str">
        <f t="shared" si="9"/>
        <v>jul</v>
      </c>
      <c r="HL3" t="str">
        <f t="shared" si="9"/>
        <v>jul</v>
      </c>
      <c r="HM3" t="str">
        <f t="shared" si="9"/>
        <v>jul</v>
      </c>
      <c r="HN3" t="str">
        <f t="shared" si="9"/>
        <v>avg</v>
      </c>
      <c r="HO3" t="str">
        <f t="shared" si="9"/>
        <v>avg</v>
      </c>
      <c r="HP3" t="str">
        <f t="shared" si="9"/>
        <v>avg</v>
      </c>
      <c r="HQ3" t="str">
        <f t="shared" si="9"/>
        <v>avg</v>
      </c>
      <c r="HR3" t="str">
        <f t="shared" si="9"/>
        <v>avg</v>
      </c>
      <c r="HS3" t="str">
        <f t="shared" si="9"/>
        <v>avg</v>
      </c>
      <c r="HT3" t="str">
        <f t="shared" si="9"/>
        <v>avg</v>
      </c>
      <c r="HU3" t="str">
        <f t="shared" si="9"/>
        <v>avg</v>
      </c>
      <c r="HV3" t="str">
        <f t="shared" si="9"/>
        <v>avg</v>
      </c>
      <c r="HW3" t="str">
        <f t="shared" si="9"/>
        <v>avg</v>
      </c>
      <c r="HX3" t="str">
        <f t="shared" si="9"/>
        <v>avg</v>
      </c>
      <c r="HY3" t="str">
        <f t="shared" si="9"/>
        <v>avg</v>
      </c>
      <c r="HZ3" t="str">
        <f t="shared" si="9"/>
        <v>avg</v>
      </c>
      <c r="IA3" t="str">
        <f t="shared" si="9"/>
        <v>avg</v>
      </c>
      <c r="IB3" t="str">
        <f t="shared" si="9"/>
        <v>avg</v>
      </c>
      <c r="IC3" t="str">
        <f t="shared" si="9"/>
        <v>avg</v>
      </c>
      <c r="ID3" t="str">
        <f t="shared" si="9"/>
        <v>avg</v>
      </c>
      <c r="IE3" t="str">
        <f t="shared" si="9"/>
        <v>avg</v>
      </c>
      <c r="IF3" t="str">
        <f t="shared" si="9"/>
        <v>avg</v>
      </c>
      <c r="IG3" t="str">
        <f t="shared" si="9"/>
        <v>avg</v>
      </c>
      <c r="IH3" t="str">
        <f t="shared" si="9"/>
        <v>avg</v>
      </c>
      <c r="II3" t="str">
        <f t="shared" si="9"/>
        <v>avg</v>
      </c>
      <c r="IJ3" t="str">
        <f t="shared" si="9"/>
        <v>avg</v>
      </c>
      <c r="IK3" t="str">
        <f t="shared" si="9"/>
        <v>avg</v>
      </c>
      <c r="IL3" t="str">
        <f t="shared" si="9"/>
        <v>avg</v>
      </c>
      <c r="IM3" t="str">
        <f t="shared" si="9"/>
        <v>avg</v>
      </c>
      <c r="IN3" t="str">
        <f t="shared" si="9"/>
        <v>avg</v>
      </c>
      <c r="IO3" t="str">
        <f t="shared" si="9"/>
        <v>avg</v>
      </c>
      <c r="IP3" t="str">
        <f t="shared" si="9"/>
        <v>avg</v>
      </c>
      <c r="IQ3" t="str">
        <f t="shared" si="9"/>
        <v>avg</v>
      </c>
      <c r="IR3" t="str">
        <f t="shared" si="9"/>
        <v>avg</v>
      </c>
      <c r="IS3" t="str">
        <f t="shared" si="9"/>
        <v>sep</v>
      </c>
      <c r="IT3" t="str">
        <f t="shared" si="9"/>
        <v>sep</v>
      </c>
      <c r="IU3" t="str">
        <f t="shared" si="9"/>
        <v>sep</v>
      </c>
      <c r="IV3" t="str">
        <f t="shared" si="9"/>
        <v>sep</v>
      </c>
      <c r="IW3" t="str">
        <f t="shared" si="9"/>
        <v>sep</v>
      </c>
      <c r="IX3" t="str">
        <f t="shared" si="9"/>
        <v>sep</v>
      </c>
      <c r="IY3" t="str">
        <f t="shared" si="9"/>
        <v>sep</v>
      </c>
      <c r="IZ3" t="str">
        <f t="shared" si="9"/>
        <v>sep</v>
      </c>
      <c r="JA3" t="str">
        <f t="shared" si="9"/>
        <v>sep</v>
      </c>
      <c r="JB3" t="str">
        <f t="shared" si="9"/>
        <v>sep</v>
      </c>
      <c r="JC3" t="str">
        <f t="shared" si="9"/>
        <v>sep</v>
      </c>
      <c r="JD3" t="str">
        <f t="shared" si="9"/>
        <v>sep</v>
      </c>
      <c r="JE3" t="str">
        <f t="shared" si="9"/>
        <v>sep</v>
      </c>
      <c r="JF3" t="str">
        <f t="shared" si="9"/>
        <v>sep</v>
      </c>
      <c r="JG3" t="str">
        <f t="shared" ref="JG3:LR3" si="10">TEXT(JG5, "mmm")</f>
        <v>sep</v>
      </c>
      <c r="JH3" t="str">
        <f t="shared" si="10"/>
        <v>sep</v>
      </c>
      <c r="JI3" t="str">
        <f t="shared" si="10"/>
        <v>sep</v>
      </c>
      <c r="JJ3" t="str">
        <f t="shared" si="10"/>
        <v>sep</v>
      </c>
      <c r="JK3" t="str">
        <f t="shared" si="10"/>
        <v>sep</v>
      </c>
      <c r="JL3" t="str">
        <f t="shared" si="10"/>
        <v>sep</v>
      </c>
      <c r="JM3" t="str">
        <f t="shared" si="10"/>
        <v>sep</v>
      </c>
      <c r="JN3" t="str">
        <f t="shared" si="10"/>
        <v>sep</v>
      </c>
      <c r="JO3" t="str">
        <f t="shared" si="10"/>
        <v>sep</v>
      </c>
      <c r="JP3" t="str">
        <f t="shared" si="10"/>
        <v>sep</v>
      </c>
      <c r="JQ3" t="str">
        <f t="shared" si="10"/>
        <v>sep</v>
      </c>
      <c r="JR3" t="str">
        <f t="shared" si="10"/>
        <v>sep</v>
      </c>
      <c r="JS3" t="str">
        <f t="shared" si="10"/>
        <v>sep</v>
      </c>
      <c r="JT3" t="str">
        <f t="shared" si="10"/>
        <v>sep</v>
      </c>
      <c r="JU3" t="str">
        <f t="shared" si="10"/>
        <v>sep</v>
      </c>
      <c r="JV3" t="str">
        <f t="shared" si="10"/>
        <v>sep</v>
      </c>
      <c r="JW3" t="str">
        <f t="shared" si="10"/>
        <v>okt</v>
      </c>
      <c r="JX3" t="str">
        <f t="shared" si="10"/>
        <v>okt</v>
      </c>
      <c r="JY3" t="str">
        <f t="shared" si="10"/>
        <v>okt</v>
      </c>
      <c r="JZ3" t="str">
        <f t="shared" si="10"/>
        <v>okt</v>
      </c>
      <c r="KA3" t="str">
        <f t="shared" si="10"/>
        <v>okt</v>
      </c>
      <c r="KB3" t="str">
        <f t="shared" si="10"/>
        <v>okt</v>
      </c>
      <c r="KC3" t="str">
        <f t="shared" si="10"/>
        <v>okt</v>
      </c>
      <c r="KD3" t="str">
        <f t="shared" si="10"/>
        <v>okt</v>
      </c>
      <c r="KE3" t="str">
        <f t="shared" si="10"/>
        <v>okt</v>
      </c>
      <c r="KF3" t="str">
        <f t="shared" si="10"/>
        <v>okt</v>
      </c>
      <c r="KG3" t="str">
        <f t="shared" si="10"/>
        <v>okt</v>
      </c>
      <c r="KH3" t="str">
        <f t="shared" si="10"/>
        <v>okt</v>
      </c>
      <c r="KI3" t="str">
        <f t="shared" si="10"/>
        <v>okt</v>
      </c>
      <c r="KJ3" t="str">
        <f t="shared" si="10"/>
        <v>okt</v>
      </c>
      <c r="KK3" t="str">
        <f t="shared" si="10"/>
        <v>okt</v>
      </c>
      <c r="KL3" t="str">
        <f t="shared" si="10"/>
        <v>okt</v>
      </c>
      <c r="KM3" t="str">
        <f t="shared" si="10"/>
        <v>okt</v>
      </c>
      <c r="KN3" t="str">
        <f t="shared" si="10"/>
        <v>okt</v>
      </c>
      <c r="KO3" t="str">
        <f t="shared" si="10"/>
        <v>okt</v>
      </c>
      <c r="KP3" t="str">
        <f t="shared" si="10"/>
        <v>okt</v>
      </c>
      <c r="KQ3" t="str">
        <f t="shared" si="10"/>
        <v>okt</v>
      </c>
      <c r="KR3" t="str">
        <f t="shared" si="10"/>
        <v>okt</v>
      </c>
      <c r="KS3" t="str">
        <f t="shared" si="10"/>
        <v>okt</v>
      </c>
      <c r="KT3" t="str">
        <f t="shared" si="10"/>
        <v>okt</v>
      </c>
      <c r="KU3" t="str">
        <f t="shared" si="10"/>
        <v>okt</v>
      </c>
      <c r="KV3" t="str">
        <f t="shared" si="10"/>
        <v>okt</v>
      </c>
      <c r="KW3" t="str">
        <f t="shared" si="10"/>
        <v>okt</v>
      </c>
      <c r="KX3" t="str">
        <f t="shared" si="10"/>
        <v>okt</v>
      </c>
      <c r="KY3" t="str">
        <f t="shared" si="10"/>
        <v>okt</v>
      </c>
      <c r="KZ3" t="str">
        <f t="shared" si="10"/>
        <v>okt</v>
      </c>
      <c r="LA3" t="str">
        <f t="shared" si="10"/>
        <v>okt</v>
      </c>
      <c r="LB3" t="str">
        <f t="shared" si="10"/>
        <v>nov</v>
      </c>
      <c r="LC3" t="str">
        <f t="shared" si="10"/>
        <v>nov</v>
      </c>
      <c r="LD3" t="str">
        <f t="shared" si="10"/>
        <v>nov</v>
      </c>
      <c r="LE3" t="str">
        <f t="shared" si="10"/>
        <v>nov</v>
      </c>
      <c r="LF3" t="str">
        <f t="shared" si="10"/>
        <v>nov</v>
      </c>
      <c r="LG3" t="str">
        <f t="shared" si="10"/>
        <v>nov</v>
      </c>
      <c r="LH3" t="str">
        <f t="shared" si="10"/>
        <v>nov</v>
      </c>
      <c r="LI3" t="str">
        <f t="shared" si="10"/>
        <v>nov</v>
      </c>
      <c r="LJ3" t="str">
        <f t="shared" si="10"/>
        <v>nov</v>
      </c>
      <c r="LK3" t="str">
        <f t="shared" si="10"/>
        <v>nov</v>
      </c>
      <c r="LL3" t="str">
        <f t="shared" si="10"/>
        <v>nov</v>
      </c>
      <c r="LM3" t="str">
        <f t="shared" si="10"/>
        <v>nov</v>
      </c>
      <c r="LN3" t="str">
        <f t="shared" si="10"/>
        <v>nov</v>
      </c>
      <c r="LO3" t="str">
        <f t="shared" si="10"/>
        <v>nov</v>
      </c>
      <c r="LP3" t="str">
        <f t="shared" si="10"/>
        <v>nov</v>
      </c>
      <c r="LQ3" t="str">
        <f t="shared" si="10"/>
        <v>nov</v>
      </c>
      <c r="LR3" t="str">
        <f t="shared" si="10"/>
        <v>nov</v>
      </c>
      <c r="LS3" t="str">
        <f t="shared" ref="LS3:NJ3" si="11">TEXT(LS5, "mmm")</f>
        <v>nov</v>
      </c>
      <c r="LT3" t="str">
        <f t="shared" si="11"/>
        <v>nov</v>
      </c>
      <c r="LU3" t="str">
        <f t="shared" si="11"/>
        <v>nov</v>
      </c>
      <c r="LV3" t="str">
        <f t="shared" si="11"/>
        <v>nov</v>
      </c>
      <c r="LW3" t="str">
        <f t="shared" si="11"/>
        <v>nov</v>
      </c>
      <c r="LX3" t="str">
        <f t="shared" si="11"/>
        <v>nov</v>
      </c>
      <c r="LY3" t="str">
        <f t="shared" si="11"/>
        <v>nov</v>
      </c>
      <c r="LZ3" t="str">
        <f t="shared" si="11"/>
        <v>nov</v>
      </c>
      <c r="MA3" t="str">
        <f t="shared" si="11"/>
        <v>nov</v>
      </c>
      <c r="MB3" t="str">
        <f t="shared" si="11"/>
        <v>nov</v>
      </c>
      <c r="MC3" t="str">
        <f t="shared" si="11"/>
        <v>nov</v>
      </c>
      <c r="MD3" t="str">
        <f t="shared" si="11"/>
        <v>nov</v>
      </c>
      <c r="ME3" t="str">
        <f t="shared" si="11"/>
        <v>nov</v>
      </c>
      <c r="MF3" t="str">
        <f t="shared" si="11"/>
        <v>dec</v>
      </c>
      <c r="MG3" t="str">
        <f t="shared" si="11"/>
        <v>dec</v>
      </c>
      <c r="MH3" t="str">
        <f t="shared" si="11"/>
        <v>dec</v>
      </c>
      <c r="MI3" t="str">
        <f t="shared" si="11"/>
        <v>dec</v>
      </c>
      <c r="MJ3" t="str">
        <f t="shared" si="11"/>
        <v>dec</v>
      </c>
      <c r="MK3" t="str">
        <f t="shared" si="11"/>
        <v>dec</v>
      </c>
      <c r="ML3" t="str">
        <f t="shared" si="11"/>
        <v>dec</v>
      </c>
      <c r="MM3" t="str">
        <f t="shared" si="11"/>
        <v>dec</v>
      </c>
      <c r="MN3" t="str">
        <f t="shared" si="11"/>
        <v>dec</v>
      </c>
      <c r="MO3" t="str">
        <f t="shared" si="11"/>
        <v>dec</v>
      </c>
      <c r="MP3" t="str">
        <f t="shared" si="11"/>
        <v>dec</v>
      </c>
      <c r="MQ3" t="str">
        <f t="shared" si="11"/>
        <v>dec</v>
      </c>
      <c r="MR3" t="str">
        <f t="shared" si="11"/>
        <v>dec</v>
      </c>
      <c r="MS3" t="str">
        <f t="shared" si="11"/>
        <v>dec</v>
      </c>
      <c r="MT3" t="str">
        <f t="shared" si="11"/>
        <v>dec</v>
      </c>
      <c r="MU3" t="str">
        <f t="shared" si="11"/>
        <v>dec</v>
      </c>
      <c r="MV3" t="str">
        <f t="shared" si="11"/>
        <v>dec</v>
      </c>
      <c r="MW3" t="str">
        <f t="shared" si="11"/>
        <v>dec</v>
      </c>
      <c r="MX3" t="str">
        <f t="shared" si="11"/>
        <v>dec</v>
      </c>
      <c r="MY3" t="str">
        <f t="shared" si="11"/>
        <v>dec</v>
      </c>
      <c r="MZ3" t="str">
        <f t="shared" si="11"/>
        <v>dec</v>
      </c>
      <c r="NA3" t="str">
        <f t="shared" si="11"/>
        <v>dec</v>
      </c>
      <c r="NB3" t="str">
        <f t="shared" si="11"/>
        <v>dec</v>
      </c>
      <c r="NC3" t="str">
        <f t="shared" si="11"/>
        <v>dec</v>
      </c>
      <c r="ND3" t="str">
        <f t="shared" si="11"/>
        <v>dec</v>
      </c>
      <c r="NE3" t="str">
        <f t="shared" si="11"/>
        <v>dec</v>
      </c>
      <c r="NF3" t="str">
        <f t="shared" si="11"/>
        <v>dec</v>
      </c>
      <c r="NG3" t="str">
        <f t="shared" si="11"/>
        <v>dec</v>
      </c>
      <c r="NH3" t="str">
        <f t="shared" si="11"/>
        <v>dec</v>
      </c>
      <c r="NI3" t="str">
        <f t="shared" si="11"/>
        <v>dec</v>
      </c>
      <c r="NJ3" t="str">
        <f t="shared" si="11"/>
        <v>dec</v>
      </c>
    </row>
    <row r="4" spans="1:374" ht="16.5" thickBot="1" x14ac:dyDescent="0.45">
      <c r="B4" s="19"/>
      <c r="C4" s="19"/>
      <c r="D4" s="19"/>
      <c r="E4" s="19"/>
      <c r="F4" s="19"/>
      <c r="G4" s="19"/>
      <c r="H4" s="5"/>
      <c r="I4" s="22"/>
      <c r="J4" t="str">
        <f>TEXT(J5, "ddd")</f>
        <v>sre</v>
      </c>
      <c r="K4" t="str">
        <f t="shared" ref="K4:N4" si="12">TEXT(K5, "ddd")</f>
        <v>čet</v>
      </c>
      <c r="L4" t="str">
        <f t="shared" si="12"/>
        <v>pet</v>
      </c>
      <c r="M4" t="str">
        <f t="shared" si="12"/>
        <v>sub</v>
      </c>
      <c r="N4" t="str">
        <f t="shared" si="12"/>
        <v>ned</v>
      </c>
      <c r="O4" t="str">
        <f t="shared" ref="O4" si="13">TEXT(O5, "ddd")</f>
        <v>pon</v>
      </c>
      <c r="P4" t="str">
        <f t="shared" ref="P4" si="14">TEXT(P5, "ddd")</f>
        <v>uto</v>
      </c>
      <c r="Q4" t="str">
        <f t="shared" ref="Q4:R4" si="15">TEXT(Q5, "ddd")</f>
        <v>sre</v>
      </c>
      <c r="R4" t="str">
        <f t="shared" si="15"/>
        <v>čet</v>
      </c>
      <c r="S4" t="str">
        <f t="shared" ref="S4" si="16">TEXT(S5, "ddd")</f>
        <v>pet</v>
      </c>
      <c r="T4" t="str">
        <f t="shared" ref="T4" si="17">TEXT(T5, "ddd")</f>
        <v>sub</v>
      </c>
      <c r="U4" t="str">
        <f t="shared" ref="U4:V4" si="18">TEXT(U5, "ddd")</f>
        <v>ned</v>
      </c>
      <c r="V4" t="str">
        <f t="shared" si="18"/>
        <v>pon</v>
      </c>
      <c r="W4" t="str">
        <f t="shared" ref="W4" si="19">TEXT(W5, "ddd")</f>
        <v>uto</v>
      </c>
      <c r="X4" t="str">
        <f t="shared" ref="X4" si="20">TEXT(X5, "ddd")</f>
        <v>sre</v>
      </c>
      <c r="Y4" t="str">
        <f t="shared" ref="Y4:Z4" si="21">TEXT(Y5, "ddd")</f>
        <v>čet</v>
      </c>
      <c r="Z4" t="str">
        <f t="shared" si="21"/>
        <v>pet</v>
      </c>
      <c r="AA4" t="str">
        <f t="shared" ref="AA4" si="22">TEXT(AA5, "ddd")</f>
        <v>sub</v>
      </c>
      <c r="AB4" t="str">
        <f t="shared" ref="AB4" si="23">TEXT(AB5, "ddd")</f>
        <v>ned</v>
      </c>
      <c r="AC4" t="str">
        <f t="shared" ref="AC4:AD4" si="24">TEXT(AC5, "ddd")</f>
        <v>pon</v>
      </c>
      <c r="AD4" t="str">
        <f t="shared" si="24"/>
        <v>uto</v>
      </c>
      <c r="AE4" t="str">
        <f t="shared" ref="AE4" si="25">TEXT(AE5, "ddd")</f>
        <v>sre</v>
      </c>
      <c r="AF4" t="str">
        <f t="shared" ref="AF4" si="26">TEXT(AF5, "ddd")</f>
        <v>čet</v>
      </c>
      <c r="AG4" t="str">
        <f t="shared" ref="AG4:AH4" si="27">TEXT(AG5, "ddd")</f>
        <v>pet</v>
      </c>
      <c r="AH4" t="str">
        <f t="shared" si="27"/>
        <v>sub</v>
      </c>
      <c r="AI4" t="str">
        <f t="shared" ref="AI4" si="28">TEXT(AI5, "ddd")</f>
        <v>ned</v>
      </c>
      <c r="AJ4" t="str">
        <f t="shared" ref="AJ4" si="29">TEXT(AJ5, "ddd")</f>
        <v>pon</v>
      </c>
      <c r="AK4" t="str">
        <f t="shared" ref="AK4:AL4" si="30">TEXT(AK5, "ddd")</f>
        <v>uto</v>
      </c>
      <c r="AL4" t="str">
        <f t="shared" si="30"/>
        <v>sre</v>
      </c>
      <c r="AM4" t="str">
        <f t="shared" ref="AM4" si="31">TEXT(AM5, "ddd")</f>
        <v>čet</v>
      </c>
      <c r="AN4" t="str">
        <f t="shared" ref="AN4" si="32">TEXT(AN5, "ddd")</f>
        <v>pet</v>
      </c>
      <c r="AO4" t="str">
        <f t="shared" ref="AO4:AP4" si="33">TEXT(AO5, "ddd")</f>
        <v>sub</v>
      </c>
      <c r="AP4" t="str">
        <f t="shared" si="33"/>
        <v>ned</v>
      </c>
      <c r="AQ4" t="str">
        <f t="shared" ref="AQ4" si="34">TEXT(AQ5, "ddd")</f>
        <v>pon</v>
      </c>
      <c r="AR4" t="str">
        <f t="shared" ref="AR4" si="35">TEXT(AR5, "ddd")</f>
        <v>uto</v>
      </c>
      <c r="AS4" t="str">
        <f t="shared" ref="AS4:AT4" si="36">TEXT(AS5, "ddd")</f>
        <v>sre</v>
      </c>
      <c r="AT4" t="str">
        <f t="shared" si="36"/>
        <v>čet</v>
      </c>
      <c r="AU4" t="str">
        <f t="shared" ref="AU4" si="37">TEXT(AU5, "ddd")</f>
        <v>pet</v>
      </c>
      <c r="AV4" t="str">
        <f t="shared" ref="AV4" si="38">TEXT(AV5, "ddd")</f>
        <v>sub</v>
      </c>
      <c r="AW4" t="str">
        <f t="shared" ref="AW4:AX4" si="39">TEXT(AW5, "ddd")</f>
        <v>ned</v>
      </c>
      <c r="AX4" t="str">
        <f t="shared" si="39"/>
        <v>pon</v>
      </c>
      <c r="AY4" t="str">
        <f t="shared" ref="AY4" si="40">TEXT(AY5, "ddd")</f>
        <v>uto</v>
      </c>
      <c r="AZ4" t="str">
        <f t="shared" ref="AZ4" si="41">TEXT(AZ5, "ddd")</f>
        <v>sre</v>
      </c>
      <c r="BA4" t="str">
        <f t="shared" ref="BA4:BB4" si="42">TEXT(BA5, "ddd")</f>
        <v>čet</v>
      </c>
      <c r="BB4" t="str">
        <f t="shared" si="42"/>
        <v>pet</v>
      </c>
      <c r="BC4" t="str">
        <f t="shared" ref="BC4" si="43">TEXT(BC5, "ddd")</f>
        <v>sub</v>
      </c>
      <c r="BD4" t="str">
        <f t="shared" ref="BD4" si="44">TEXT(BD5, "ddd")</f>
        <v>ned</v>
      </c>
      <c r="BE4" t="str">
        <f t="shared" ref="BE4:BF4" si="45">TEXT(BE5, "ddd")</f>
        <v>pon</v>
      </c>
      <c r="BF4" t="str">
        <f t="shared" si="45"/>
        <v>uto</v>
      </c>
      <c r="BG4" t="str">
        <f t="shared" ref="BG4" si="46">TEXT(BG5, "ddd")</f>
        <v>sre</v>
      </c>
      <c r="BH4" t="str">
        <f t="shared" ref="BH4" si="47">TEXT(BH5, "ddd")</f>
        <v>čet</v>
      </c>
      <c r="BI4" t="str">
        <f t="shared" ref="BI4:BJ4" si="48">TEXT(BI5, "ddd")</f>
        <v>pet</v>
      </c>
      <c r="BJ4" t="str">
        <f t="shared" si="48"/>
        <v>sub</v>
      </c>
      <c r="BK4" t="str">
        <f t="shared" ref="BK4" si="49">TEXT(BK5, "ddd")</f>
        <v>ned</v>
      </c>
      <c r="BL4" t="str">
        <f t="shared" ref="BL4" si="50">TEXT(BL5, "ddd")</f>
        <v>pon</v>
      </c>
      <c r="BM4" t="str">
        <f t="shared" ref="BM4:BN4" si="51">TEXT(BM5, "ddd")</f>
        <v>uto</v>
      </c>
      <c r="BN4" t="str">
        <f t="shared" si="51"/>
        <v>sre</v>
      </c>
      <c r="BO4" t="str">
        <f t="shared" ref="BO4" si="52">TEXT(BO5, "ddd")</f>
        <v>čet</v>
      </c>
      <c r="BP4" t="str">
        <f t="shared" ref="BP4" si="53">TEXT(BP5, "ddd")</f>
        <v>pet</v>
      </c>
      <c r="BQ4" t="str">
        <f t="shared" ref="BQ4:BR4" si="54">TEXT(BQ5, "ddd")</f>
        <v>sub</v>
      </c>
      <c r="BR4" t="str">
        <f t="shared" si="54"/>
        <v>ned</v>
      </c>
      <c r="BS4" t="str">
        <f t="shared" ref="BS4" si="55">TEXT(BS5, "ddd")</f>
        <v>pon</v>
      </c>
      <c r="BT4" t="str">
        <f t="shared" ref="BT4" si="56">TEXT(BT5, "ddd")</f>
        <v>uto</v>
      </c>
      <c r="BU4" t="str">
        <f t="shared" ref="BU4:BV4" si="57">TEXT(BU5, "ddd")</f>
        <v>sre</v>
      </c>
      <c r="BV4" t="str">
        <f t="shared" si="57"/>
        <v>čet</v>
      </c>
      <c r="BW4" t="str">
        <f t="shared" ref="BW4" si="58">TEXT(BW5, "ddd")</f>
        <v>pet</v>
      </c>
      <c r="BX4" t="str">
        <f t="shared" ref="BX4" si="59">TEXT(BX5, "ddd")</f>
        <v>sub</v>
      </c>
      <c r="BY4" t="str">
        <f t="shared" ref="BY4:BZ4" si="60">TEXT(BY5, "ddd")</f>
        <v>ned</v>
      </c>
      <c r="BZ4" t="str">
        <f t="shared" si="60"/>
        <v>pon</v>
      </c>
      <c r="CA4" t="str">
        <f t="shared" ref="CA4" si="61">TEXT(CA5, "ddd")</f>
        <v>uto</v>
      </c>
      <c r="CB4" t="str">
        <f t="shared" ref="CB4" si="62">TEXT(CB5, "ddd")</f>
        <v>sre</v>
      </c>
      <c r="CC4" t="str">
        <f t="shared" ref="CC4:CD4" si="63">TEXT(CC5, "ddd")</f>
        <v>čet</v>
      </c>
      <c r="CD4" t="str">
        <f t="shared" si="63"/>
        <v>pet</v>
      </c>
      <c r="CE4" t="str">
        <f t="shared" ref="CE4" si="64">TEXT(CE5, "ddd")</f>
        <v>sub</v>
      </c>
      <c r="CF4" t="str">
        <f t="shared" ref="CF4" si="65">TEXT(CF5, "ddd")</f>
        <v>ned</v>
      </c>
      <c r="CG4" t="str">
        <f t="shared" ref="CG4:CH4" si="66">TEXT(CG5, "ddd")</f>
        <v>pon</v>
      </c>
      <c r="CH4" t="str">
        <f t="shared" si="66"/>
        <v>uto</v>
      </c>
      <c r="CI4" t="str">
        <f t="shared" ref="CI4" si="67">TEXT(CI5, "ddd")</f>
        <v>sre</v>
      </c>
      <c r="CJ4" t="str">
        <f t="shared" ref="CJ4" si="68">TEXT(CJ5, "ddd")</f>
        <v>čet</v>
      </c>
      <c r="CK4" t="str">
        <f t="shared" ref="CK4:CL4" si="69">TEXT(CK5, "ddd")</f>
        <v>pet</v>
      </c>
      <c r="CL4" t="str">
        <f t="shared" si="69"/>
        <v>sub</v>
      </c>
      <c r="CM4" t="str">
        <f t="shared" ref="CM4" si="70">TEXT(CM5, "ddd")</f>
        <v>ned</v>
      </c>
      <c r="CN4" t="str">
        <f t="shared" ref="CN4" si="71">TEXT(CN5, "ddd")</f>
        <v>pon</v>
      </c>
      <c r="CO4" t="str">
        <f t="shared" ref="CO4:CP4" si="72">TEXT(CO5, "ddd")</f>
        <v>uto</v>
      </c>
      <c r="CP4" t="str">
        <f t="shared" si="72"/>
        <v>sre</v>
      </c>
      <c r="CQ4" t="str">
        <f t="shared" ref="CQ4" si="73">TEXT(CQ5, "ddd")</f>
        <v>čet</v>
      </c>
      <c r="CR4" t="str">
        <f t="shared" ref="CR4" si="74">TEXT(CR5, "ddd")</f>
        <v>pet</v>
      </c>
      <c r="CS4" t="str">
        <f t="shared" ref="CS4:CT4" si="75">TEXT(CS5, "ddd")</f>
        <v>sub</v>
      </c>
      <c r="CT4" t="str">
        <f t="shared" si="75"/>
        <v>ned</v>
      </c>
      <c r="CU4" t="str">
        <f t="shared" ref="CU4" si="76">TEXT(CU5, "ddd")</f>
        <v>pon</v>
      </c>
      <c r="CV4" t="str">
        <f t="shared" ref="CV4" si="77">TEXT(CV5, "ddd")</f>
        <v>uto</v>
      </c>
      <c r="CW4" t="str">
        <f t="shared" ref="CW4:CX4" si="78">TEXT(CW5, "ddd")</f>
        <v>sre</v>
      </c>
      <c r="CX4" t="str">
        <f t="shared" si="78"/>
        <v>čet</v>
      </c>
      <c r="CY4" t="str">
        <f t="shared" ref="CY4" si="79">TEXT(CY5, "ddd")</f>
        <v>pet</v>
      </c>
      <c r="CZ4" t="str">
        <f t="shared" ref="CZ4" si="80">TEXT(CZ5, "ddd")</f>
        <v>sub</v>
      </c>
      <c r="DA4" t="str">
        <f t="shared" ref="DA4:DB4" si="81">TEXT(DA5, "ddd")</f>
        <v>ned</v>
      </c>
      <c r="DB4" t="str">
        <f t="shared" si="81"/>
        <v>pon</v>
      </c>
      <c r="DC4" t="str">
        <f t="shared" ref="DC4" si="82">TEXT(DC5, "ddd")</f>
        <v>uto</v>
      </c>
      <c r="DD4" t="str">
        <f t="shared" ref="DD4" si="83">TEXT(DD5, "ddd")</f>
        <v>sre</v>
      </c>
      <c r="DE4" t="str">
        <f t="shared" ref="DE4:DF4" si="84">TEXT(DE5, "ddd")</f>
        <v>čet</v>
      </c>
      <c r="DF4" t="str">
        <f t="shared" si="84"/>
        <v>pet</v>
      </c>
      <c r="DG4" t="str">
        <f t="shared" ref="DG4" si="85">TEXT(DG5, "ddd")</f>
        <v>sub</v>
      </c>
      <c r="DH4" t="str">
        <f t="shared" ref="DH4" si="86">TEXT(DH5, "ddd")</f>
        <v>ned</v>
      </c>
      <c r="DI4" t="str">
        <f t="shared" ref="DI4:DJ4" si="87">TEXT(DI5, "ddd")</f>
        <v>pon</v>
      </c>
      <c r="DJ4" t="str">
        <f t="shared" si="87"/>
        <v>uto</v>
      </c>
      <c r="DK4" t="str">
        <f t="shared" ref="DK4" si="88">TEXT(DK5, "ddd")</f>
        <v>sre</v>
      </c>
      <c r="DL4" t="str">
        <f t="shared" ref="DL4" si="89">TEXT(DL5, "ddd")</f>
        <v>čet</v>
      </c>
      <c r="DM4" t="str">
        <f t="shared" ref="DM4:DN4" si="90">TEXT(DM5, "ddd")</f>
        <v>pet</v>
      </c>
      <c r="DN4" t="str">
        <f t="shared" si="90"/>
        <v>sub</v>
      </c>
      <c r="DO4" t="str">
        <f t="shared" ref="DO4" si="91">TEXT(DO5, "ddd")</f>
        <v>ned</v>
      </c>
      <c r="DP4" t="str">
        <f t="shared" ref="DP4" si="92">TEXT(DP5, "ddd")</f>
        <v>pon</v>
      </c>
      <c r="DQ4" t="str">
        <f t="shared" ref="DQ4:DR4" si="93">TEXT(DQ5, "ddd")</f>
        <v>uto</v>
      </c>
      <c r="DR4" t="str">
        <f t="shared" si="93"/>
        <v>sre</v>
      </c>
      <c r="DS4" t="str">
        <f t="shared" ref="DS4" si="94">TEXT(DS5, "ddd")</f>
        <v>čet</v>
      </c>
      <c r="DT4" t="str">
        <f t="shared" ref="DT4" si="95">TEXT(DT5, "ddd")</f>
        <v>pet</v>
      </c>
      <c r="DU4" t="str">
        <f t="shared" ref="DU4:DV4" si="96">TEXT(DU5, "ddd")</f>
        <v>sub</v>
      </c>
      <c r="DV4" t="str">
        <f t="shared" si="96"/>
        <v>ned</v>
      </c>
      <c r="DW4" t="str">
        <f t="shared" ref="DW4" si="97">TEXT(DW5, "ddd")</f>
        <v>pon</v>
      </c>
      <c r="DX4" t="str">
        <f t="shared" ref="DX4" si="98">TEXT(DX5, "ddd")</f>
        <v>uto</v>
      </c>
      <c r="DY4" t="str">
        <f t="shared" ref="DY4:DZ4" si="99">TEXT(DY5, "ddd")</f>
        <v>sre</v>
      </c>
      <c r="DZ4" t="str">
        <f t="shared" si="99"/>
        <v>čet</v>
      </c>
      <c r="EA4" t="str">
        <f t="shared" ref="EA4" si="100">TEXT(EA5, "ddd")</f>
        <v>pet</v>
      </c>
      <c r="EB4" t="str">
        <f t="shared" ref="EB4" si="101">TEXT(EB5, "ddd")</f>
        <v>sub</v>
      </c>
      <c r="EC4" t="str">
        <f t="shared" ref="EC4:ED4" si="102">TEXT(EC5, "ddd")</f>
        <v>ned</v>
      </c>
      <c r="ED4" t="str">
        <f t="shared" si="102"/>
        <v>pon</v>
      </c>
      <c r="EE4" t="str">
        <f t="shared" ref="EE4" si="103">TEXT(EE5, "ddd")</f>
        <v>uto</v>
      </c>
      <c r="EF4" t="str">
        <f t="shared" ref="EF4" si="104">TEXT(EF5, "ddd")</f>
        <v>sre</v>
      </c>
      <c r="EG4" t="str">
        <f t="shared" ref="EG4:EH4" si="105">TEXT(EG5, "ddd")</f>
        <v>čet</v>
      </c>
      <c r="EH4" t="str">
        <f t="shared" si="105"/>
        <v>pet</v>
      </c>
      <c r="EI4" t="str">
        <f t="shared" ref="EI4" si="106">TEXT(EI5, "ddd")</f>
        <v>sub</v>
      </c>
      <c r="EJ4" t="str">
        <f t="shared" ref="EJ4" si="107">TEXT(EJ5, "ddd")</f>
        <v>ned</v>
      </c>
      <c r="EK4" t="str">
        <f t="shared" ref="EK4:EL4" si="108">TEXT(EK5, "ddd")</f>
        <v>pon</v>
      </c>
      <c r="EL4" t="str">
        <f t="shared" si="108"/>
        <v>uto</v>
      </c>
      <c r="EM4" t="str">
        <f t="shared" ref="EM4" si="109">TEXT(EM5, "ddd")</f>
        <v>sre</v>
      </c>
      <c r="EN4" t="str">
        <f t="shared" ref="EN4" si="110">TEXT(EN5, "ddd")</f>
        <v>čet</v>
      </c>
      <c r="EO4" t="str">
        <f t="shared" ref="EO4:EP4" si="111">TEXT(EO5, "ddd")</f>
        <v>pet</v>
      </c>
      <c r="EP4" t="str">
        <f t="shared" si="111"/>
        <v>sub</v>
      </c>
      <c r="EQ4" t="str">
        <f t="shared" ref="EQ4" si="112">TEXT(EQ5, "ddd")</f>
        <v>ned</v>
      </c>
      <c r="ER4" t="str">
        <f t="shared" ref="ER4" si="113">TEXT(ER5, "ddd")</f>
        <v>pon</v>
      </c>
      <c r="ES4" t="str">
        <f t="shared" ref="ES4:ET4" si="114">TEXT(ES5, "ddd")</f>
        <v>uto</v>
      </c>
      <c r="ET4" t="str">
        <f t="shared" si="114"/>
        <v>sre</v>
      </c>
      <c r="EU4" t="str">
        <f t="shared" ref="EU4" si="115">TEXT(EU5, "ddd")</f>
        <v>čet</v>
      </c>
      <c r="EV4" t="str">
        <f t="shared" ref="EV4" si="116">TEXT(EV5, "ddd")</f>
        <v>pet</v>
      </c>
      <c r="EW4" t="str">
        <f t="shared" ref="EW4:EX4" si="117">TEXT(EW5, "ddd")</f>
        <v>sub</v>
      </c>
      <c r="EX4" t="str">
        <f t="shared" si="117"/>
        <v>ned</v>
      </c>
      <c r="EY4" t="str">
        <f t="shared" ref="EY4" si="118">TEXT(EY5, "ddd")</f>
        <v>pon</v>
      </c>
      <c r="EZ4" t="str">
        <f t="shared" ref="EZ4" si="119">TEXT(EZ5, "ddd")</f>
        <v>uto</v>
      </c>
      <c r="FA4" t="str">
        <f t="shared" ref="FA4:FB4" si="120">TEXT(FA5, "ddd")</f>
        <v>sre</v>
      </c>
      <c r="FB4" t="str">
        <f t="shared" si="120"/>
        <v>čet</v>
      </c>
      <c r="FC4" t="str">
        <f t="shared" ref="FC4" si="121">TEXT(FC5, "ddd")</f>
        <v>pet</v>
      </c>
      <c r="FD4" t="str">
        <f t="shared" ref="FD4" si="122">TEXT(FD5, "ddd")</f>
        <v>sub</v>
      </c>
      <c r="FE4" t="str">
        <f t="shared" ref="FE4:FF4" si="123">TEXT(FE5, "ddd")</f>
        <v>ned</v>
      </c>
      <c r="FF4" t="str">
        <f t="shared" si="123"/>
        <v>pon</v>
      </c>
      <c r="FG4" t="str">
        <f t="shared" ref="FG4" si="124">TEXT(FG5, "ddd")</f>
        <v>uto</v>
      </c>
      <c r="FH4" t="str">
        <f t="shared" ref="FH4" si="125">TEXT(FH5, "ddd")</f>
        <v>sre</v>
      </c>
      <c r="FI4" t="str">
        <f t="shared" ref="FI4:FJ4" si="126">TEXT(FI5, "ddd")</f>
        <v>čet</v>
      </c>
      <c r="FJ4" t="str">
        <f t="shared" si="126"/>
        <v>pet</v>
      </c>
      <c r="FK4" t="str">
        <f t="shared" ref="FK4" si="127">TEXT(FK5, "ddd")</f>
        <v>sub</v>
      </c>
      <c r="FL4" t="str">
        <f t="shared" ref="FL4" si="128">TEXT(FL5, "ddd")</f>
        <v>ned</v>
      </c>
      <c r="FM4" t="str">
        <f t="shared" ref="FM4:FN4" si="129">TEXT(FM5, "ddd")</f>
        <v>pon</v>
      </c>
      <c r="FN4" t="str">
        <f t="shared" si="129"/>
        <v>uto</v>
      </c>
      <c r="FO4" t="str">
        <f t="shared" ref="FO4" si="130">TEXT(FO5, "ddd")</f>
        <v>sre</v>
      </c>
      <c r="FP4" t="str">
        <f t="shared" ref="FP4" si="131">TEXT(FP5, "ddd")</f>
        <v>čet</v>
      </c>
      <c r="FQ4" t="str">
        <f t="shared" ref="FQ4:FR4" si="132">TEXT(FQ5, "ddd")</f>
        <v>pet</v>
      </c>
      <c r="FR4" t="str">
        <f t="shared" si="132"/>
        <v>sub</v>
      </c>
      <c r="FS4" t="str">
        <f t="shared" ref="FS4" si="133">TEXT(FS5, "ddd")</f>
        <v>ned</v>
      </c>
      <c r="FT4" t="str">
        <f t="shared" ref="FT4" si="134">TEXT(FT5, "ddd")</f>
        <v>pon</v>
      </c>
      <c r="FU4" t="str">
        <f t="shared" ref="FU4:FV4" si="135">TEXT(FU5, "ddd")</f>
        <v>uto</v>
      </c>
      <c r="FV4" t="str">
        <f t="shared" si="135"/>
        <v>sre</v>
      </c>
      <c r="FW4" t="str">
        <f t="shared" ref="FW4" si="136">TEXT(FW5, "ddd")</f>
        <v>čet</v>
      </c>
      <c r="FX4" t="str">
        <f t="shared" ref="FX4" si="137">TEXT(FX5, "ddd")</f>
        <v>pet</v>
      </c>
      <c r="FY4" t="str">
        <f t="shared" ref="FY4:FZ4" si="138">TEXT(FY5, "ddd")</f>
        <v>sub</v>
      </c>
      <c r="FZ4" t="str">
        <f t="shared" si="138"/>
        <v>ned</v>
      </c>
      <c r="GA4" t="str">
        <f t="shared" ref="GA4" si="139">TEXT(GA5, "ddd")</f>
        <v>pon</v>
      </c>
      <c r="GB4" t="str">
        <f t="shared" ref="GB4" si="140">TEXT(GB5, "ddd")</f>
        <v>uto</v>
      </c>
      <c r="GC4" t="str">
        <f t="shared" ref="GC4:GD4" si="141">TEXT(GC5, "ddd")</f>
        <v>sre</v>
      </c>
      <c r="GD4" t="str">
        <f t="shared" si="141"/>
        <v>čet</v>
      </c>
      <c r="GE4" t="str">
        <f t="shared" ref="GE4" si="142">TEXT(GE5, "ddd")</f>
        <v>pet</v>
      </c>
      <c r="GF4" t="str">
        <f t="shared" ref="GF4" si="143">TEXT(GF5, "ddd")</f>
        <v>sub</v>
      </c>
      <c r="GG4" t="str">
        <f t="shared" ref="GG4:GH4" si="144">TEXT(GG5, "ddd")</f>
        <v>ned</v>
      </c>
      <c r="GH4" t="str">
        <f t="shared" si="144"/>
        <v>pon</v>
      </c>
      <c r="GI4" t="str">
        <f t="shared" ref="GI4" si="145">TEXT(GI5, "ddd")</f>
        <v>uto</v>
      </c>
      <c r="GJ4" t="str">
        <f t="shared" ref="GJ4" si="146">TEXT(GJ5, "ddd")</f>
        <v>sre</v>
      </c>
      <c r="GK4" t="str">
        <f t="shared" ref="GK4:GL4" si="147">TEXT(GK5, "ddd")</f>
        <v>čet</v>
      </c>
      <c r="GL4" t="str">
        <f t="shared" si="147"/>
        <v>pet</v>
      </c>
      <c r="GM4" t="str">
        <f t="shared" ref="GM4" si="148">TEXT(GM5, "ddd")</f>
        <v>sub</v>
      </c>
      <c r="GN4" t="str">
        <f t="shared" ref="GN4" si="149">TEXT(GN5, "ddd")</f>
        <v>ned</v>
      </c>
      <c r="GO4" t="str">
        <f t="shared" ref="GO4:GP4" si="150">TEXT(GO5, "ddd")</f>
        <v>pon</v>
      </c>
      <c r="GP4" t="str">
        <f t="shared" si="150"/>
        <v>uto</v>
      </c>
      <c r="GQ4" t="str">
        <f t="shared" ref="GQ4:GR4" si="151">TEXT(GQ5, "ddd")</f>
        <v>sre</v>
      </c>
      <c r="GR4" t="str">
        <f t="shared" si="151"/>
        <v>čet</v>
      </c>
      <c r="GS4" t="str">
        <f t="shared" ref="GS4" si="152">TEXT(GS5, "ddd")</f>
        <v>pet</v>
      </c>
      <c r="GT4" t="str">
        <f t="shared" ref="GT4" si="153">TEXT(GT5, "ddd")</f>
        <v>sub</v>
      </c>
      <c r="GU4" t="str">
        <f t="shared" ref="GU4" si="154">TEXT(GU5, "ddd")</f>
        <v>ned</v>
      </c>
      <c r="GV4" t="str">
        <f t="shared" ref="GV4" si="155">TEXT(GV5, "ddd")</f>
        <v>pon</v>
      </c>
      <c r="GW4" t="str">
        <f t="shared" ref="GW4" si="156">TEXT(GW5, "ddd")</f>
        <v>uto</v>
      </c>
      <c r="GX4" t="str">
        <f t="shared" ref="GX4" si="157">TEXT(GX5, "ddd")</f>
        <v>sre</v>
      </c>
      <c r="GY4" t="str">
        <f t="shared" ref="GY4" si="158">TEXT(GY5, "ddd")</f>
        <v>čet</v>
      </c>
      <c r="GZ4" t="str">
        <f t="shared" ref="GZ4" si="159">TEXT(GZ5, "ddd")</f>
        <v>pet</v>
      </c>
      <c r="HA4" t="str">
        <f t="shared" ref="HA4" si="160">TEXT(HA5, "ddd")</f>
        <v>sub</v>
      </c>
      <c r="HB4" t="str">
        <f t="shared" ref="HB4" si="161">TEXT(HB5, "ddd")</f>
        <v>ned</v>
      </c>
      <c r="HC4" t="str">
        <f t="shared" ref="HC4" si="162">TEXT(HC5, "ddd")</f>
        <v>pon</v>
      </c>
      <c r="HD4" t="str">
        <f t="shared" ref="HD4" si="163">TEXT(HD5, "ddd")</f>
        <v>uto</v>
      </c>
      <c r="HE4" t="str">
        <f t="shared" ref="HE4" si="164">TEXT(HE5, "ddd")</f>
        <v>sre</v>
      </c>
      <c r="HF4" t="str">
        <f t="shared" ref="HF4" si="165">TEXT(HF5, "ddd")</f>
        <v>čet</v>
      </c>
      <c r="HG4" t="str">
        <f t="shared" ref="HG4" si="166">TEXT(HG5, "ddd")</f>
        <v>pet</v>
      </c>
      <c r="HH4" t="str">
        <f t="shared" ref="HH4" si="167">TEXT(HH5, "ddd")</f>
        <v>sub</v>
      </c>
      <c r="HI4" t="str">
        <f t="shared" ref="HI4" si="168">TEXT(HI5, "ddd")</f>
        <v>ned</v>
      </c>
      <c r="HJ4" t="str">
        <f t="shared" ref="HJ4" si="169">TEXT(HJ5, "ddd")</f>
        <v>pon</v>
      </c>
      <c r="HK4" t="str">
        <f t="shared" ref="HK4" si="170">TEXT(HK5, "ddd")</f>
        <v>uto</v>
      </c>
      <c r="HL4" t="str">
        <f t="shared" ref="HL4" si="171">TEXT(HL5, "ddd")</f>
        <v>sre</v>
      </c>
      <c r="HM4" t="str">
        <f t="shared" ref="HM4" si="172">TEXT(HM5, "ddd")</f>
        <v>čet</v>
      </c>
      <c r="HN4" t="str">
        <f t="shared" ref="HN4" si="173">TEXT(HN5, "ddd")</f>
        <v>pet</v>
      </c>
      <c r="HO4" t="str">
        <f t="shared" ref="HO4" si="174">TEXT(HO5, "ddd")</f>
        <v>sub</v>
      </c>
      <c r="HP4" t="str">
        <f t="shared" ref="HP4" si="175">TEXT(HP5, "ddd")</f>
        <v>ned</v>
      </c>
      <c r="HQ4" t="str">
        <f t="shared" ref="HQ4" si="176">TEXT(HQ5, "ddd")</f>
        <v>pon</v>
      </c>
      <c r="HR4" t="str">
        <f t="shared" ref="HR4" si="177">TEXT(HR5, "ddd")</f>
        <v>uto</v>
      </c>
      <c r="HS4" t="str">
        <f t="shared" ref="HS4" si="178">TEXT(HS5, "ddd")</f>
        <v>sre</v>
      </c>
      <c r="HT4" t="str">
        <f t="shared" ref="HT4" si="179">TEXT(HT5, "ddd")</f>
        <v>čet</v>
      </c>
      <c r="HU4" t="str">
        <f t="shared" ref="HU4" si="180">TEXT(HU5, "ddd")</f>
        <v>pet</v>
      </c>
      <c r="HV4" t="str">
        <f t="shared" ref="HV4" si="181">TEXT(HV5, "ddd")</f>
        <v>sub</v>
      </c>
      <c r="HW4" t="str">
        <f t="shared" ref="HW4" si="182">TEXT(HW5, "ddd")</f>
        <v>ned</v>
      </c>
      <c r="HX4" t="str">
        <f t="shared" ref="HX4" si="183">TEXT(HX5, "ddd")</f>
        <v>pon</v>
      </c>
      <c r="HY4" t="str">
        <f t="shared" ref="HY4" si="184">TEXT(HY5, "ddd")</f>
        <v>uto</v>
      </c>
      <c r="HZ4" t="str">
        <f t="shared" ref="HZ4" si="185">TEXT(HZ5, "ddd")</f>
        <v>sre</v>
      </c>
      <c r="IA4" t="str">
        <f t="shared" ref="IA4" si="186">TEXT(IA5, "ddd")</f>
        <v>čet</v>
      </c>
      <c r="IB4" t="str">
        <f t="shared" ref="IB4" si="187">TEXT(IB5, "ddd")</f>
        <v>pet</v>
      </c>
      <c r="IC4" t="str">
        <f t="shared" ref="IC4" si="188">TEXT(IC5, "ddd")</f>
        <v>sub</v>
      </c>
      <c r="ID4" t="str">
        <f t="shared" ref="ID4" si="189">TEXT(ID5, "ddd")</f>
        <v>ned</v>
      </c>
      <c r="IE4" t="str">
        <f t="shared" ref="IE4" si="190">TEXT(IE5, "ddd")</f>
        <v>pon</v>
      </c>
      <c r="IF4" t="str">
        <f t="shared" ref="IF4" si="191">TEXT(IF5, "ddd")</f>
        <v>uto</v>
      </c>
      <c r="IG4" t="str">
        <f t="shared" ref="IG4" si="192">TEXT(IG5, "ddd")</f>
        <v>sre</v>
      </c>
      <c r="IH4" t="str">
        <f t="shared" ref="IH4" si="193">TEXT(IH5, "ddd")</f>
        <v>čet</v>
      </c>
      <c r="II4" t="str">
        <f t="shared" ref="II4" si="194">TEXT(II5, "ddd")</f>
        <v>pet</v>
      </c>
      <c r="IJ4" t="str">
        <f t="shared" ref="IJ4" si="195">TEXT(IJ5, "ddd")</f>
        <v>sub</v>
      </c>
      <c r="IK4" t="str">
        <f t="shared" ref="IK4" si="196">TEXT(IK5, "ddd")</f>
        <v>ned</v>
      </c>
      <c r="IL4" t="str">
        <f t="shared" ref="IL4" si="197">TEXT(IL5, "ddd")</f>
        <v>pon</v>
      </c>
      <c r="IM4" t="str">
        <f t="shared" ref="IM4" si="198">TEXT(IM5, "ddd")</f>
        <v>uto</v>
      </c>
      <c r="IN4" t="str">
        <f t="shared" ref="IN4" si="199">TEXT(IN5, "ddd")</f>
        <v>sre</v>
      </c>
      <c r="IO4" t="str">
        <f t="shared" ref="IO4" si="200">TEXT(IO5, "ddd")</f>
        <v>čet</v>
      </c>
      <c r="IP4" t="str">
        <f t="shared" ref="IP4" si="201">TEXT(IP5, "ddd")</f>
        <v>pet</v>
      </c>
      <c r="IQ4" t="str">
        <f t="shared" ref="IQ4" si="202">TEXT(IQ5, "ddd")</f>
        <v>sub</v>
      </c>
      <c r="IR4" t="str">
        <f t="shared" ref="IR4" si="203">TEXT(IR5, "ddd")</f>
        <v>ned</v>
      </c>
      <c r="IS4" t="str">
        <f t="shared" ref="IS4" si="204">TEXT(IS5, "ddd")</f>
        <v>pon</v>
      </c>
      <c r="IT4" t="str">
        <f t="shared" ref="IT4" si="205">TEXT(IT5, "ddd")</f>
        <v>uto</v>
      </c>
      <c r="IU4" t="str">
        <f t="shared" ref="IU4" si="206">TEXT(IU5, "ddd")</f>
        <v>sre</v>
      </c>
      <c r="IV4" t="str">
        <f t="shared" ref="IV4" si="207">TEXT(IV5, "ddd")</f>
        <v>čet</v>
      </c>
      <c r="IW4" t="str">
        <f t="shared" ref="IW4" si="208">TEXT(IW5, "ddd")</f>
        <v>pet</v>
      </c>
      <c r="IX4" t="str">
        <f t="shared" ref="IX4" si="209">TEXT(IX5, "ddd")</f>
        <v>sub</v>
      </c>
      <c r="IY4" t="str">
        <f t="shared" ref="IY4" si="210">TEXT(IY5, "ddd")</f>
        <v>ned</v>
      </c>
      <c r="IZ4" t="str">
        <f t="shared" ref="IZ4" si="211">TEXT(IZ5, "ddd")</f>
        <v>pon</v>
      </c>
      <c r="JA4" t="str">
        <f t="shared" ref="JA4" si="212">TEXT(JA5, "ddd")</f>
        <v>uto</v>
      </c>
      <c r="JB4" t="str">
        <f t="shared" ref="JB4" si="213">TEXT(JB5, "ddd")</f>
        <v>sre</v>
      </c>
      <c r="JC4" t="str">
        <f t="shared" ref="JC4" si="214">TEXT(JC5, "ddd")</f>
        <v>čet</v>
      </c>
      <c r="JD4" t="str">
        <f t="shared" ref="JD4" si="215">TEXT(JD5, "ddd")</f>
        <v>pet</v>
      </c>
      <c r="JE4" t="str">
        <f t="shared" ref="JE4" si="216">TEXT(JE5, "ddd")</f>
        <v>sub</v>
      </c>
      <c r="JF4" t="str">
        <f t="shared" ref="JF4" si="217">TEXT(JF5, "ddd")</f>
        <v>ned</v>
      </c>
      <c r="JG4" t="str">
        <f t="shared" ref="JG4" si="218">TEXT(JG5, "ddd")</f>
        <v>pon</v>
      </c>
      <c r="JH4" t="str">
        <f t="shared" ref="JH4" si="219">TEXT(JH5, "ddd")</f>
        <v>uto</v>
      </c>
      <c r="JI4" t="str">
        <f t="shared" ref="JI4" si="220">TEXT(JI5, "ddd")</f>
        <v>sre</v>
      </c>
      <c r="JJ4" t="str">
        <f t="shared" ref="JJ4" si="221">TEXT(JJ5, "ddd")</f>
        <v>čet</v>
      </c>
      <c r="JK4" t="str">
        <f t="shared" ref="JK4" si="222">TEXT(JK5, "ddd")</f>
        <v>pet</v>
      </c>
      <c r="JL4" t="str">
        <f t="shared" ref="JL4" si="223">TEXT(JL5, "ddd")</f>
        <v>sub</v>
      </c>
      <c r="JM4" t="str">
        <f t="shared" ref="JM4" si="224">TEXT(JM5, "ddd")</f>
        <v>ned</v>
      </c>
      <c r="JN4" t="str">
        <f t="shared" ref="JN4" si="225">TEXT(JN5, "ddd")</f>
        <v>pon</v>
      </c>
      <c r="JO4" t="str">
        <f t="shared" ref="JO4" si="226">TEXT(JO5, "ddd")</f>
        <v>uto</v>
      </c>
      <c r="JP4" t="str">
        <f t="shared" ref="JP4" si="227">TEXT(JP5, "ddd")</f>
        <v>sre</v>
      </c>
      <c r="JQ4" t="str">
        <f t="shared" ref="JQ4" si="228">TEXT(JQ5, "ddd")</f>
        <v>čet</v>
      </c>
      <c r="JR4" t="str">
        <f t="shared" ref="JR4" si="229">TEXT(JR5, "ddd")</f>
        <v>pet</v>
      </c>
      <c r="JS4" t="str">
        <f t="shared" ref="JS4" si="230">TEXT(JS5, "ddd")</f>
        <v>sub</v>
      </c>
      <c r="JT4" t="str">
        <f t="shared" ref="JT4" si="231">TEXT(JT5, "ddd")</f>
        <v>ned</v>
      </c>
      <c r="JU4" t="str">
        <f t="shared" ref="JU4" si="232">TEXT(JU5, "ddd")</f>
        <v>pon</v>
      </c>
      <c r="JV4" t="str">
        <f t="shared" ref="JV4" si="233">TEXT(JV5, "ddd")</f>
        <v>uto</v>
      </c>
      <c r="JW4" t="str">
        <f t="shared" ref="JW4" si="234">TEXT(JW5, "ddd")</f>
        <v>sre</v>
      </c>
      <c r="JX4" t="str">
        <f t="shared" ref="JX4" si="235">TEXT(JX5, "ddd")</f>
        <v>čet</v>
      </c>
      <c r="JY4" t="str">
        <f t="shared" ref="JY4" si="236">TEXT(JY5, "ddd")</f>
        <v>pet</v>
      </c>
      <c r="JZ4" t="str">
        <f t="shared" ref="JZ4" si="237">TEXT(JZ5, "ddd")</f>
        <v>sub</v>
      </c>
      <c r="KA4" t="str">
        <f t="shared" ref="KA4" si="238">TEXT(KA5, "ddd")</f>
        <v>ned</v>
      </c>
      <c r="KB4" t="str">
        <f t="shared" ref="KB4" si="239">TEXT(KB5, "ddd")</f>
        <v>pon</v>
      </c>
      <c r="KC4" t="str">
        <f t="shared" ref="KC4" si="240">TEXT(KC5, "ddd")</f>
        <v>uto</v>
      </c>
      <c r="KD4" t="str">
        <f t="shared" ref="KD4" si="241">TEXT(KD5, "ddd")</f>
        <v>sre</v>
      </c>
      <c r="KE4" t="str">
        <f t="shared" ref="KE4" si="242">TEXT(KE5, "ddd")</f>
        <v>čet</v>
      </c>
      <c r="KF4" t="str">
        <f t="shared" ref="KF4" si="243">TEXT(KF5, "ddd")</f>
        <v>pet</v>
      </c>
      <c r="KG4" t="str">
        <f t="shared" ref="KG4" si="244">TEXT(KG5, "ddd")</f>
        <v>sub</v>
      </c>
      <c r="KH4" t="str">
        <f t="shared" ref="KH4" si="245">TEXT(KH5, "ddd")</f>
        <v>ned</v>
      </c>
      <c r="KI4" t="str">
        <f t="shared" ref="KI4" si="246">TEXT(KI5, "ddd")</f>
        <v>pon</v>
      </c>
      <c r="KJ4" t="str">
        <f t="shared" ref="KJ4" si="247">TEXT(KJ5, "ddd")</f>
        <v>uto</v>
      </c>
      <c r="KK4" t="str">
        <f t="shared" ref="KK4" si="248">TEXT(KK5, "ddd")</f>
        <v>sre</v>
      </c>
      <c r="KL4" t="str">
        <f t="shared" ref="KL4" si="249">TEXT(KL5, "ddd")</f>
        <v>čet</v>
      </c>
      <c r="KM4" t="str">
        <f t="shared" ref="KM4" si="250">TEXT(KM5, "ddd")</f>
        <v>pet</v>
      </c>
      <c r="KN4" t="str">
        <f t="shared" ref="KN4" si="251">TEXT(KN5, "ddd")</f>
        <v>sub</v>
      </c>
      <c r="KO4" t="str">
        <f t="shared" ref="KO4" si="252">TEXT(KO5, "ddd")</f>
        <v>ned</v>
      </c>
      <c r="KP4" t="str">
        <f t="shared" ref="KP4" si="253">TEXT(KP5, "ddd")</f>
        <v>pon</v>
      </c>
      <c r="KQ4" t="str">
        <f t="shared" ref="KQ4" si="254">TEXT(KQ5, "ddd")</f>
        <v>uto</v>
      </c>
      <c r="KR4" t="str">
        <f t="shared" ref="KR4" si="255">TEXT(KR5, "ddd")</f>
        <v>sre</v>
      </c>
      <c r="KS4" t="str">
        <f t="shared" ref="KS4" si="256">TEXT(KS5, "ddd")</f>
        <v>čet</v>
      </c>
      <c r="KT4" t="str">
        <f t="shared" ref="KT4" si="257">TEXT(KT5, "ddd")</f>
        <v>pet</v>
      </c>
      <c r="KU4" t="str">
        <f t="shared" ref="KU4" si="258">TEXT(KU5, "ddd")</f>
        <v>sub</v>
      </c>
      <c r="KV4" t="str">
        <f t="shared" ref="KV4" si="259">TEXT(KV5, "ddd")</f>
        <v>ned</v>
      </c>
      <c r="KW4" t="str">
        <f t="shared" ref="KW4" si="260">TEXT(KW5, "ddd")</f>
        <v>pon</v>
      </c>
      <c r="KX4" t="str">
        <f t="shared" ref="KX4" si="261">TEXT(KX5, "ddd")</f>
        <v>uto</v>
      </c>
      <c r="KY4" t="str">
        <f t="shared" ref="KY4" si="262">TEXT(KY5, "ddd")</f>
        <v>sre</v>
      </c>
      <c r="KZ4" t="str">
        <f t="shared" ref="KZ4" si="263">TEXT(KZ5, "ddd")</f>
        <v>čet</v>
      </c>
      <c r="LA4" t="str">
        <f t="shared" ref="LA4" si="264">TEXT(LA5, "ddd")</f>
        <v>pet</v>
      </c>
      <c r="LB4" t="str">
        <f t="shared" ref="LB4" si="265">TEXT(LB5, "ddd")</f>
        <v>sub</v>
      </c>
      <c r="LC4" t="str">
        <f t="shared" ref="LC4" si="266">TEXT(LC5, "ddd")</f>
        <v>ned</v>
      </c>
      <c r="LD4" t="str">
        <f t="shared" ref="LD4" si="267">TEXT(LD5, "ddd")</f>
        <v>pon</v>
      </c>
      <c r="LE4" t="str">
        <f t="shared" ref="LE4" si="268">TEXT(LE5, "ddd")</f>
        <v>uto</v>
      </c>
      <c r="LF4" t="str">
        <f t="shared" ref="LF4" si="269">TEXT(LF5, "ddd")</f>
        <v>sre</v>
      </c>
      <c r="LG4" t="str">
        <f t="shared" ref="LG4" si="270">TEXT(LG5, "ddd")</f>
        <v>čet</v>
      </c>
      <c r="LH4" t="str">
        <f t="shared" ref="LH4" si="271">TEXT(LH5, "ddd")</f>
        <v>pet</v>
      </c>
      <c r="LI4" t="str">
        <f t="shared" ref="LI4" si="272">TEXT(LI5, "ddd")</f>
        <v>sub</v>
      </c>
      <c r="LJ4" t="str">
        <f t="shared" ref="LJ4" si="273">TEXT(LJ5, "ddd")</f>
        <v>ned</v>
      </c>
      <c r="LK4" t="str">
        <f t="shared" ref="LK4" si="274">TEXT(LK5, "ddd")</f>
        <v>pon</v>
      </c>
      <c r="LL4" t="str">
        <f t="shared" ref="LL4" si="275">TEXT(LL5, "ddd")</f>
        <v>uto</v>
      </c>
      <c r="LM4" t="str">
        <f t="shared" ref="LM4" si="276">TEXT(LM5, "ddd")</f>
        <v>sre</v>
      </c>
      <c r="LN4" t="str">
        <f t="shared" ref="LN4" si="277">TEXT(LN5, "ddd")</f>
        <v>čet</v>
      </c>
      <c r="LO4" t="str">
        <f t="shared" ref="LO4" si="278">TEXT(LO5, "ddd")</f>
        <v>pet</v>
      </c>
      <c r="LP4" t="str">
        <f t="shared" ref="LP4" si="279">TEXT(LP5, "ddd")</f>
        <v>sub</v>
      </c>
      <c r="LQ4" t="str">
        <f t="shared" ref="LQ4" si="280">TEXT(LQ5, "ddd")</f>
        <v>ned</v>
      </c>
      <c r="LR4" t="str">
        <f t="shared" ref="LR4" si="281">TEXT(LR5, "ddd")</f>
        <v>pon</v>
      </c>
      <c r="LS4" t="str">
        <f t="shared" ref="LS4" si="282">TEXT(LS5, "ddd")</f>
        <v>uto</v>
      </c>
      <c r="LT4" t="str">
        <f t="shared" ref="LT4" si="283">TEXT(LT5, "ddd")</f>
        <v>sre</v>
      </c>
      <c r="LU4" t="str">
        <f t="shared" ref="LU4" si="284">TEXT(LU5, "ddd")</f>
        <v>čet</v>
      </c>
      <c r="LV4" t="str">
        <f t="shared" ref="LV4" si="285">TEXT(LV5, "ddd")</f>
        <v>pet</v>
      </c>
      <c r="LW4" t="str">
        <f t="shared" ref="LW4" si="286">TEXT(LW5, "ddd")</f>
        <v>sub</v>
      </c>
      <c r="LX4" t="str">
        <f t="shared" ref="LX4" si="287">TEXT(LX5, "ddd")</f>
        <v>ned</v>
      </c>
      <c r="LY4" t="str">
        <f t="shared" ref="LY4" si="288">TEXT(LY5, "ddd")</f>
        <v>pon</v>
      </c>
      <c r="LZ4" t="str">
        <f t="shared" ref="LZ4" si="289">TEXT(LZ5, "ddd")</f>
        <v>uto</v>
      </c>
      <c r="MA4" t="str">
        <f t="shared" ref="MA4" si="290">TEXT(MA5, "ddd")</f>
        <v>sre</v>
      </c>
      <c r="MB4" t="str">
        <f t="shared" ref="MB4" si="291">TEXT(MB5, "ddd")</f>
        <v>čet</v>
      </c>
      <c r="MC4" t="str">
        <f t="shared" ref="MC4" si="292">TEXT(MC5, "ddd")</f>
        <v>pet</v>
      </c>
      <c r="MD4" t="str">
        <f t="shared" ref="MD4" si="293">TEXT(MD5, "ddd")</f>
        <v>sub</v>
      </c>
      <c r="ME4" t="str">
        <f t="shared" ref="ME4" si="294">TEXT(ME5, "ddd")</f>
        <v>ned</v>
      </c>
      <c r="MF4" t="str">
        <f t="shared" ref="MF4" si="295">TEXT(MF5, "ddd")</f>
        <v>pon</v>
      </c>
      <c r="MG4" t="str">
        <f t="shared" ref="MG4" si="296">TEXT(MG5, "ddd")</f>
        <v>uto</v>
      </c>
      <c r="MH4" t="str">
        <f t="shared" ref="MH4" si="297">TEXT(MH5, "ddd")</f>
        <v>sre</v>
      </c>
      <c r="MI4" t="str">
        <f t="shared" ref="MI4" si="298">TEXT(MI5, "ddd")</f>
        <v>čet</v>
      </c>
      <c r="MJ4" t="str">
        <f t="shared" ref="MJ4" si="299">TEXT(MJ5, "ddd")</f>
        <v>pet</v>
      </c>
      <c r="MK4" t="str">
        <f t="shared" ref="MK4" si="300">TEXT(MK5, "ddd")</f>
        <v>sub</v>
      </c>
      <c r="ML4" t="str">
        <f t="shared" ref="ML4" si="301">TEXT(ML5, "ddd")</f>
        <v>ned</v>
      </c>
      <c r="MM4" t="str">
        <f t="shared" ref="MM4" si="302">TEXT(MM5, "ddd")</f>
        <v>pon</v>
      </c>
      <c r="MN4" t="str">
        <f t="shared" ref="MN4" si="303">TEXT(MN5, "ddd")</f>
        <v>uto</v>
      </c>
      <c r="MO4" t="str">
        <f t="shared" ref="MO4" si="304">TEXT(MO5, "ddd")</f>
        <v>sre</v>
      </c>
      <c r="MP4" t="str">
        <f t="shared" ref="MP4" si="305">TEXT(MP5, "ddd")</f>
        <v>čet</v>
      </c>
      <c r="MQ4" t="str">
        <f t="shared" ref="MQ4" si="306">TEXT(MQ5, "ddd")</f>
        <v>pet</v>
      </c>
      <c r="MR4" t="str">
        <f t="shared" ref="MR4" si="307">TEXT(MR5, "ddd")</f>
        <v>sub</v>
      </c>
      <c r="MS4" t="str">
        <f t="shared" ref="MS4" si="308">TEXT(MS5, "ddd")</f>
        <v>ned</v>
      </c>
      <c r="MT4" t="str">
        <f t="shared" ref="MT4" si="309">TEXT(MT5, "ddd")</f>
        <v>pon</v>
      </c>
      <c r="MU4" t="str">
        <f t="shared" ref="MU4" si="310">TEXT(MU5, "ddd")</f>
        <v>uto</v>
      </c>
      <c r="MV4" t="str">
        <f t="shared" ref="MV4" si="311">TEXT(MV5, "ddd")</f>
        <v>sre</v>
      </c>
      <c r="MW4" t="str">
        <f t="shared" ref="MW4" si="312">TEXT(MW5, "ddd")</f>
        <v>čet</v>
      </c>
      <c r="MX4" t="str">
        <f t="shared" ref="MX4" si="313">TEXT(MX5, "ddd")</f>
        <v>pet</v>
      </c>
      <c r="MY4" t="str">
        <f t="shared" ref="MY4" si="314">TEXT(MY5, "ddd")</f>
        <v>sub</v>
      </c>
      <c r="MZ4" t="str">
        <f t="shared" ref="MZ4" si="315">TEXT(MZ5, "ddd")</f>
        <v>ned</v>
      </c>
      <c r="NA4" t="str">
        <f t="shared" ref="NA4" si="316">TEXT(NA5, "ddd")</f>
        <v>pon</v>
      </c>
      <c r="NB4" t="str">
        <f t="shared" ref="NB4" si="317">TEXT(NB5, "ddd")</f>
        <v>uto</v>
      </c>
      <c r="NC4" t="str">
        <f t="shared" ref="NC4" si="318">TEXT(NC5, "ddd")</f>
        <v>sre</v>
      </c>
      <c r="ND4" t="str">
        <f t="shared" ref="ND4" si="319">TEXT(ND5, "ddd")</f>
        <v>čet</v>
      </c>
      <c r="NE4" t="str">
        <f t="shared" ref="NE4" si="320">TEXT(NE5, "ddd")</f>
        <v>pet</v>
      </c>
      <c r="NF4" t="str">
        <f t="shared" ref="NF4" si="321">TEXT(NF5, "ddd")</f>
        <v>sub</v>
      </c>
      <c r="NG4" t="str">
        <f t="shared" ref="NG4" si="322">TEXT(NG5, "ddd")</f>
        <v>ned</v>
      </c>
      <c r="NH4" t="str">
        <f t="shared" ref="NH4" si="323">TEXT(NH5, "ddd")</f>
        <v>pon</v>
      </c>
      <c r="NI4" t="str">
        <f t="shared" ref="NI4" si="324">TEXT(NI5, "ddd")</f>
        <v>uto</v>
      </c>
      <c r="NJ4" t="str">
        <f t="shared" ref="NJ4" si="325">TEXT(NJ5, "ddd")</f>
        <v>sre</v>
      </c>
    </row>
    <row r="5" spans="1:374" x14ac:dyDescent="0.4">
      <c r="A5" s="17" t="s">
        <v>31</v>
      </c>
      <c r="B5" s="1" t="s">
        <v>0</v>
      </c>
      <c r="C5" s="11" t="s">
        <v>30</v>
      </c>
      <c r="D5" t="s">
        <v>1</v>
      </c>
      <c r="E5" t="s">
        <v>2</v>
      </c>
      <c r="F5" t="s">
        <v>3</v>
      </c>
      <c r="G5" t="s">
        <v>20</v>
      </c>
      <c r="H5" t="s">
        <v>400</v>
      </c>
      <c r="I5" t="s">
        <v>401</v>
      </c>
      <c r="J5" s="15" t="s">
        <v>32</v>
      </c>
      <c r="K5" s="15" t="s">
        <v>33</v>
      </c>
      <c r="L5" s="15" t="s">
        <v>34</v>
      </c>
      <c r="M5" s="15" t="s">
        <v>35</v>
      </c>
      <c r="N5" s="15" t="s">
        <v>36</v>
      </c>
      <c r="O5" s="15" t="s">
        <v>37</v>
      </c>
      <c r="P5" s="15" t="s">
        <v>38</v>
      </c>
      <c r="Q5" s="15" t="s">
        <v>39</v>
      </c>
      <c r="R5" s="15" t="s">
        <v>40</v>
      </c>
      <c r="S5" s="15" t="s">
        <v>41</v>
      </c>
      <c r="T5" s="15" t="s">
        <v>42</v>
      </c>
      <c r="U5" s="15" t="s">
        <v>43</v>
      </c>
      <c r="V5" s="15" t="s">
        <v>44</v>
      </c>
      <c r="W5" s="15" t="s">
        <v>45</v>
      </c>
      <c r="X5" s="15" t="s">
        <v>46</v>
      </c>
      <c r="Y5" s="15" t="s">
        <v>47</v>
      </c>
      <c r="Z5" s="15" t="s">
        <v>48</v>
      </c>
      <c r="AA5" s="15" t="s">
        <v>49</v>
      </c>
      <c r="AB5" s="15" t="s">
        <v>50</v>
      </c>
      <c r="AC5" s="15" t="s">
        <v>51</v>
      </c>
      <c r="AD5" s="15" t="s">
        <v>52</v>
      </c>
      <c r="AE5" s="15" t="s">
        <v>53</v>
      </c>
      <c r="AF5" s="15" t="s">
        <v>54</v>
      </c>
      <c r="AG5" s="15" t="s">
        <v>55</v>
      </c>
      <c r="AH5" s="15" t="s">
        <v>56</v>
      </c>
      <c r="AI5" s="15" t="s">
        <v>57</v>
      </c>
      <c r="AJ5" s="15" t="s">
        <v>58</v>
      </c>
      <c r="AK5" s="15" t="s">
        <v>59</v>
      </c>
      <c r="AL5" s="15" t="s">
        <v>60</v>
      </c>
      <c r="AM5" s="15" t="s">
        <v>61</v>
      </c>
      <c r="AN5" s="15" t="s">
        <v>62</v>
      </c>
      <c r="AO5" s="15" t="s">
        <v>63</v>
      </c>
      <c r="AP5" s="15" t="s">
        <v>64</v>
      </c>
      <c r="AQ5" s="15" t="s">
        <v>65</v>
      </c>
      <c r="AR5" s="15" t="s">
        <v>66</v>
      </c>
      <c r="AS5" s="15" t="s">
        <v>67</v>
      </c>
      <c r="AT5" s="15" t="s">
        <v>68</v>
      </c>
      <c r="AU5" s="15" t="s">
        <v>69</v>
      </c>
      <c r="AV5" s="15" t="s">
        <v>70</v>
      </c>
      <c r="AW5" s="15" t="s">
        <v>71</v>
      </c>
      <c r="AX5" s="15" t="s">
        <v>72</v>
      </c>
      <c r="AY5" s="15" t="s">
        <v>73</v>
      </c>
      <c r="AZ5" s="15" t="s">
        <v>74</v>
      </c>
      <c r="BA5" s="15" t="s">
        <v>75</v>
      </c>
      <c r="BB5" s="15" t="s">
        <v>76</v>
      </c>
      <c r="BC5" s="15" t="s">
        <v>77</v>
      </c>
      <c r="BD5" s="15" t="s">
        <v>78</v>
      </c>
      <c r="BE5" s="15" t="s">
        <v>79</v>
      </c>
      <c r="BF5" s="15" t="s">
        <v>80</v>
      </c>
      <c r="BG5" s="15" t="s">
        <v>81</v>
      </c>
      <c r="BH5" s="15" t="s">
        <v>82</v>
      </c>
      <c r="BI5" s="15" t="s">
        <v>83</v>
      </c>
      <c r="BJ5" s="15" t="s">
        <v>84</v>
      </c>
      <c r="BK5" s="15" t="s">
        <v>85</v>
      </c>
      <c r="BL5" s="15" t="s">
        <v>86</v>
      </c>
      <c r="BM5" s="15" t="s">
        <v>87</v>
      </c>
      <c r="BN5" s="15" t="s">
        <v>88</v>
      </c>
      <c r="BO5" s="15" t="s">
        <v>89</v>
      </c>
      <c r="BP5" s="15" t="s">
        <v>90</v>
      </c>
      <c r="BQ5" s="15" t="s">
        <v>91</v>
      </c>
      <c r="BR5" s="15" t="s">
        <v>92</v>
      </c>
      <c r="BS5" s="15" t="s">
        <v>93</v>
      </c>
      <c r="BT5" s="15" t="s">
        <v>94</v>
      </c>
      <c r="BU5" s="15" t="s">
        <v>95</v>
      </c>
      <c r="BV5" s="15" t="s">
        <v>96</v>
      </c>
      <c r="BW5" s="15" t="s">
        <v>97</v>
      </c>
      <c r="BX5" s="15" t="s">
        <v>98</v>
      </c>
      <c r="BY5" s="15" t="s">
        <v>99</v>
      </c>
      <c r="BZ5" s="15" t="s">
        <v>100</v>
      </c>
      <c r="CA5" s="15" t="s">
        <v>101</v>
      </c>
      <c r="CB5" s="15" t="s">
        <v>102</v>
      </c>
      <c r="CC5" s="15" t="s">
        <v>103</v>
      </c>
      <c r="CD5" s="15" t="s">
        <v>104</v>
      </c>
      <c r="CE5" s="15" t="s">
        <v>105</v>
      </c>
      <c r="CF5" s="15" t="s">
        <v>106</v>
      </c>
      <c r="CG5" s="15" t="s">
        <v>107</v>
      </c>
      <c r="CH5" s="15" t="s">
        <v>108</v>
      </c>
      <c r="CI5" s="15" t="s">
        <v>109</v>
      </c>
      <c r="CJ5" s="15" t="s">
        <v>110</v>
      </c>
      <c r="CK5" s="15" t="s">
        <v>111</v>
      </c>
      <c r="CL5" s="15" t="s">
        <v>112</v>
      </c>
      <c r="CM5" s="15" t="s">
        <v>113</v>
      </c>
      <c r="CN5" s="15" t="s">
        <v>114</v>
      </c>
      <c r="CO5" s="15" t="s">
        <v>115</v>
      </c>
      <c r="CP5" s="15" t="s">
        <v>116</v>
      </c>
      <c r="CQ5" s="15" t="s">
        <v>117</v>
      </c>
      <c r="CR5" s="15" t="s">
        <v>118</v>
      </c>
      <c r="CS5" s="15" t="s">
        <v>119</v>
      </c>
      <c r="CT5" s="15" t="s">
        <v>120</v>
      </c>
      <c r="CU5" s="15" t="s">
        <v>121</v>
      </c>
      <c r="CV5" s="15" t="s">
        <v>122</v>
      </c>
      <c r="CW5" s="15" t="s">
        <v>123</v>
      </c>
      <c r="CX5" s="15" t="s">
        <v>124</v>
      </c>
      <c r="CY5" s="15" t="s">
        <v>125</v>
      </c>
      <c r="CZ5" s="15" t="s">
        <v>126</v>
      </c>
      <c r="DA5" s="15" t="s">
        <v>127</v>
      </c>
      <c r="DB5" s="15" t="s">
        <v>128</v>
      </c>
      <c r="DC5" s="15" t="s">
        <v>129</v>
      </c>
      <c r="DD5" s="15" t="s">
        <v>130</v>
      </c>
      <c r="DE5" s="15" t="s">
        <v>131</v>
      </c>
      <c r="DF5" s="15" t="s">
        <v>132</v>
      </c>
      <c r="DG5" s="15" t="s">
        <v>133</v>
      </c>
      <c r="DH5" s="15" t="s">
        <v>134</v>
      </c>
      <c r="DI5" s="15" t="s">
        <v>135</v>
      </c>
      <c r="DJ5" s="15" t="s">
        <v>136</v>
      </c>
      <c r="DK5" s="15" t="s">
        <v>137</v>
      </c>
      <c r="DL5" s="15" t="s">
        <v>138</v>
      </c>
      <c r="DM5" s="15" t="s">
        <v>139</v>
      </c>
      <c r="DN5" s="15" t="s">
        <v>140</v>
      </c>
      <c r="DO5" s="15" t="s">
        <v>141</v>
      </c>
      <c r="DP5" s="15" t="s">
        <v>142</v>
      </c>
      <c r="DQ5" s="15" t="s">
        <v>143</v>
      </c>
      <c r="DR5" s="15" t="s">
        <v>144</v>
      </c>
      <c r="DS5" s="15" t="s">
        <v>145</v>
      </c>
      <c r="DT5" s="15" t="s">
        <v>146</v>
      </c>
      <c r="DU5" s="15" t="s">
        <v>147</v>
      </c>
      <c r="DV5" s="15" t="s">
        <v>148</v>
      </c>
      <c r="DW5" s="15" t="s">
        <v>149</v>
      </c>
      <c r="DX5" s="15" t="s">
        <v>150</v>
      </c>
      <c r="DY5" s="15" t="s">
        <v>151</v>
      </c>
      <c r="DZ5" s="15" t="s">
        <v>152</v>
      </c>
      <c r="EA5" s="15" t="s">
        <v>153</v>
      </c>
      <c r="EB5" s="15" t="s">
        <v>154</v>
      </c>
      <c r="EC5" s="15" t="s">
        <v>155</v>
      </c>
      <c r="ED5" s="15" t="s">
        <v>156</v>
      </c>
      <c r="EE5" s="15" t="s">
        <v>157</v>
      </c>
      <c r="EF5" s="15" t="s">
        <v>158</v>
      </c>
      <c r="EG5" s="15" t="s">
        <v>159</v>
      </c>
      <c r="EH5" s="15" t="s">
        <v>160</v>
      </c>
      <c r="EI5" s="15" t="s">
        <v>161</v>
      </c>
      <c r="EJ5" s="15" t="s">
        <v>162</v>
      </c>
      <c r="EK5" s="15" t="s">
        <v>163</v>
      </c>
      <c r="EL5" s="15" t="s">
        <v>164</v>
      </c>
      <c r="EM5" s="15" t="s">
        <v>165</v>
      </c>
      <c r="EN5" s="15" t="s">
        <v>166</v>
      </c>
      <c r="EO5" s="15" t="s">
        <v>167</v>
      </c>
      <c r="EP5" s="15" t="s">
        <v>168</v>
      </c>
      <c r="EQ5" s="15" t="s">
        <v>169</v>
      </c>
      <c r="ER5" s="15" t="s">
        <v>170</v>
      </c>
      <c r="ES5" s="15" t="s">
        <v>171</v>
      </c>
      <c r="ET5" s="15" t="s">
        <v>172</v>
      </c>
      <c r="EU5" s="15" t="s">
        <v>173</v>
      </c>
      <c r="EV5" s="15" t="s">
        <v>174</v>
      </c>
      <c r="EW5" s="15" t="s">
        <v>175</v>
      </c>
      <c r="EX5" s="15" t="s">
        <v>176</v>
      </c>
      <c r="EY5" s="15" t="s">
        <v>177</v>
      </c>
      <c r="EZ5" s="15" t="s">
        <v>178</v>
      </c>
      <c r="FA5" s="15" t="s">
        <v>179</v>
      </c>
      <c r="FB5" s="15" t="s">
        <v>180</v>
      </c>
      <c r="FC5" s="15" t="s">
        <v>181</v>
      </c>
      <c r="FD5" s="15" t="s">
        <v>182</v>
      </c>
      <c r="FE5" s="15" t="s">
        <v>183</v>
      </c>
      <c r="FF5" s="15" t="s">
        <v>184</v>
      </c>
      <c r="FG5" s="15" t="s">
        <v>185</v>
      </c>
      <c r="FH5" s="15" t="s">
        <v>186</v>
      </c>
      <c r="FI5" s="15" t="s">
        <v>187</v>
      </c>
      <c r="FJ5" s="15" t="s">
        <v>188</v>
      </c>
      <c r="FK5" s="15" t="s">
        <v>189</v>
      </c>
      <c r="FL5" s="15" t="s">
        <v>190</v>
      </c>
      <c r="FM5" s="15" t="s">
        <v>191</v>
      </c>
      <c r="FN5" s="15" t="s">
        <v>192</v>
      </c>
      <c r="FO5" s="15" t="s">
        <v>193</v>
      </c>
      <c r="FP5" s="15" t="s">
        <v>194</v>
      </c>
      <c r="FQ5" s="15" t="s">
        <v>195</v>
      </c>
      <c r="FR5" s="15" t="s">
        <v>196</v>
      </c>
      <c r="FS5" s="15" t="s">
        <v>197</v>
      </c>
      <c r="FT5" s="15" t="s">
        <v>198</v>
      </c>
      <c r="FU5" s="15" t="s">
        <v>199</v>
      </c>
      <c r="FV5" s="15" t="s">
        <v>200</v>
      </c>
      <c r="FW5" s="15" t="s">
        <v>201</v>
      </c>
      <c r="FX5" s="15" t="s">
        <v>202</v>
      </c>
      <c r="FY5" s="15" t="s">
        <v>203</v>
      </c>
      <c r="FZ5" s="15" t="s">
        <v>204</v>
      </c>
      <c r="GA5" s="15" t="s">
        <v>205</v>
      </c>
      <c r="GB5" s="15" t="s">
        <v>206</v>
      </c>
      <c r="GC5" s="15" t="s">
        <v>207</v>
      </c>
      <c r="GD5" s="15" t="s">
        <v>208</v>
      </c>
      <c r="GE5" s="15" t="s">
        <v>209</v>
      </c>
      <c r="GF5" s="15" t="s">
        <v>210</v>
      </c>
      <c r="GG5" s="15" t="s">
        <v>211</v>
      </c>
      <c r="GH5" s="15" t="s">
        <v>212</v>
      </c>
      <c r="GI5" s="15" t="s">
        <v>213</v>
      </c>
      <c r="GJ5" s="15" t="s">
        <v>214</v>
      </c>
      <c r="GK5" s="15" t="s">
        <v>215</v>
      </c>
      <c r="GL5" s="15" t="s">
        <v>216</v>
      </c>
      <c r="GM5" s="15" t="s">
        <v>217</v>
      </c>
      <c r="GN5" s="15" t="s">
        <v>218</v>
      </c>
      <c r="GO5" s="15" t="s">
        <v>219</v>
      </c>
      <c r="GP5" s="15" t="s">
        <v>220</v>
      </c>
      <c r="GQ5" s="15" t="s">
        <v>221</v>
      </c>
      <c r="GR5" s="15" t="s">
        <v>222</v>
      </c>
      <c r="GS5" s="15" t="s">
        <v>223</v>
      </c>
      <c r="GT5" s="15" t="s">
        <v>224</v>
      </c>
      <c r="GU5" s="15" t="s">
        <v>225</v>
      </c>
      <c r="GV5" s="15" t="s">
        <v>226</v>
      </c>
      <c r="GW5" s="15" t="s">
        <v>227</v>
      </c>
      <c r="GX5" s="15" t="s">
        <v>228</v>
      </c>
      <c r="GY5" s="15" t="s">
        <v>229</v>
      </c>
      <c r="GZ5" s="15" t="s">
        <v>230</v>
      </c>
      <c r="HA5" s="15" t="s">
        <v>231</v>
      </c>
      <c r="HB5" s="15" t="s">
        <v>232</v>
      </c>
      <c r="HC5" s="15" t="s">
        <v>233</v>
      </c>
      <c r="HD5" s="15" t="s">
        <v>234</v>
      </c>
      <c r="HE5" s="15" t="s">
        <v>235</v>
      </c>
      <c r="HF5" s="15" t="s">
        <v>236</v>
      </c>
      <c r="HG5" s="15" t="s">
        <v>237</v>
      </c>
      <c r="HH5" s="15" t="s">
        <v>238</v>
      </c>
      <c r="HI5" s="15" t="s">
        <v>239</v>
      </c>
      <c r="HJ5" s="15" t="s">
        <v>240</v>
      </c>
      <c r="HK5" s="15" t="s">
        <v>241</v>
      </c>
      <c r="HL5" s="15" t="s">
        <v>242</v>
      </c>
      <c r="HM5" s="15" t="s">
        <v>243</v>
      </c>
      <c r="HN5" s="15" t="s">
        <v>244</v>
      </c>
      <c r="HO5" s="15" t="s">
        <v>245</v>
      </c>
      <c r="HP5" s="15" t="s">
        <v>246</v>
      </c>
      <c r="HQ5" s="15" t="s">
        <v>247</v>
      </c>
      <c r="HR5" s="15" t="s">
        <v>248</v>
      </c>
      <c r="HS5" s="15" t="s">
        <v>249</v>
      </c>
      <c r="HT5" s="15" t="s">
        <v>250</v>
      </c>
      <c r="HU5" s="15" t="s">
        <v>251</v>
      </c>
      <c r="HV5" s="15" t="s">
        <v>252</v>
      </c>
      <c r="HW5" s="15" t="s">
        <v>253</v>
      </c>
      <c r="HX5" s="15" t="s">
        <v>254</v>
      </c>
      <c r="HY5" s="15" t="s">
        <v>255</v>
      </c>
      <c r="HZ5" s="15" t="s">
        <v>256</v>
      </c>
      <c r="IA5" s="15" t="s">
        <v>257</v>
      </c>
      <c r="IB5" s="15" t="s">
        <v>258</v>
      </c>
      <c r="IC5" s="15" t="s">
        <v>259</v>
      </c>
      <c r="ID5" s="15" t="s">
        <v>260</v>
      </c>
      <c r="IE5" s="15" t="s">
        <v>261</v>
      </c>
      <c r="IF5" s="15" t="s">
        <v>262</v>
      </c>
      <c r="IG5" s="15" t="s">
        <v>263</v>
      </c>
      <c r="IH5" s="15" t="s">
        <v>264</v>
      </c>
      <c r="II5" s="15" t="s">
        <v>265</v>
      </c>
      <c r="IJ5" s="15" t="s">
        <v>266</v>
      </c>
      <c r="IK5" s="15" t="s">
        <v>267</v>
      </c>
      <c r="IL5" s="15" t="s">
        <v>268</v>
      </c>
      <c r="IM5" s="15" t="s">
        <v>269</v>
      </c>
      <c r="IN5" s="15" t="s">
        <v>270</v>
      </c>
      <c r="IO5" s="15" t="s">
        <v>271</v>
      </c>
      <c r="IP5" s="15" t="s">
        <v>272</v>
      </c>
      <c r="IQ5" s="15" t="s">
        <v>273</v>
      </c>
      <c r="IR5" s="15" t="s">
        <v>274</v>
      </c>
      <c r="IS5" s="15" t="s">
        <v>275</v>
      </c>
      <c r="IT5" s="15" t="s">
        <v>276</v>
      </c>
      <c r="IU5" s="15" t="s">
        <v>277</v>
      </c>
      <c r="IV5" s="15" t="s">
        <v>278</v>
      </c>
      <c r="IW5" s="15" t="s">
        <v>279</v>
      </c>
      <c r="IX5" s="15" t="s">
        <v>280</v>
      </c>
      <c r="IY5" s="15" t="s">
        <v>281</v>
      </c>
      <c r="IZ5" s="15" t="s">
        <v>282</v>
      </c>
      <c r="JA5" s="15" t="s">
        <v>283</v>
      </c>
      <c r="JB5" s="15" t="s">
        <v>284</v>
      </c>
      <c r="JC5" s="15" t="s">
        <v>285</v>
      </c>
      <c r="JD5" s="15" t="s">
        <v>286</v>
      </c>
      <c r="JE5" s="15" t="s">
        <v>287</v>
      </c>
      <c r="JF5" s="15" t="s">
        <v>288</v>
      </c>
      <c r="JG5" s="15" t="s">
        <v>289</v>
      </c>
      <c r="JH5" s="15" t="s">
        <v>290</v>
      </c>
      <c r="JI5" s="15" t="s">
        <v>291</v>
      </c>
      <c r="JJ5" s="15" t="s">
        <v>292</v>
      </c>
      <c r="JK5" s="15" t="s">
        <v>293</v>
      </c>
      <c r="JL5" s="15" t="s">
        <v>294</v>
      </c>
      <c r="JM5" s="15" t="s">
        <v>295</v>
      </c>
      <c r="JN5" s="15" t="s">
        <v>296</v>
      </c>
      <c r="JO5" s="15" t="s">
        <v>297</v>
      </c>
      <c r="JP5" s="15" t="s">
        <v>298</v>
      </c>
      <c r="JQ5" s="15" t="s">
        <v>299</v>
      </c>
      <c r="JR5" s="15" t="s">
        <v>300</v>
      </c>
      <c r="JS5" s="15" t="s">
        <v>301</v>
      </c>
      <c r="JT5" s="15" t="s">
        <v>302</v>
      </c>
      <c r="JU5" s="15" t="s">
        <v>303</v>
      </c>
      <c r="JV5" s="15" t="s">
        <v>304</v>
      </c>
      <c r="JW5" s="15" t="s">
        <v>305</v>
      </c>
      <c r="JX5" s="15" t="s">
        <v>306</v>
      </c>
      <c r="JY5" s="15" t="s">
        <v>307</v>
      </c>
      <c r="JZ5" s="15" t="s">
        <v>308</v>
      </c>
      <c r="KA5" s="15" t="s">
        <v>309</v>
      </c>
      <c r="KB5" s="15" t="s">
        <v>310</v>
      </c>
      <c r="KC5" s="15" t="s">
        <v>311</v>
      </c>
      <c r="KD5" s="15" t="s">
        <v>312</v>
      </c>
      <c r="KE5" s="15" t="s">
        <v>313</v>
      </c>
      <c r="KF5" s="15" t="s">
        <v>314</v>
      </c>
      <c r="KG5" s="15" t="s">
        <v>315</v>
      </c>
      <c r="KH5" s="15" t="s">
        <v>316</v>
      </c>
      <c r="KI5" s="15" t="s">
        <v>317</v>
      </c>
      <c r="KJ5" s="15" t="s">
        <v>318</v>
      </c>
      <c r="KK5" s="15" t="s">
        <v>319</v>
      </c>
      <c r="KL5" s="15" t="s">
        <v>320</v>
      </c>
      <c r="KM5" s="15" t="s">
        <v>321</v>
      </c>
      <c r="KN5" s="15" t="s">
        <v>322</v>
      </c>
      <c r="KO5" s="15" t="s">
        <v>323</v>
      </c>
      <c r="KP5" s="15" t="s">
        <v>324</v>
      </c>
      <c r="KQ5" s="15" t="s">
        <v>325</v>
      </c>
      <c r="KR5" s="15" t="s">
        <v>326</v>
      </c>
      <c r="KS5" s="15" t="s">
        <v>327</v>
      </c>
      <c r="KT5" s="15" t="s">
        <v>328</v>
      </c>
      <c r="KU5" s="15" t="s">
        <v>329</v>
      </c>
      <c r="KV5" s="15" t="s">
        <v>330</v>
      </c>
      <c r="KW5" s="15" t="s">
        <v>331</v>
      </c>
      <c r="KX5" s="15" t="s">
        <v>332</v>
      </c>
      <c r="KY5" s="15" t="s">
        <v>333</v>
      </c>
      <c r="KZ5" s="15" t="s">
        <v>334</v>
      </c>
      <c r="LA5" s="15" t="s">
        <v>335</v>
      </c>
      <c r="LB5" s="15" t="s">
        <v>336</v>
      </c>
      <c r="LC5" s="15" t="s">
        <v>337</v>
      </c>
      <c r="LD5" s="15" t="s">
        <v>338</v>
      </c>
      <c r="LE5" s="15" t="s">
        <v>339</v>
      </c>
      <c r="LF5" s="15" t="s">
        <v>340</v>
      </c>
      <c r="LG5" s="15" t="s">
        <v>341</v>
      </c>
      <c r="LH5" s="15" t="s">
        <v>342</v>
      </c>
      <c r="LI5" s="15" t="s">
        <v>343</v>
      </c>
      <c r="LJ5" s="15" t="s">
        <v>344</v>
      </c>
      <c r="LK5" s="15" t="s">
        <v>345</v>
      </c>
      <c r="LL5" s="15" t="s">
        <v>346</v>
      </c>
      <c r="LM5" s="15" t="s">
        <v>347</v>
      </c>
      <c r="LN5" s="15" t="s">
        <v>348</v>
      </c>
      <c r="LO5" s="15" t="s">
        <v>349</v>
      </c>
      <c r="LP5" s="15" t="s">
        <v>350</v>
      </c>
      <c r="LQ5" s="15" t="s">
        <v>351</v>
      </c>
      <c r="LR5" s="15" t="s">
        <v>352</v>
      </c>
      <c r="LS5" s="15" t="s">
        <v>353</v>
      </c>
      <c r="LT5" s="15" t="s">
        <v>354</v>
      </c>
      <c r="LU5" s="15" t="s">
        <v>355</v>
      </c>
      <c r="LV5" s="15" t="s">
        <v>356</v>
      </c>
      <c r="LW5" s="15" t="s">
        <v>357</v>
      </c>
      <c r="LX5" s="15" t="s">
        <v>358</v>
      </c>
      <c r="LY5" s="15" t="s">
        <v>359</v>
      </c>
      <c r="LZ5" s="15" t="s">
        <v>360</v>
      </c>
      <c r="MA5" s="15" t="s">
        <v>361</v>
      </c>
      <c r="MB5" s="15" t="s">
        <v>362</v>
      </c>
      <c r="MC5" s="15" t="s">
        <v>363</v>
      </c>
      <c r="MD5" s="15" t="s">
        <v>364</v>
      </c>
      <c r="ME5" s="15" t="s">
        <v>365</v>
      </c>
      <c r="MF5" s="15" t="s">
        <v>366</v>
      </c>
      <c r="MG5" s="15" t="s">
        <v>367</v>
      </c>
      <c r="MH5" s="15" t="s">
        <v>368</v>
      </c>
      <c r="MI5" s="15" t="s">
        <v>369</v>
      </c>
      <c r="MJ5" s="15" t="s">
        <v>370</v>
      </c>
      <c r="MK5" s="15" t="s">
        <v>371</v>
      </c>
      <c r="ML5" s="15" t="s">
        <v>372</v>
      </c>
      <c r="MM5" s="15" t="s">
        <v>373</v>
      </c>
      <c r="MN5" s="15" t="s">
        <v>374</v>
      </c>
      <c r="MO5" s="15" t="s">
        <v>375</v>
      </c>
      <c r="MP5" s="15" t="s">
        <v>376</v>
      </c>
      <c r="MQ5" s="15" t="s">
        <v>377</v>
      </c>
      <c r="MR5" s="15" t="s">
        <v>378</v>
      </c>
      <c r="MS5" s="15" t="s">
        <v>379</v>
      </c>
      <c r="MT5" s="15" t="s">
        <v>380</v>
      </c>
      <c r="MU5" s="15" t="s">
        <v>381</v>
      </c>
      <c r="MV5" s="15" t="s">
        <v>382</v>
      </c>
      <c r="MW5" s="15" t="s">
        <v>383</v>
      </c>
      <c r="MX5" s="15" t="s">
        <v>384</v>
      </c>
      <c r="MY5" s="15" t="s">
        <v>385</v>
      </c>
      <c r="MZ5" s="15" t="s">
        <v>386</v>
      </c>
      <c r="NA5" s="15" t="s">
        <v>387</v>
      </c>
      <c r="NB5" s="15" t="s">
        <v>388</v>
      </c>
      <c r="NC5" s="15" t="s">
        <v>389</v>
      </c>
      <c r="ND5" s="15" t="s">
        <v>390</v>
      </c>
      <c r="NE5" s="15" t="s">
        <v>391</v>
      </c>
      <c r="NF5" s="15" t="s">
        <v>392</v>
      </c>
      <c r="NG5" s="15" t="s">
        <v>393</v>
      </c>
      <c r="NH5" s="15" t="s">
        <v>394</v>
      </c>
      <c r="NI5" s="15" t="s">
        <v>395</v>
      </c>
      <c r="NJ5" s="15" t="s">
        <v>396</v>
      </c>
    </row>
    <row r="6" spans="1:374" x14ac:dyDescent="0.4">
      <c r="A6" s="17" t="str">
        <f t="shared" ref="A6:A37" si="326">_xlfn.CONCAT(C6," ",F6," ",G6)</f>
        <v>Pera Peric A Tehničar</v>
      </c>
      <c r="B6" s="1">
        <v>1</v>
      </c>
      <c r="C6" s="11" t="str">
        <f t="shared" ref="C6:C37" si="327">_xlfn.CONCAT(D6," ",E6)</f>
        <v>Pera Peric</v>
      </c>
      <c r="D6" t="s">
        <v>418</v>
      </c>
      <c r="E6" t="s">
        <v>419</v>
      </c>
      <c r="F6" t="s">
        <v>501</v>
      </c>
      <c r="G6" t="s">
        <v>399</v>
      </c>
      <c r="H6">
        <f>COUNTIF(J6:NJ6,"O")</f>
        <v>20</v>
      </c>
      <c r="I6">
        <f t="shared" ref="I6:I37" si="328">COUNTIF(J6:NJ6,"B")</f>
        <v>6</v>
      </c>
      <c r="M6" t="s">
        <v>26</v>
      </c>
      <c r="N6" t="s">
        <v>26</v>
      </c>
      <c r="O6" t="s">
        <v>26</v>
      </c>
      <c r="P6" t="s">
        <v>29</v>
      </c>
      <c r="AS6" t="s">
        <v>27</v>
      </c>
      <c r="AT6" t="s">
        <v>27</v>
      </c>
      <c r="AU6" t="s">
        <v>27</v>
      </c>
      <c r="BC6" t="s">
        <v>29</v>
      </c>
      <c r="BD6" t="s">
        <v>29</v>
      </c>
      <c r="BE6" t="s">
        <v>29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DO6" t="s">
        <v>29</v>
      </c>
      <c r="DZ6" t="s">
        <v>29</v>
      </c>
      <c r="EA6" t="s">
        <v>29</v>
      </c>
      <c r="EW6" t="s">
        <v>26</v>
      </c>
      <c r="HB6" t="s">
        <v>26</v>
      </c>
      <c r="HC6" t="s">
        <v>26</v>
      </c>
      <c r="HD6" t="s">
        <v>26</v>
      </c>
      <c r="HE6" t="s">
        <v>26</v>
      </c>
      <c r="HF6" t="s">
        <v>26</v>
      </c>
      <c r="HG6" t="s">
        <v>26</v>
      </c>
      <c r="MY6" t="s">
        <v>27</v>
      </c>
      <c r="MZ6" t="s">
        <v>27</v>
      </c>
      <c r="NA6" t="s">
        <v>27</v>
      </c>
    </row>
    <row r="7" spans="1:374" x14ac:dyDescent="0.4">
      <c r="A7" s="17" t="str">
        <f t="shared" si="326"/>
        <v>Jovana Drakulic A Tehničar</v>
      </c>
      <c r="B7" s="1">
        <v>2</v>
      </c>
      <c r="C7" s="11" t="str">
        <f t="shared" si="327"/>
        <v>Jovana Drakulic</v>
      </c>
      <c r="D7" t="s">
        <v>16</v>
      </c>
      <c r="E7" t="s">
        <v>420</v>
      </c>
      <c r="F7" t="s">
        <v>501</v>
      </c>
      <c r="G7" t="s">
        <v>399</v>
      </c>
      <c r="H7">
        <f t="shared" ref="H7:H16" si="329">COUNTIF(J7:NJ7,"O")</f>
        <v>20</v>
      </c>
      <c r="I7">
        <f t="shared" si="328"/>
        <v>0</v>
      </c>
      <c r="P7" t="s">
        <v>29</v>
      </c>
      <c r="BC7" t="s">
        <v>29</v>
      </c>
      <c r="BD7" t="s">
        <v>29</v>
      </c>
      <c r="BE7" t="s">
        <v>29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O7" t="s">
        <v>29</v>
      </c>
      <c r="DW7" t="s">
        <v>26</v>
      </c>
      <c r="DX7" t="s">
        <v>26</v>
      </c>
      <c r="DY7" t="s">
        <v>26</v>
      </c>
      <c r="DZ7" t="s">
        <v>29</v>
      </c>
      <c r="EA7" t="s">
        <v>29</v>
      </c>
      <c r="FF7" t="s">
        <v>26</v>
      </c>
      <c r="FG7" t="s">
        <v>26</v>
      </c>
      <c r="FH7" t="s">
        <v>26</v>
      </c>
      <c r="FI7" t="s">
        <v>26</v>
      </c>
      <c r="FJ7" t="s">
        <v>26</v>
      </c>
      <c r="FK7" t="s">
        <v>28</v>
      </c>
      <c r="FL7" t="s">
        <v>28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IS7" t="s">
        <v>26</v>
      </c>
      <c r="IT7" t="s">
        <v>26</v>
      </c>
    </row>
    <row r="8" spans="1:374" x14ac:dyDescent="0.4">
      <c r="A8" s="17" t="str">
        <f t="shared" si="326"/>
        <v>Mirjana Proklamovic A Tehničar</v>
      </c>
      <c r="B8" s="1">
        <v>3</v>
      </c>
      <c r="C8" s="11" t="str">
        <f t="shared" si="327"/>
        <v>Mirjana Proklamovic</v>
      </c>
      <c r="D8" t="s">
        <v>4</v>
      </c>
      <c r="E8" t="s">
        <v>421</v>
      </c>
      <c r="F8" t="s">
        <v>501</v>
      </c>
      <c r="G8" t="s">
        <v>399</v>
      </c>
      <c r="H8">
        <f t="shared" si="329"/>
        <v>20</v>
      </c>
      <c r="I8">
        <f t="shared" si="328"/>
        <v>10</v>
      </c>
      <c r="K8" t="s">
        <v>26</v>
      </c>
      <c r="L8" t="s">
        <v>26</v>
      </c>
      <c r="M8" t="s">
        <v>26</v>
      </c>
      <c r="N8" t="s">
        <v>26</v>
      </c>
      <c r="O8" t="s">
        <v>28</v>
      </c>
      <c r="P8" t="s">
        <v>29</v>
      </c>
      <c r="Q8" t="s">
        <v>28</v>
      </c>
      <c r="AX8" t="s">
        <v>27</v>
      </c>
      <c r="AY8" t="s">
        <v>27</v>
      </c>
      <c r="AZ8" t="s">
        <v>27</v>
      </c>
      <c r="BA8" t="s">
        <v>27</v>
      </c>
      <c r="BB8" t="s">
        <v>27</v>
      </c>
      <c r="BC8" t="s">
        <v>29</v>
      </c>
      <c r="BD8" t="s">
        <v>29</v>
      </c>
      <c r="BE8" t="s">
        <v>29</v>
      </c>
      <c r="DO8" t="s">
        <v>29</v>
      </c>
      <c r="DP8" t="s">
        <v>29</v>
      </c>
      <c r="DZ8" t="s">
        <v>29</v>
      </c>
      <c r="EA8" t="s">
        <v>29</v>
      </c>
      <c r="GG8" t="s">
        <v>26</v>
      </c>
      <c r="GH8" t="s">
        <v>26</v>
      </c>
      <c r="GO8" t="s">
        <v>26</v>
      </c>
      <c r="GP8" t="s">
        <v>26</v>
      </c>
      <c r="GQ8" t="s">
        <v>26</v>
      </c>
      <c r="GR8" t="s">
        <v>26</v>
      </c>
      <c r="GS8" t="s">
        <v>26</v>
      </c>
      <c r="GT8" t="s">
        <v>26</v>
      </c>
      <c r="GU8" t="s">
        <v>26</v>
      </c>
      <c r="GV8" t="s">
        <v>26</v>
      </c>
      <c r="IL8" t="s">
        <v>27</v>
      </c>
      <c r="IM8" t="s">
        <v>27</v>
      </c>
      <c r="IN8" t="s">
        <v>27</v>
      </c>
      <c r="IO8" t="s">
        <v>27</v>
      </c>
      <c r="IP8" t="s">
        <v>27</v>
      </c>
      <c r="NE8" t="s">
        <v>26</v>
      </c>
      <c r="NF8" t="s">
        <v>26</v>
      </c>
      <c r="NG8" t="s">
        <v>26</v>
      </c>
      <c r="NH8" t="s">
        <v>26</v>
      </c>
      <c r="NI8" t="s">
        <v>26</v>
      </c>
      <c r="NJ8" t="s">
        <v>26</v>
      </c>
    </row>
    <row r="9" spans="1:374" x14ac:dyDescent="0.4">
      <c r="A9" s="17" t="str">
        <f t="shared" si="326"/>
        <v>Danka Lapuric A Farmaceut</v>
      </c>
      <c r="B9" s="1">
        <v>4</v>
      </c>
      <c r="C9" s="11" t="str">
        <f t="shared" si="327"/>
        <v>Danka Lapuric</v>
      </c>
      <c r="D9" t="s">
        <v>422</v>
      </c>
      <c r="E9" t="s">
        <v>423</v>
      </c>
      <c r="F9" t="s">
        <v>501</v>
      </c>
      <c r="G9" t="s">
        <v>398</v>
      </c>
      <c r="H9">
        <f t="shared" si="329"/>
        <v>20</v>
      </c>
      <c r="I9">
        <f t="shared" si="328"/>
        <v>0</v>
      </c>
      <c r="P9" t="s">
        <v>29</v>
      </c>
      <c r="BC9" t="s">
        <v>29</v>
      </c>
      <c r="BD9" t="s">
        <v>29</v>
      </c>
      <c r="BE9" t="s">
        <v>29</v>
      </c>
      <c r="BF9" t="s">
        <v>26</v>
      </c>
      <c r="CF9" t="s">
        <v>26</v>
      </c>
      <c r="CG9" t="s">
        <v>26</v>
      </c>
      <c r="CH9" t="s">
        <v>26</v>
      </c>
      <c r="CI9" t="s">
        <v>26</v>
      </c>
      <c r="CJ9" t="s">
        <v>26</v>
      </c>
      <c r="CK9" t="s">
        <v>26</v>
      </c>
      <c r="CL9" t="s">
        <v>26</v>
      </c>
      <c r="DO9" t="s">
        <v>29</v>
      </c>
      <c r="DP9" t="s">
        <v>29</v>
      </c>
      <c r="DQ9" t="s">
        <v>26</v>
      </c>
      <c r="DR9" t="s">
        <v>26</v>
      </c>
      <c r="DS9" t="s">
        <v>26</v>
      </c>
      <c r="DT9" t="s">
        <v>26</v>
      </c>
      <c r="DU9" t="s">
        <v>26</v>
      </c>
      <c r="DV9" t="s">
        <v>26</v>
      </c>
      <c r="DZ9" t="s">
        <v>29</v>
      </c>
      <c r="EA9" t="s">
        <v>29</v>
      </c>
      <c r="HW9" t="s">
        <v>26</v>
      </c>
      <c r="HX9" t="s">
        <v>26</v>
      </c>
      <c r="HY9" t="s">
        <v>26</v>
      </c>
      <c r="HZ9" t="s">
        <v>26</v>
      </c>
      <c r="IA9" t="s">
        <v>26</v>
      </c>
      <c r="IB9" t="s">
        <v>26</v>
      </c>
    </row>
    <row r="10" spans="1:374" x14ac:dyDescent="0.4">
      <c r="A10" s="17" t="str">
        <f t="shared" si="326"/>
        <v>Snežana Grubic A Tehničar</v>
      </c>
      <c r="B10" s="1">
        <v>5</v>
      </c>
      <c r="C10" s="11" t="str">
        <f t="shared" si="327"/>
        <v>Snežana Grubic</v>
      </c>
      <c r="D10" t="s">
        <v>6</v>
      </c>
      <c r="E10" t="s">
        <v>424</v>
      </c>
      <c r="F10" t="s">
        <v>501</v>
      </c>
      <c r="G10" t="s">
        <v>399</v>
      </c>
      <c r="H10">
        <f t="shared" si="329"/>
        <v>20</v>
      </c>
      <c r="I10">
        <f t="shared" si="328"/>
        <v>0</v>
      </c>
      <c r="P10" t="s">
        <v>29</v>
      </c>
      <c r="AA10" t="s">
        <v>26</v>
      </c>
      <c r="AB10" t="s">
        <v>26</v>
      </c>
      <c r="AC10" t="s">
        <v>26</v>
      </c>
      <c r="AD10" t="s">
        <v>26</v>
      </c>
      <c r="BC10" t="s">
        <v>29</v>
      </c>
      <c r="BD10" t="s">
        <v>29</v>
      </c>
      <c r="BE10" t="s">
        <v>29</v>
      </c>
      <c r="CD10" t="s">
        <v>26</v>
      </c>
      <c r="CE10" t="s">
        <v>26</v>
      </c>
      <c r="CF10" t="s">
        <v>26</v>
      </c>
      <c r="CG10" t="s">
        <v>26</v>
      </c>
      <c r="CH10" t="s">
        <v>26</v>
      </c>
      <c r="DL10" t="s">
        <v>26</v>
      </c>
      <c r="DM10" t="s">
        <v>26</v>
      </c>
      <c r="DN10" t="s">
        <v>26</v>
      </c>
      <c r="DO10" t="s">
        <v>29</v>
      </c>
      <c r="DP10" t="s">
        <v>29</v>
      </c>
      <c r="DZ10" t="s">
        <v>29</v>
      </c>
      <c r="EA10" t="s">
        <v>29</v>
      </c>
      <c r="EB10" t="s">
        <v>26</v>
      </c>
      <c r="EC10" t="s">
        <v>26</v>
      </c>
      <c r="FW10" t="s">
        <v>26</v>
      </c>
      <c r="FX10" t="s">
        <v>26</v>
      </c>
      <c r="FY10" t="s">
        <v>26</v>
      </c>
      <c r="FZ10" t="s">
        <v>26</v>
      </c>
      <c r="GA10" t="s">
        <v>26</v>
      </c>
      <c r="GB10" t="s">
        <v>26</v>
      </c>
    </row>
    <row r="11" spans="1:374" x14ac:dyDescent="0.4">
      <c r="A11" s="17" t="str">
        <f t="shared" si="326"/>
        <v>Jelena Stupar B Tehničar</v>
      </c>
      <c r="B11" s="1">
        <v>6</v>
      </c>
      <c r="C11" s="11" t="str">
        <f t="shared" si="327"/>
        <v>Jelena Stupar</v>
      </c>
      <c r="D11" t="s">
        <v>8</v>
      </c>
      <c r="E11" t="s">
        <v>425</v>
      </c>
      <c r="F11" t="s">
        <v>27</v>
      </c>
      <c r="G11" t="s">
        <v>399</v>
      </c>
      <c r="H11">
        <f t="shared" si="329"/>
        <v>20</v>
      </c>
      <c r="I11">
        <f t="shared" si="328"/>
        <v>5</v>
      </c>
      <c r="J11" t="s">
        <v>29</v>
      </c>
      <c r="P11" t="s">
        <v>29</v>
      </c>
      <c r="BC11" t="s">
        <v>29</v>
      </c>
      <c r="BD11" t="s">
        <v>29</v>
      </c>
      <c r="BE11" t="s">
        <v>29</v>
      </c>
      <c r="CQ11" t="s">
        <v>26</v>
      </c>
      <c r="CR11" t="s">
        <v>26</v>
      </c>
      <c r="CS11" t="s">
        <v>26</v>
      </c>
      <c r="CT11" t="s">
        <v>26</v>
      </c>
      <c r="CU11" t="s">
        <v>26</v>
      </c>
      <c r="CV11" t="s">
        <v>26</v>
      </c>
      <c r="DO11" t="s">
        <v>29</v>
      </c>
      <c r="DP11" t="s">
        <v>29</v>
      </c>
      <c r="DZ11" t="s">
        <v>29</v>
      </c>
      <c r="EA11" t="s">
        <v>29</v>
      </c>
      <c r="EK11" t="s">
        <v>26</v>
      </c>
      <c r="EL11" t="s">
        <v>26</v>
      </c>
      <c r="EM11" t="s">
        <v>26</v>
      </c>
      <c r="EN11" t="s">
        <v>26</v>
      </c>
      <c r="EO11" t="s">
        <v>26</v>
      </c>
      <c r="EP11" t="s">
        <v>26</v>
      </c>
      <c r="GW11" t="s">
        <v>26</v>
      </c>
      <c r="GX11" t="s">
        <v>26</v>
      </c>
      <c r="GY11" t="s">
        <v>26</v>
      </c>
      <c r="GZ11" t="s">
        <v>26</v>
      </c>
      <c r="HA11" t="s">
        <v>26</v>
      </c>
      <c r="HB11" t="s">
        <v>26</v>
      </c>
      <c r="LX11" t="s">
        <v>27</v>
      </c>
      <c r="LY11" t="s">
        <v>27</v>
      </c>
      <c r="LZ11" t="s">
        <v>27</v>
      </c>
      <c r="MA11" t="s">
        <v>27</v>
      </c>
      <c r="MB11" t="s">
        <v>27</v>
      </c>
      <c r="NA11" t="s">
        <v>26</v>
      </c>
      <c r="NB11" t="s">
        <v>26</v>
      </c>
    </row>
    <row r="12" spans="1:374" x14ac:dyDescent="0.4">
      <c r="A12" s="17" t="str">
        <f t="shared" si="326"/>
        <v>Suzana Ninkovic B Farmaceut</v>
      </c>
      <c r="B12" s="1">
        <v>7</v>
      </c>
      <c r="C12" s="11" t="str">
        <f t="shared" si="327"/>
        <v>Suzana Ninkovic</v>
      </c>
      <c r="D12" t="s">
        <v>18</v>
      </c>
      <c r="E12" t="s">
        <v>426</v>
      </c>
      <c r="F12" t="s">
        <v>27</v>
      </c>
      <c r="G12" t="s">
        <v>398</v>
      </c>
      <c r="H12">
        <f t="shared" si="329"/>
        <v>20</v>
      </c>
      <c r="I12">
        <f t="shared" si="328"/>
        <v>2</v>
      </c>
      <c r="J12" t="s">
        <v>29</v>
      </c>
      <c r="K12" t="s">
        <v>27</v>
      </c>
      <c r="L12" t="s">
        <v>27</v>
      </c>
      <c r="O12" t="s">
        <v>28</v>
      </c>
      <c r="P12" t="s">
        <v>29</v>
      </c>
      <c r="AD12" t="s">
        <v>26</v>
      </c>
      <c r="AE12" t="s">
        <v>26</v>
      </c>
      <c r="AF12" t="s">
        <v>26</v>
      </c>
      <c r="AG12" t="s">
        <v>26</v>
      </c>
      <c r="BC12" t="s">
        <v>29</v>
      </c>
      <c r="BD12" t="s">
        <v>29</v>
      </c>
      <c r="BE12" t="s">
        <v>29</v>
      </c>
      <c r="DO12" t="s">
        <v>29</v>
      </c>
      <c r="DP12" t="s">
        <v>29</v>
      </c>
      <c r="DZ12" t="s">
        <v>29</v>
      </c>
      <c r="EA12" t="s">
        <v>29</v>
      </c>
      <c r="EY12" t="s">
        <v>26</v>
      </c>
      <c r="EZ12" t="s">
        <v>26</v>
      </c>
      <c r="FA12" t="s">
        <v>26</v>
      </c>
      <c r="FB12" t="s">
        <v>26</v>
      </c>
      <c r="FC12" t="s">
        <v>26</v>
      </c>
      <c r="FD12" t="s">
        <v>26</v>
      </c>
      <c r="FE12" t="s">
        <v>26</v>
      </c>
      <c r="FF12" t="s">
        <v>26</v>
      </c>
      <c r="FG12" t="s">
        <v>28</v>
      </c>
      <c r="FH12" t="s">
        <v>28</v>
      </c>
      <c r="GC12" t="s">
        <v>26</v>
      </c>
      <c r="GD12" t="s">
        <v>26</v>
      </c>
      <c r="GE12" t="s">
        <v>26</v>
      </c>
      <c r="GF12" t="s">
        <v>26</v>
      </c>
      <c r="MW12" t="s">
        <v>26</v>
      </c>
      <c r="MX12" t="s">
        <v>26</v>
      </c>
      <c r="MY12" t="s">
        <v>26</v>
      </c>
      <c r="MZ12" t="s">
        <v>26</v>
      </c>
    </row>
    <row r="13" spans="1:374" x14ac:dyDescent="0.4">
      <c r="A13" s="17" t="str">
        <f t="shared" si="326"/>
        <v>Milanka Purhmajer B Farmaceut</v>
      </c>
      <c r="B13" s="1">
        <v>8</v>
      </c>
      <c r="C13" s="11" t="str">
        <f t="shared" si="327"/>
        <v>Milanka Purhmajer</v>
      </c>
      <c r="D13" t="s">
        <v>5</v>
      </c>
      <c r="E13" t="s">
        <v>427</v>
      </c>
      <c r="F13" t="s">
        <v>27</v>
      </c>
      <c r="G13" t="s">
        <v>398</v>
      </c>
      <c r="H13">
        <f t="shared" si="329"/>
        <v>20</v>
      </c>
      <c r="I13">
        <f t="shared" si="328"/>
        <v>4</v>
      </c>
      <c r="J13" t="s">
        <v>29</v>
      </c>
      <c r="P13" t="s">
        <v>29</v>
      </c>
      <c r="R13" t="s">
        <v>27</v>
      </c>
      <c r="S13" t="s">
        <v>27</v>
      </c>
      <c r="T13" t="s">
        <v>27</v>
      </c>
      <c r="U13" t="s">
        <v>27</v>
      </c>
      <c r="AV13" t="s">
        <v>26</v>
      </c>
      <c r="AW13" t="s">
        <v>26</v>
      </c>
      <c r="AX13" t="s">
        <v>26</v>
      </c>
      <c r="AY13" t="s">
        <v>26</v>
      </c>
      <c r="AZ13" t="s">
        <v>26</v>
      </c>
      <c r="BA13" t="s">
        <v>26</v>
      </c>
      <c r="BB13" t="s">
        <v>26</v>
      </c>
      <c r="BC13" t="s">
        <v>29</v>
      </c>
      <c r="BD13" t="s">
        <v>29</v>
      </c>
      <c r="BE13" t="s">
        <v>29</v>
      </c>
      <c r="BQ13" t="s">
        <v>26</v>
      </c>
      <c r="BR13" t="s">
        <v>26</v>
      </c>
      <c r="BS13" t="s">
        <v>26</v>
      </c>
      <c r="BT13" t="s">
        <v>26</v>
      </c>
      <c r="BU13" t="s">
        <v>26</v>
      </c>
      <c r="DO13" t="s">
        <v>29</v>
      </c>
      <c r="DP13" t="s">
        <v>29</v>
      </c>
      <c r="DZ13" t="s">
        <v>29</v>
      </c>
      <c r="EA13" t="s">
        <v>29</v>
      </c>
      <c r="HN13" t="s">
        <v>26</v>
      </c>
      <c r="HO13" t="s">
        <v>26</v>
      </c>
      <c r="HP13" t="s">
        <v>26</v>
      </c>
      <c r="HQ13" t="s">
        <v>26</v>
      </c>
      <c r="HR13" t="s">
        <v>26</v>
      </c>
      <c r="HS13" t="s">
        <v>26</v>
      </c>
      <c r="HT13" t="s">
        <v>26</v>
      </c>
      <c r="HU13" t="s">
        <v>26</v>
      </c>
    </row>
    <row r="14" spans="1:374" x14ac:dyDescent="0.4">
      <c r="A14" s="17" t="str">
        <f t="shared" si="326"/>
        <v>Ivana Rokvic B Farmaceut</v>
      </c>
      <c r="B14" s="1">
        <v>9</v>
      </c>
      <c r="C14" s="11" t="str">
        <f t="shared" si="327"/>
        <v>Ivana Rokvic</v>
      </c>
      <c r="D14" t="s">
        <v>7</v>
      </c>
      <c r="E14" t="s">
        <v>428</v>
      </c>
      <c r="F14" t="s">
        <v>27</v>
      </c>
      <c r="G14" t="s">
        <v>398</v>
      </c>
      <c r="H14">
        <f t="shared" si="329"/>
        <v>20</v>
      </c>
      <c r="I14">
        <f t="shared" si="328"/>
        <v>2</v>
      </c>
      <c r="J14" t="s">
        <v>29</v>
      </c>
      <c r="P14" t="s">
        <v>29</v>
      </c>
      <c r="AO14" t="s">
        <v>26</v>
      </c>
      <c r="AP14" t="s">
        <v>26</v>
      </c>
      <c r="AQ14" t="s">
        <v>26</v>
      </c>
      <c r="BC14" t="s">
        <v>29</v>
      </c>
      <c r="BE14" t="s">
        <v>29</v>
      </c>
      <c r="CA14" t="s">
        <v>26</v>
      </c>
      <c r="CB14" t="s">
        <v>26</v>
      </c>
      <c r="CC14" t="s">
        <v>26</v>
      </c>
      <c r="CY14" t="s">
        <v>26</v>
      </c>
      <c r="CZ14" t="s">
        <v>26</v>
      </c>
      <c r="DA14" t="s">
        <v>26</v>
      </c>
      <c r="DB14" t="s">
        <v>26</v>
      </c>
      <c r="DO14" t="s">
        <v>29</v>
      </c>
      <c r="DP14" t="s">
        <v>29</v>
      </c>
      <c r="DZ14" t="s">
        <v>29</v>
      </c>
      <c r="EA14" t="s">
        <v>29</v>
      </c>
      <c r="GP14" t="s">
        <v>27</v>
      </c>
      <c r="GQ14" t="s">
        <v>27</v>
      </c>
      <c r="ID14" t="s">
        <v>26</v>
      </c>
      <c r="IE14" t="s">
        <v>26</v>
      </c>
      <c r="IF14" t="s">
        <v>26</v>
      </c>
      <c r="IG14" t="s">
        <v>26</v>
      </c>
      <c r="IH14" t="s">
        <v>26</v>
      </c>
      <c r="II14" t="s">
        <v>26</v>
      </c>
      <c r="IJ14" t="s">
        <v>26</v>
      </c>
      <c r="IK14" t="s">
        <v>26</v>
      </c>
      <c r="IL14" t="s">
        <v>26</v>
      </c>
      <c r="IM14" t="s">
        <v>26</v>
      </c>
    </row>
    <row r="15" spans="1:374" x14ac:dyDescent="0.4">
      <c r="A15" s="17" t="str">
        <f t="shared" si="326"/>
        <v>Vesna Polmizic C Tehničar</v>
      </c>
      <c r="B15" s="1">
        <v>10</v>
      </c>
      <c r="C15" s="11" t="str">
        <f t="shared" si="327"/>
        <v>Vesna Polmizic</v>
      </c>
      <c r="D15" t="s">
        <v>10</v>
      </c>
      <c r="E15" t="s">
        <v>429</v>
      </c>
      <c r="F15" t="s">
        <v>502</v>
      </c>
      <c r="G15" t="s">
        <v>399</v>
      </c>
      <c r="H15">
        <f t="shared" si="329"/>
        <v>17</v>
      </c>
      <c r="I15">
        <f t="shared" si="328"/>
        <v>5</v>
      </c>
      <c r="J15" t="s">
        <v>29</v>
      </c>
      <c r="O15" t="s">
        <v>26</v>
      </c>
      <c r="P15" t="s">
        <v>29</v>
      </c>
      <c r="Q15" t="s">
        <v>26</v>
      </c>
      <c r="R15" t="s">
        <v>26</v>
      </c>
      <c r="S15" t="s">
        <v>26</v>
      </c>
      <c r="BC15" t="s">
        <v>29</v>
      </c>
      <c r="BE15" t="s">
        <v>29</v>
      </c>
      <c r="BK15" t="s">
        <v>27</v>
      </c>
      <c r="BL15" t="s">
        <v>27</v>
      </c>
      <c r="BM15" t="s">
        <v>27</v>
      </c>
      <c r="BN15" t="s">
        <v>27</v>
      </c>
      <c r="BO15" t="s">
        <v>27</v>
      </c>
      <c r="BW15" t="s">
        <v>26</v>
      </c>
      <c r="BX15" t="s">
        <v>26</v>
      </c>
      <c r="BY15" t="s">
        <v>28</v>
      </c>
      <c r="BZ15" t="s">
        <v>26</v>
      </c>
      <c r="DO15" t="s">
        <v>29</v>
      </c>
      <c r="DP15" t="s">
        <v>29</v>
      </c>
      <c r="DZ15" t="s">
        <v>29</v>
      </c>
      <c r="EA15" t="s">
        <v>29</v>
      </c>
      <c r="IP15" t="s">
        <v>26</v>
      </c>
      <c r="IQ15" t="s">
        <v>26</v>
      </c>
      <c r="IR15" t="s">
        <v>26</v>
      </c>
      <c r="IS15" t="s">
        <v>26</v>
      </c>
      <c r="IT15" t="s">
        <v>26</v>
      </c>
      <c r="IU15" t="s">
        <v>26</v>
      </c>
      <c r="IV15" t="s">
        <v>26</v>
      </c>
      <c r="IW15" t="s">
        <v>26</v>
      </c>
      <c r="IX15" t="s">
        <v>26</v>
      </c>
      <c r="IY15" t="s">
        <v>26</v>
      </c>
    </row>
    <row r="16" spans="1:374" x14ac:dyDescent="0.4">
      <c r="A16" s="17" t="str">
        <f t="shared" si="326"/>
        <v>Greta Jobilaric C Tehničar</v>
      </c>
      <c r="B16" s="1">
        <v>11</v>
      </c>
      <c r="C16" s="11" t="str">
        <f t="shared" si="327"/>
        <v>Greta Jobilaric</v>
      </c>
      <c r="D16" t="s">
        <v>430</v>
      </c>
      <c r="E16" t="s">
        <v>431</v>
      </c>
      <c r="F16" t="s">
        <v>502</v>
      </c>
      <c r="G16" t="s">
        <v>399</v>
      </c>
      <c r="H16">
        <f t="shared" si="329"/>
        <v>20</v>
      </c>
      <c r="I16">
        <f t="shared" si="328"/>
        <v>0</v>
      </c>
      <c r="J16" t="s">
        <v>29</v>
      </c>
      <c r="P16" t="s">
        <v>29</v>
      </c>
      <c r="BC16" t="s">
        <v>29</v>
      </c>
      <c r="BD16" t="s">
        <v>29</v>
      </c>
      <c r="BE16" t="s">
        <v>29</v>
      </c>
      <c r="DO16" t="s">
        <v>29</v>
      </c>
      <c r="DP16" t="s">
        <v>29</v>
      </c>
      <c r="DZ16" t="s">
        <v>29</v>
      </c>
      <c r="EA16" t="s">
        <v>29</v>
      </c>
      <c r="FO16" t="s">
        <v>26</v>
      </c>
      <c r="FP16" t="s">
        <v>26</v>
      </c>
      <c r="FQ16" t="s">
        <v>26</v>
      </c>
      <c r="FR16" t="s">
        <v>26</v>
      </c>
      <c r="FS16" t="s">
        <v>26</v>
      </c>
      <c r="FT16" t="s">
        <v>28</v>
      </c>
      <c r="FU16" t="s">
        <v>28</v>
      </c>
      <c r="FV16" t="s">
        <v>26</v>
      </c>
      <c r="FW16" t="s">
        <v>26</v>
      </c>
      <c r="FX16" t="s">
        <v>26</v>
      </c>
      <c r="FY16" t="s">
        <v>26</v>
      </c>
      <c r="FZ16" t="s">
        <v>26</v>
      </c>
      <c r="GR16" t="s">
        <v>26</v>
      </c>
      <c r="GS16" t="s">
        <v>26</v>
      </c>
      <c r="GT16" t="s">
        <v>26</v>
      </c>
      <c r="GU16" t="s">
        <v>26</v>
      </c>
      <c r="GV16" t="s">
        <v>26</v>
      </c>
      <c r="HE16" t="s">
        <v>26</v>
      </c>
      <c r="HF16" t="s">
        <v>26</v>
      </c>
      <c r="HG16" t="s">
        <v>26</v>
      </c>
      <c r="HH16" t="s">
        <v>26</v>
      </c>
      <c r="HI16" t="s">
        <v>26</v>
      </c>
    </row>
    <row r="17" spans="1:374" x14ac:dyDescent="0.4">
      <c r="A17" s="17" t="str">
        <f t="shared" si="326"/>
        <v>Mina Vojinovic D Farmaceut</v>
      </c>
      <c r="B17" s="1">
        <v>12</v>
      </c>
      <c r="C17" s="11" t="str">
        <f t="shared" si="327"/>
        <v>Mina Vojinovic</v>
      </c>
      <c r="D17" t="s">
        <v>432</v>
      </c>
      <c r="E17" t="s">
        <v>433</v>
      </c>
      <c r="F17" t="s">
        <v>503</v>
      </c>
      <c r="G17" t="s">
        <v>398</v>
      </c>
      <c r="H17">
        <f t="shared" ref="H17:H48" si="330">COUNTIF(J17:NJ17,"O")</f>
        <v>20</v>
      </c>
      <c r="I17">
        <f t="shared" si="328"/>
        <v>6</v>
      </c>
      <c r="M17" t="s">
        <v>26</v>
      </c>
      <c r="N17" t="s">
        <v>26</v>
      </c>
      <c r="O17" t="s">
        <v>26</v>
      </c>
      <c r="P17" t="s">
        <v>29</v>
      </c>
      <c r="AS17" t="s">
        <v>27</v>
      </c>
      <c r="AT17" t="s">
        <v>27</v>
      </c>
      <c r="AU17" t="s">
        <v>27</v>
      </c>
      <c r="BC17" t="s">
        <v>29</v>
      </c>
      <c r="BD17" t="s">
        <v>29</v>
      </c>
      <c r="BE17" t="s">
        <v>29</v>
      </c>
      <c r="CJ17" t="s">
        <v>26</v>
      </c>
      <c r="CK17" t="s">
        <v>26</v>
      </c>
      <c r="CL17" t="s">
        <v>26</v>
      </c>
      <c r="CM17" t="s">
        <v>26</v>
      </c>
      <c r="CN17" t="s">
        <v>26</v>
      </c>
      <c r="CO17" t="s">
        <v>26</v>
      </c>
      <c r="CP17" t="s">
        <v>26</v>
      </c>
      <c r="CQ17" t="s">
        <v>26</v>
      </c>
      <c r="CR17" t="s">
        <v>26</v>
      </c>
      <c r="CS17" t="s">
        <v>26</v>
      </c>
      <c r="DO17" t="s">
        <v>29</v>
      </c>
      <c r="DZ17" t="s">
        <v>29</v>
      </c>
      <c r="EA17" t="s">
        <v>29</v>
      </c>
      <c r="EW17" t="s">
        <v>26</v>
      </c>
      <c r="HB17" t="s">
        <v>26</v>
      </c>
      <c r="HC17" t="s">
        <v>26</v>
      </c>
      <c r="HD17" t="s">
        <v>26</v>
      </c>
      <c r="HE17" t="s">
        <v>26</v>
      </c>
      <c r="HF17" t="s">
        <v>26</v>
      </c>
      <c r="HG17" t="s">
        <v>26</v>
      </c>
      <c r="MY17" t="s">
        <v>27</v>
      </c>
      <c r="MZ17" t="s">
        <v>27</v>
      </c>
      <c r="NA17" t="s">
        <v>27</v>
      </c>
    </row>
    <row r="18" spans="1:374" x14ac:dyDescent="0.4">
      <c r="A18" s="17" t="str">
        <f t="shared" si="326"/>
        <v>Andrijana Hajner D Tehničar</v>
      </c>
      <c r="B18" s="1">
        <v>13</v>
      </c>
      <c r="C18" s="11" t="str">
        <f t="shared" si="327"/>
        <v>Andrijana Hajner</v>
      </c>
      <c r="D18" t="s">
        <v>17</v>
      </c>
      <c r="E18" t="s">
        <v>434</v>
      </c>
      <c r="F18" t="s">
        <v>503</v>
      </c>
      <c r="G18" t="s">
        <v>399</v>
      </c>
      <c r="H18">
        <f t="shared" si="330"/>
        <v>20</v>
      </c>
      <c r="I18">
        <f t="shared" si="328"/>
        <v>0</v>
      </c>
      <c r="P18" t="s">
        <v>29</v>
      </c>
      <c r="BC18" t="s">
        <v>29</v>
      </c>
      <c r="BD18" t="s">
        <v>29</v>
      </c>
      <c r="BE18" t="s">
        <v>29</v>
      </c>
      <c r="DB18" t="s">
        <v>26</v>
      </c>
      <c r="DC18" t="s">
        <v>26</v>
      </c>
      <c r="DD18" t="s">
        <v>26</v>
      </c>
      <c r="DE18" t="s">
        <v>26</v>
      </c>
      <c r="DF18" t="s">
        <v>26</v>
      </c>
      <c r="DO18" t="s">
        <v>29</v>
      </c>
      <c r="DW18" t="s">
        <v>26</v>
      </c>
      <c r="DX18" t="s">
        <v>26</v>
      </c>
      <c r="DY18" t="s">
        <v>26</v>
      </c>
      <c r="DZ18" t="s">
        <v>29</v>
      </c>
      <c r="EA18" t="s">
        <v>29</v>
      </c>
      <c r="FF18" t="s">
        <v>26</v>
      </c>
      <c r="FG18" t="s">
        <v>26</v>
      </c>
      <c r="FH18" t="s">
        <v>26</v>
      </c>
      <c r="FI18" t="s">
        <v>26</v>
      </c>
      <c r="FJ18" t="s">
        <v>26</v>
      </c>
      <c r="FK18" t="s">
        <v>28</v>
      </c>
      <c r="FL18" t="s">
        <v>28</v>
      </c>
      <c r="FM18" t="s">
        <v>26</v>
      </c>
      <c r="FN18" t="s">
        <v>26</v>
      </c>
      <c r="FO18" t="s">
        <v>26</v>
      </c>
      <c r="FP18" t="s">
        <v>26</v>
      </c>
      <c r="FQ18" t="s">
        <v>26</v>
      </c>
      <c r="IS18" t="s">
        <v>26</v>
      </c>
      <c r="IT18" t="s">
        <v>26</v>
      </c>
    </row>
    <row r="19" spans="1:374" x14ac:dyDescent="0.4">
      <c r="A19" s="17" t="str">
        <f t="shared" si="326"/>
        <v>Snežana Oblandic D Tehničar</v>
      </c>
      <c r="B19" s="1">
        <v>14</v>
      </c>
      <c r="C19" s="11" t="str">
        <f t="shared" si="327"/>
        <v>Snežana Oblandic</v>
      </c>
      <c r="D19" t="s">
        <v>6</v>
      </c>
      <c r="E19" t="s">
        <v>435</v>
      </c>
      <c r="F19" t="s">
        <v>503</v>
      </c>
      <c r="G19" t="s">
        <v>399</v>
      </c>
      <c r="H19">
        <f t="shared" si="330"/>
        <v>20</v>
      </c>
      <c r="I19">
        <f t="shared" si="328"/>
        <v>5</v>
      </c>
      <c r="K19" t="s">
        <v>26</v>
      </c>
      <c r="L19" t="s">
        <v>26</v>
      </c>
      <c r="M19" t="s">
        <v>26</v>
      </c>
      <c r="N19" t="s">
        <v>26</v>
      </c>
      <c r="O19" t="s">
        <v>28</v>
      </c>
      <c r="P19" t="s">
        <v>29</v>
      </c>
      <c r="Q19" t="s">
        <v>28</v>
      </c>
      <c r="BC19" t="s">
        <v>29</v>
      </c>
      <c r="BD19" t="s">
        <v>29</v>
      </c>
      <c r="BE19" t="s">
        <v>29</v>
      </c>
      <c r="DO19" t="s">
        <v>29</v>
      </c>
      <c r="DP19" t="s">
        <v>29</v>
      </c>
      <c r="DZ19" t="s">
        <v>29</v>
      </c>
      <c r="EA19" t="s">
        <v>29</v>
      </c>
      <c r="GG19" t="s">
        <v>26</v>
      </c>
      <c r="GH19" t="s">
        <v>26</v>
      </c>
      <c r="GO19" t="s">
        <v>26</v>
      </c>
      <c r="GP19" t="s">
        <v>26</v>
      </c>
      <c r="GQ19" t="s">
        <v>26</v>
      </c>
      <c r="GR19" t="s">
        <v>26</v>
      </c>
      <c r="GS19" t="s">
        <v>26</v>
      </c>
      <c r="GT19" t="s">
        <v>26</v>
      </c>
      <c r="GU19" t="s">
        <v>26</v>
      </c>
      <c r="GV19" t="s">
        <v>26</v>
      </c>
      <c r="IL19" t="s">
        <v>27</v>
      </c>
      <c r="IM19" t="s">
        <v>27</v>
      </c>
      <c r="IN19" t="s">
        <v>27</v>
      </c>
      <c r="IO19" t="s">
        <v>27</v>
      </c>
      <c r="IP19" t="s">
        <v>27</v>
      </c>
      <c r="NE19" t="s">
        <v>26</v>
      </c>
      <c r="NF19" t="s">
        <v>26</v>
      </c>
      <c r="NG19" t="s">
        <v>26</v>
      </c>
      <c r="NH19" t="s">
        <v>26</v>
      </c>
      <c r="NI19" t="s">
        <v>26</v>
      </c>
      <c r="NJ19" t="s">
        <v>26</v>
      </c>
    </row>
    <row r="20" spans="1:374" x14ac:dyDescent="0.4">
      <c r="A20" s="17" t="str">
        <f t="shared" si="326"/>
        <v>Ivana Zlatanovic E Farmaceut</v>
      </c>
      <c r="B20" s="1">
        <v>15</v>
      </c>
      <c r="C20" s="11" t="str">
        <f t="shared" si="327"/>
        <v>Ivana Zlatanovic</v>
      </c>
      <c r="D20" t="s">
        <v>7</v>
      </c>
      <c r="E20" t="s">
        <v>436</v>
      </c>
      <c r="F20" t="s">
        <v>504</v>
      </c>
      <c r="G20" t="s">
        <v>398</v>
      </c>
      <c r="H20">
        <f t="shared" si="330"/>
        <v>20</v>
      </c>
      <c r="I20">
        <f t="shared" si="328"/>
        <v>0</v>
      </c>
      <c r="P20" t="s">
        <v>29</v>
      </c>
      <c r="BC20" t="s">
        <v>29</v>
      </c>
      <c r="BD20" t="s">
        <v>29</v>
      </c>
      <c r="BE20" t="s">
        <v>29</v>
      </c>
      <c r="BF20" t="s">
        <v>26</v>
      </c>
      <c r="CF20" t="s">
        <v>26</v>
      </c>
      <c r="CG20" t="s">
        <v>26</v>
      </c>
      <c r="CH20" t="s">
        <v>26</v>
      </c>
      <c r="CI20" t="s">
        <v>26</v>
      </c>
      <c r="CJ20" t="s">
        <v>26</v>
      </c>
      <c r="CK20" t="s">
        <v>26</v>
      </c>
      <c r="CL20" t="s">
        <v>26</v>
      </c>
      <c r="DO20" t="s">
        <v>29</v>
      </c>
      <c r="DP20" t="s">
        <v>29</v>
      </c>
      <c r="DQ20" t="s">
        <v>26</v>
      </c>
      <c r="DR20" t="s">
        <v>26</v>
      </c>
      <c r="DS20" t="s">
        <v>26</v>
      </c>
      <c r="DT20" t="s">
        <v>26</v>
      </c>
      <c r="DU20" t="s">
        <v>26</v>
      </c>
      <c r="DV20" t="s">
        <v>26</v>
      </c>
      <c r="DZ20" t="s">
        <v>29</v>
      </c>
      <c r="EA20" t="s">
        <v>29</v>
      </c>
      <c r="HW20" t="s">
        <v>26</v>
      </c>
      <c r="HX20" t="s">
        <v>26</v>
      </c>
      <c r="HY20" t="s">
        <v>26</v>
      </c>
      <c r="HZ20" t="s">
        <v>26</v>
      </c>
      <c r="IA20" t="s">
        <v>26</v>
      </c>
      <c r="IB20" t="s">
        <v>26</v>
      </c>
    </row>
    <row r="21" spans="1:374" x14ac:dyDescent="0.4">
      <c r="A21" s="17" t="str">
        <f t="shared" si="326"/>
        <v>Tina Martic E Tehničar</v>
      </c>
      <c r="B21" s="1">
        <v>16</v>
      </c>
      <c r="C21" s="11" t="str">
        <f t="shared" si="327"/>
        <v>Tina Martic</v>
      </c>
      <c r="D21" t="s">
        <v>437</v>
      </c>
      <c r="E21" t="s">
        <v>438</v>
      </c>
      <c r="F21" t="s">
        <v>504</v>
      </c>
      <c r="G21" t="s">
        <v>399</v>
      </c>
      <c r="H21">
        <f t="shared" si="330"/>
        <v>20</v>
      </c>
      <c r="I21">
        <f t="shared" si="328"/>
        <v>0</v>
      </c>
      <c r="P21" t="s">
        <v>29</v>
      </c>
      <c r="AA21" t="s">
        <v>26</v>
      </c>
      <c r="AB21" t="s">
        <v>26</v>
      </c>
      <c r="AC21" t="s">
        <v>26</v>
      </c>
      <c r="AD21" t="s">
        <v>26</v>
      </c>
      <c r="BC21" t="s">
        <v>29</v>
      </c>
      <c r="BD21" t="s">
        <v>29</v>
      </c>
      <c r="BE21" t="s">
        <v>29</v>
      </c>
      <c r="CD21" t="s">
        <v>26</v>
      </c>
      <c r="CE21" t="s">
        <v>26</v>
      </c>
      <c r="CF21" t="s">
        <v>26</v>
      </c>
      <c r="CG21" t="s">
        <v>26</v>
      </c>
      <c r="CH21" t="s">
        <v>26</v>
      </c>
      <c r="DL21" t="s">
        <v>26</v>
      </c>
      <c r="DM21" t="s">
        <v>26</v>
      </c>
      <c r="DN21" t="s">
        <v>26</v>
      </c>
      <c r="DO21" t="s">
        <v>29</v>
      </c>
      <c r="DP21" t="s">
        <v>29</v>
      </c>
      <c r="DZ21" t="s">
        <v>29</v>
      </c>
      <c r="EA21" t="s">
        <v>29</v>
      </c>
      <c r="EB21" t="s">
        <v>26</v>
      </c>
      <c r="EC21" t="s">
        <v>26</v>
      </c>
      <c r="FW21" t="s">
        <v>26</v>
      </c>
      <c r="FX21" t="s">
        <v>26</v>
      </c>
      <c r="FY21" t="s">
        <v>26</v>
      </c>
      <c r="FZ21" t="s">
        <v>26</v>
      </c>
      <c r="GA21" t="s">
        <v>26</v>
      </c>
      <c r="GB21" t="s">
        <v>26</v>
      </c>
    </row>
    <row r="22" spans="1:374" x14ac:dyDescent="0.4">
      <c r="A22" s="17" t="str">
        <f t="shared" si="326"/>
        <v>Marija Grim E Tehničar</v>
      </c>
      <c r="B22" s="1">
        <v>17</v>
      </c>
      <c r="C22" s="11" t="str">
        <f t="shared" si="327"/>
        <v>Marija Grim</v>
      </c>
      <c r="D22" t="s">
        <v>9</v>
      </c>
      <c r="E22" t="s">
        <v>439</v>
      </c>
      <c r="F22" t="s">
        <v>504</v>
      </c>
      <c r="G22" t="s">
        <v>399</v>
      </c>
      <c r="H22">
        <f t="shared" si="330"/>
        <v>20</v>
      </c>
      <c r="I22">
        <f t="shared" si="328"/>
        <v>0</v>
      </c>
      <c r="J22" t="s">
        <v>29</v>
      </c>
      <c r="P22" t="s">
        <v>29</v>
      </c>
      <c r="BC22" t="s">
        <v>29</v>
      </c>
      <c r="BD22" t="s">
        <v>29</v>
      </c>
      <c r="BE22" t="s">
        <v>29</v>
      </c>
      <c r="CQ22" t="s">
        <v>26</v>
      </c>
      <c r="CR22" t="s">
        <v>26</v>
      </c>
      <c r="CS22" t="s">
        <v>26</v>
      </c>
      <c r="CT22" t="s">
        <v>26</v>
      </c>
      <c r="CU22" t="s">
        <v>26</v>
      </c>
      <c r="CV22" t="s">
        <v>26</v>
      </c>
      <c r="DO22" t="s">
        <v>29</v>
      </c>
      <c r="DP22" t="s">
        <v>29</v>
      </c>
      <c r="DZ22" t="s">
        <v>29</v>
      </c>
      <c r="EA22" t="s">
        <v>29</v>
      </c>
      <c r="EK22" t="s">
        <v>26</v>
      </c>
      <c r="EL22" t="s">
        <v>26</v>
      </c>
      <c r="EM22" t="s">
        <v>26</v>
      </c>
      <c r="EN22" t="s">
        <v>26</v>
      </c>
      <c r="EO22" t="s">
        <v>26</v>
      </c>
      <c r="EP22" t="s">
        <v>26</v>
      </c>
      <c r="GW22" t="s">
        <v>26</v>
      </c>
      <c r="GX22" t="s">
        <v>26</v>
      </c>
      <c r="GY22" t="s">
        <v>26</v>
      </c>
      <c r="GZ22" t="s">
        <v>26</v>
      </c>
      <c r="HA22" t="s">
        <v>26</v>
      </c>
      <c r="HB22" t="s">
        <v>26</v>
      </c>
      <c r="NA22" t="s">
        <v>26</v>
      </c>
      <c r="NB22" t="s">
        <v>26</v>
      </c>
    </row>
    <row r="23" spans="1:374" x14ac:dyDescent="0.4">
      <c r="A23" s="17" t="str">
        <f t="shared" si="326"/>
        <v>Gavrilo Gazivoda E Tehničar</v>
      </c>
      <c r="B23" s="1">
        <v>18</v>
      </c>
      <c r="C23" s="11" t="str">
        <f t="shared" si="327"/>
        <v>Gavrilo Gazivoda</v>
      </c>
      <c r="D23" t="s">
        <v>440</v>
      </c>
      <c r="E23" t="s">
        <v>441</v>
      </c>
      <c r="F23" t="s">
        <v>504</v>
      </c>
      <c r="G23" t="s">
        <v>399</v>
      </c>
      <c r="H23">
        <f t="shared" si="330"/>
        <v>20</v>
      </c>
      <c r="I23">
        <f t="shared" si="328"/>
        <v>2</v>
      </c>
      <c r="J23" t="s">
        <v>29</v>
      </c>
      <c r="K23" t="s">
        <v>27</v>
      </c>
      <c r="L23" t="s">
        <v>27</v>
      </c>
      <c r="O23" t="s">
        <v>28</v>
      </c>
      <c r="P23" t="s">
        <v>29</v>
      </c>
      <c r="AD23" t="s">
        <v>26</v>
      </c>
      <c r="AE23" t="s">
        <v>26</v>
      </c>
      <c r="AF23" t="s">
        <v>26</v>
      </c>
      <c r="AG23" t="s">
        <v>26</v>
      </c>
      <c r="BC23" t="s">
        <v>29</v>
      </c>
      <c r="BD23" t="s">
        <v>29</v>
      </c>
      <c r="BE23" t="s">
        <v>29</v>
      </c>
      <c r="DO23" t="s">
        <v>29</v>
      </c>
      <c r="DP23" t="s">
        <v>29</v>
      </c>
      <c r="DZ23" t="s">
        <v>29</v>
      </c>
      <c r="EA23" t="s">
        <v>29</v>
      </c>
      <c r="EY23" t="s">
        <v>26</v>
      </c>
      <c r="EZ23" t="s">
        <v>26</v>
      </c>
      <c r="FA23" t="s">
        <v>26</v>
      </c>
      <c r="FB23" t="s">
        <v>26</v>
      </c>
      <c r="FC23" t="s">
        <v>26</v>
      </c>
      <c r="FD23" t="s">
        <v>26</v>
      </c>
      <c r="FE23" t="s">
        <v>26</v>
      </c>
      <c r="FF23" t="s">
        <v>26</v>
      </c>
      <c r="FG23" t="s">
        <v>28</v>
      </c>
      <c r="FH23" t="s">
        <v>28</v>
      </c>
      <c r="GC23" t="s">
        <v>26</v>
      </c>
      <c r="GD23" t="s">
        <v>26</v>
      </c>
      <c r="GE23" t="s">
        <v>26</v>
      </c>
      <c r="GF23" t="s">
        <v>26</v>
      </c>
      <c r="MW23" t="s">
        <v>26</v>
      </c>
      <c r="MX23" t="s">
        <v>26</v>
      </c>
      <c r="MY23" t="s">
        <v>26</v>
      </c>
      <c r="MZ23" t="s">
        <v>26</v>
      </c>
    </row>
    <row r="24" spans="1:374" x14ac:dyDescent="0.4">
      <c r="A24" s="17" t="str">
        <f t="shared" si="326"/>
        <v>Petar Caric F Farmaceut</v>
      </c>
      <c r="B24" s="1">
        <v>19</v>
      </c>
      <c r="C24" s="11" t="str">
        <f t="shared" si="327"/>
        <v>Petar Caric</v>
      </c>
      <c r="D24" t="s">
        <v>442</v>
      </c>
      <c r="E24" t="s">
        <v>443</v>
      </c>
      <c r="F24" t="s">
        <v>505</v>
      </c>
      <c r="G24" t="s">
        <v>398</v>
      </c>
      <c r="H24">
        <f t="shared" si="330"/>
        <v>20</v>
      </c>
      <c r="I24">
        <f t="shared" si="328"/>
        <v>9</v>
      </c>
      <c r="J24" t="s">
        <v>29</v>
      </c>
      <c r="P24" t="s">
        <v>29</v>
      </c>
      <c r="R24" t="s">
        <v>27</v>
      </c>
      <c r="S24" t="s">
        <v>27</v>
      </c>
      <c r="T24" t="s">
        <v>27</v>
      </c>
      <c r="U24" t="s">
        <v>27</v>
      </c>
      <c r="AV24" t="s">
        <v>26</v>
      </c>
      <c r="AW24" t="s">
        <v>26</v>
      </c>
      <c r="AX24" t="s">
        <v>26</v>
      </c>
      <c r="AY24" t="s">
        <v>26</v>
      </c>
      <c r="AZ24" t="s">
        <v>26</v>
      </c>
      <c r="BA24" t="s">
        <v>26</v>
      </c>
      <c r="BB24" t="s">
        <v>26</v>
      </c>
      <c r="BC24" t="s">
        <v>29</v>
      </c>
      <c r="BD24" t="s">
        <v>29</v>
      </c>
      <c r="BE24" t="s">
        <v>29</v>
      </c>
      <c r="BQ24" t="s">
        <v>26</v>
      </c>
      <c r="BR24" t="s">
        <v>26</v>
      </c>
      <c r="BS24" t="s">
        <v>26</v>
      </c>
      <c r="BT24" t="s">
        <v>26</v>
      </c>
      <c r="BU24" t="s">
        <v>26</v>
      </c>
      <c r="DO24" t="s">
        <v>29</v>
      </c>
      <c r="DP24" t="s">
        <v>29</v>
      </c>
      <c r="DZ24" t="s">
        <v>29</v>
      </c>
      <c r="EA24" t="s">
        <v>29</v>
      </c>
      <c r="HN24" t="s">
        <v>26</v>
      </c>
      <c r="HO24" t="s">
        <v>26</v>
      </c>
      <c r="HP24" t="s">
        <v>26</v>
      </c>
      <c r="HQ24" t="s">
        <v>26</v>
      </c>
      <c r="HR24" t="s">
        <v>26</v>
      </c>
      <c r="HS24" t="s">
        <v>26</v>
      </c>
      <c r="HT24" t="s">
        <v>26</v>
      </c>
      <c r="HU24" t="s">
        <v>26</v>
      </c>
      <c r="LG24" t="s">
        <v>27</v>
      </c>
      <c r="LH24" t="s">
        <v>27</v>
      </c>
      <c r="LI24" t="s">
        <v>27</v>
      </c>
      <c r="LJ24" t="s">
        <v>27</v>
      </c>
      <c r="LK24" t="s">
        <v>27</v>
      </c>
    </row>
    <row r="25" spans="1:374" x14ac:dyDescent="0.4">
      <c r="A25" s="17" t="str">
        <f t="shared" si="326"/>
        <v>Dusko Krivic F Farmaceut</v>
      </c>
      <c r="B25" s="1">
        <v>20</v>
      </c>
      <c r="C25" s="11" t="str">
        <f t="shared" si="327"/>
        <v>Dusko Krivic</v>
      </c>
      <c r="D25" t="s">
        <v>444</v>
      </c>
      <c r="E25" t="s">
        <v>445</v>
      </c>
      <c r="F25" t="s">
        <v>505</v>
      </c>
      <c r="G25" t="s">
        <v>398</v>
      </c>
      <c r="H25">
        <f t="shared" si="330"/>
        <v>20</v>
      </c>
      <c r="I25">
        <f t="shared" si="328"/>
        <v>2</v>
      </c>
      <c r="J25" t="s">
        <v>29</v>
      </c>
      <c r="P25" t="s">
        <v>29</v>
      </c>
      <c r="AO25" t="s">
        <v>26</v>
      </c>
      <c r="AP25" t="s">
        <v>26</v>
      </c>
      <c r="AQ25" t="s">
        <v>26</v>
      </c>
      <c r="BC25" t="s">
        <v>29</v>
      </c>
      <c r="BE25" t="s">
        <v>29</v>
      </c>
      <c r="CA25" t="s">
        <v>26</v>
      </c>
      <c r="CB25" t="s">
        <v>26</v>
      </c>
      <c r="CC25" t="s">
        <v>26</v>
      </c>
      <c r="CY25" t="s">
        <v>26</v>
      </c>
      <c r="CZ25" t="s">
        <v>26</v>
      </c>
      <c r="DA25" t="s">
        <v>26</v>
      </c>
      <c r="DB25" t="s">
        <v>26</v>
      </c>
      <c r="DO25" t="s">
        <v>29</v>
      </c>
      <c r="DP25" t="s">
        <v>29</v>
      </c>
      <c r="DZ25" t="s">
        <v>29</v>
      </c>
      <c r="EA25" t="s">
        <v>29</v>
      </c>
      <c r="GP25" t="s">
        <v>27</v>
      </c>
      <c r="GQ25" t="s">
        <v>27</v>
      </c>
      <c r="ID25" t="s">
        <v>26</v>
      </c>
      <c r="IE25" t="s">
        <v>26</v>
      </c>
      <c r="IF25" t="s">
        <v>26</v>
      </c>
      <c r="IG25" t="s">
        <v>26</v>
      </c>
      <c r="IH25" t="s">
        <v>26</v>
      </c>
      <c r="II25" t="s">
        <v>26</v>
      </c>
      <c r="IJ25" t="s">
        <v>26</v>
      </c>
      <c r="IK25" t="s">
        <v>26</v>
      </c>
      <c r="IL25" t="s">
        <v>26</v>
      </c>
      <c r="IM25" t="s">
        <v>26</v>
      </c>
    </row>
    <row r="26" spans="1:374" x14ac:dyDescent="0.4">
      <c r="A26" s="17" t="str">
        <f t="shared" si="326"/>
        <v>Hana Blam F Tehničar</v>
      </c>
      <c r="B26" s="1">
        <v>21</v>
      </c>
      <c r="C26" s="11" t="str">
        <f t="shared" si="327"/>
        <v>Hana Blam</v>
      </c>
      <c r="D26" t="s">
        <v>446</v>
      </c>
      <c r="E26" t="s">
        <v>447</v>
      </c>
      <c r="F26" t="s">
        <v>505</v>
      </c>
      <c r="G26" t="s">
        <v>399</v>
      </c>
      <c r="H26">
        <f t="shared" si="330"/>
        <v>17</v>
      </c>
      <c r="I26">
        <f t="shared" si="328"/>
        <v>5</v>
      </c>
      <c r="J26" t="s">
        <v>29</v>
      </c>
      <c r="O26" t="s">
        <v>26</v>
      </c>
      <c r="P26" t="s">
        <v>29</v>
      </c>
      <c r="Q26" t="s">
        <v>26</v>
      </c>
      <c r="R26" t="s">
        <v>26</v>
      </c>
      <c r="S26" t="s">
        <v>26</v>
      </c>
      <c r="BC26" t="s">
        <v>29</v>
      </c>
      <c r="BE26" t="s">
        <v>29</v>
      </c>
      <c r="BK26" t="s">
        <v>27</v>
      </c>
      <c r="BL26" t="s">
        <v>27</v>
      </c>
      <c r="BM26" t="s">
        <v>27</v>
      </c>
      <c r="BN26" t="s">
        <v>27</v>
      </c>
      <c r="BO26" t="s">
        <v>27</v>
      </c>
      <c r="BW26" t="s">
        <v>26</v>
      </c>
      <c r="BX26" t="s">
        <v>26</v>
      </c>
      <c r="BY26" t="s">
        <v>28</v>
      </c>
      <c r="BZ26" t="s">
        <v>26</v>
      </c>
      <c r="DO26" t="s">
        <v>29</v>
      </c>
      <c r="DP26" t="s">
        <v>29</v>
      </c>
      <c r="DZ26" t="s">
        <v>29</v>
      </c>
      <c r="EA26" t="s">
        <v>29</v>
      </c>
      <c r="IP26" t="s">
        <v>26</v>
      </c>
      <c r="IQ26" t="s">
        <v>26</v>
      </c>
      <c r="IR26" t="s">
        <v>26</v>
      </c>
      <c r="IS26" t="s">
        <v>26</v>
      </c>
      <c r="IT26" t="s">
        <v>26</v>
      </c>
      <c r="IU26" t="s">
        <v>26</v>
      </c>
      <c r="IV26" t="s">
        <v>26</v>
      </c>
      <c r="IW26" t="s">
        <v>26</v>
      </c>
      <c r="IX26" t="s">
        <v>26</v>
      </c>
      <c r="IY26" t="s">
        <v>26</v>
      </c>
    </row>
    <row r="27" spans="1:374" x14ac:dyDescent="0.4">
      <c r="A27" s="17" t="str">
        <f t="shared" si="326"/>
        <v>Tin Hrebljanovic G Farmaceut</v>
      </c>
      <c r="B27" s="1">
        <v>22</v>
      </c>
      <c r="C27" s="11" t="str">
        <f t="shared" si="327"/>
        <v>Tin Hrebljanovic</v>
      </c>
      <c r="D27" t="s">
        <v>448</v>
      </c>
      <c r="E27" t="s">
        <v>449</v>
      </c>
      <c r="F27" t="s">
        <v>506</v>
      </c>
      <c r="G27" t="s">
        <v>398</v>
      </c>
      <c r="H27">
        <f t="shared" si="330"/>
        <v>20</v>
      </c>
      <c r="I27">
        <f t="shared" si="328"/>
        <v>0</v>
      </c>
      <c r="J27" t="s">
        <v>29</v>
      </c>
      <c r="P27" t="s">
        <v>29</v>
      </c>
      <c r="BC27" t="s">
        <v>29</v>
      </c>
      <c r="BD27" t="s">
        <v>29</v>
      </c>
      <c r="BE27" t="s">
        <v>29</v>
      </c>
      <c r="DO27" t="s">
        <v>29</v>
      </c>
      <c r="DP27" t="s">
        <v>29</v>
      </c>
      <c r="DZ27" t="s">
        <v>29</v>
      </c>
      <c r="EA27" t="s">
        <v>29</v>
      </c>
      <c r="FO27" t="s">
        <v>26</v>
      </c>
      <c r="FP27" t="s">
        <v>26</v>
      </c>
      <c r="FQ27" t="s">
        <v>26</v>
      </c>
      <c r="FR27" t="s">
        <v>26</v>
      </c>
      <c r="FS27" t="s">
        <v>26</v>
      </c>
      <c r="FT27" t="s">
        <v>28</v>
      </c>
      <c r="FU27" t="s">
        <v>28</v>
      </c>
      <c r="FV27" t="s">
        <v>26</v>
      </c>
      <c r="FW27" t="s">
        <v>26</v>
      </c>
      <c r="FX27" t="s">
        <v>26</v>
      </c>
      <c r="FY27" t="s">
        <v>26</v>
      </c>
      <c r="FZ27" t="s">
        <v>26</v>
      </c>
      <c r="GR27" t="s">
        <v>26</v>
      </c>
      <c r="GS27" t="s">
        <v>26</v>
      </c>
      <c r="GT27" t="s">
        <v>26</v>
      </c>
      <c r="GU27" t="s">
        <v>26</v>
      </c>
      <c r="GV27" t="s">
        <v>26</v>
      </c>
      <c r="HE27" t="s">
        <v>26</v>
      </c>
      <c r="HF27" t="s">
        <v>26</v>
      </c>
      <c r="HG27" t="s">
        <v>26</v>
      </c>
      <c r="HH27" t="s">
        <v>26</v>
      </c>
      <c r="HI27" t="s">
        <v>26</v>
      </c>
    </row>
    <row r="28" spans="1:374" x14ac:dyDescent="0.4">
      <c r="A28" s="17" t="str">
        <f t="shared" si="326"/>
        <v>Irina Buljbasic G Tehničar</v>
      </c>
      <c r="B28" s="1">
        <v>23</v>
      </c>
      <c r="C28" s="11" t="str">
        <f t="shared" si="327"/>
        <v>Irina Buljbasic</v>
      </c>
      <c r="D28" t="s">
        <v>450</v>
      </c>
      <c r="E28" t="s">
        <v>451</v>
      </c>
      <c r="F28" t="s">
        <v>506</v>
      </c>
      <c r="G28" t="s">
        <v>399</v>
      </c>
      <c r="H28">
        <f t="shared" si="330"/>
        <v>20</v>
      </c>
      <c r="I28">
        <f t="shared" si="328"/>
        <v>6</v>
      </c>
      <c r="J28" t="s">
        <v>29</v>
      </c>
      <c r="M28" t="s">
        <v>26</v>
      </c>
      <c r="N28" t="s">
        <v>26</v>
      </c>
      <c r="O28" t="s">
        <v>26</v>
      </c>
      <c r="P28" t="s">
        <v>29</v>
      </c>
      <c r="AS28" t="s">
        <v>27</v>
      </c>
      <c r="AT28" t="s">
        <v>27</v>
      </c>
      <c r="AU28" t="s">
        <v>27</v>
      </c>
      <c r="BC28" t="s">
        <v>29</v>
      </c>
      <c r="BD28" t="s">
        <v>29</v>
      </c>
      <c r="BE28" t="s">
        <v>29</v>
      </c>
      <c r="CJ28" t="s">
        <v>26</v>
      </c>
      <c r="CK28" t="s">
        <v>26</v>
      </c>
      <c r="CL28" t="s">
        <v>26</v>
      </c>
      <c r="CM28" t="s">
        <v>26</v>
      </c>
      <c r="CN28" t="s">
        <v>26</v>
      </c>
      <c r="CO28" t="s">
        <v>26</v>
      </c>
      <c r="CP28" t="s">
        <v>26</v>
      </c>
      <c r="CQ28" t="s">
        <v>26</v>
      </c>
      <c r="CR28" t="s">
        <v>26</v>
      </c>
      <c r="CS28" t="s">
        <v>26</v>
      </c>
      <c r="DO28" t="s">
        <v>29</v>
      </c>
      <c r="DZ28" t="s">
        <v>29</v>
      </c>
      <c r="EA28" t="s">
        <v>29</v>
      </c>
      <c r="EW28" t="s">
        <v>26</v>
      </c>
      <c r="HB28" t="s">
        <v>26</v>
      </c>
      <c r="HC28" t="s">
        <v>26</v>
      </c>
      <c r="HD28" t="s">
        <v>26</v>
      </c>
      <c r="HE28" t="s">
        <v>26</v>
      </c>
      <c r="HF28" t="s">
        <v>26</v>
      </c>
      <c r="HG28" t="s">
        <v>26</v>
      </c>
      <c r="MY28" t="s">
        <v>27</v>
      </c>
      <c r="MZ28" t="s">
        <v>27</v>
      </c>
      <c r="NA28" t="s">
        <v>27</v>
      </c>
    </row>
    <row r="29" spans="1:374" x14ac:dyDescent="0.4">
      <c r="A29" s="17" t="str">
        <f t="shared" si="326"/>
        <v>Verica Tribalic G Tehničar</v>
      </c>
      <c r="B29" s="1">
        <v>24</v>
      </c>
      <c r="C29" s="11" t="str">
        <f t="shared" si="327"/>
        <v>Verica Tribalic</v>
      </c>
      <c r="D29" t="s">
        <v>12</v>
      </c>
      <c r="E29" t="s">
        <v>452</v>
      </c>
      <c r="F29" t="s">
        <v>506</v>
      </c>
      <c r="G29" t="s">
        <v>399</v>
      </c>
      <c r="H29">
        <f t="shared" si="330"/>
        <v>20</v>
      </c>
      <c r="I29">
        <f t="shared" si="328"/>
        <v>0</v>
      </c>
      <c r="J29" t="s">
        <v>29</v>
      </c>
      <c r="P29" t="s">
        <v>29</v>
      </c>
      <c r="BC29" t="s">
        <v>29</v>
      </c>
      <c r="BD29" t="s">
        <v>29</v>
      </c>
      <c r="DO29" t="s">
        <v>29</v>
      </c>
      <c r="DP29" t="s">
        <v>29</v>
      </c>
      <c r="DZ29" t="s">
        <v>29</v>
      </c>
      <c r="EA29" t="s">
        <v>29</v>
      </c>
      <c r="IY29" t="s">
        <v>26</v>
      </c>
      <c r="IZ29" t="s">
        <v>26</v>
      </c>
      <c r="JA29" t="s">
        <v>26</v>
      </c>
      <c r="JB29" t="s">
        <v>26</v>
      </c>
      <c r="JC29" t="s">
        <v>26</v>
      </c>
      <c r="JD29" t="s">
        <v>26</v>
      </c>
      <c r="JE29" t="s">
        <v>26</v>
      </c>
      <c r="JF29" t="s">
        <v>26</v>
      </c>
      <c r="JG29" t="s">
        <v>26</v>
      </c>
      <c r="JH29" t="s">
        <v>26</v>
      </c>
      <c r="JX29" t="s">
        <v>26</v>
      </c>
      <c r="JY29" t="s">
        <v>26</v>
      </c>
      <c r="JZ29" t="s">
        <v>26</v>
      </c>
      <c r="KA29" t="s">
        <v>26</v>
      </c>
      <c r="KB29" t="s">
        <v>26</v>
      </c>
      <c r="KC29" t="s">
        <v>26</v>
      </c>
      <c r="MG29" t="s">
        <v>26</v>
      </c>
      <c r="MH29" t="s">
        <v>26</v>
      </c>
      <c r="MI29" t="s">
        <v>26</v>
      </c>
      <c r="MJ29" t="s">
        <v>26</v>
      </c>
    </row>
    <row r="30" spans="1:374" x14ac:dyDescent="0.4">
      <c r="A30" s="17" t="str">
        <f t="shared" si="326"/>
        <v>Radisa Nikolic G Farmaceut</v>
      </c>
      <c r="B30" s="1">
        <v>25</v>
      </c>
      <c r="C30" s="11" t="str">
        <f t="shared" si="327"/>
        <v>Radisa Nikolic</v>
      </c>
      <c r="D30" t="s">
        <v>453</v>
      </c>
      <c r="E30" t="s">
        <v>454</v>
      </c>
      <c r="F30" t="s">
        <v>506</v>
      </c>
      <c r="G30" t="s">
        <v>398</v>
      </c>
      <c r="H30">
        <f t="shared" si="330"/>
        <v>20</v>
      </c>
      <c r="I30">
        <f t="shared" si="328"/>
        <v>0</v>
      </c>
      <c r="J30" t="s">
        <v>29</v>
      </c>
      <c r="P30" t="s">
        <v>29</v>
      </c>
      <c r="BC30" t="s">
        <v>29</v>
      </c>
      <c r="BD30" t="s">
        <v>29</v>
      </c>
      <c r="DO30" t="s">
        <v>29</v>
      </c>
      <c r="DP30" t="s">
        <v>29</v>
      </c>
      <c r="DZ30" t="s">
        <v>29</v>
      </c>
      <c r="EA30" t="s">
        <v>29</v>
      </c>
      <c r="GI30" t="s">
        <v>26</v>
      </c>
      <c r="GJ30" t="s">
        <v>26</v>
      </c>
      <c r="GK30" t="s">
        <v>26</v>
      </c>
      <c r="GL30" t="s">
        <v>26</v>
      </c>
      <c r="GM30" t="s">
        <v>26</v>
      </c>
      <c r="HJ30" t="s">
        <v>26</v>
      </c>
      <c r="HK30" t="s">
        <v>26</v>
      </c>
      <c r="HL30" t="s">
        <v>26</v>
      </c>
      <c r="HM30" t="s">
        <v>26</v>
      </c>
      <c r="HN30" t="s">
        <v>26</v>
      </c>
      <c r="JJ30" t="s">
        <v>26</v>
      </c>
      <c r="JK30" t="s">
        <v>26</v>
      </c>
      <c r="JL30" t="s">
        <v>26</v>
      </c>
      <c r="JM30" t="s">
        <v>26</v>
      </c>
      <c r="JN30" t="s">
        <v>26</v>
      </c>
      <c r="KE30" t="s">
        <v>26</v>
      </c>
      <c r="KF30" t="s">
        <v>26</v>
      </c>
      <c r="KG30" t="s">
        <v>26</v>
      </c>
      <c r="KH30" t="s">
        <v>26</v>
      </c>
      <c r="KI30" t="s">
        <v>26</v>
      </c>
    </row>
    <row r="31" spans="1:374" x14ac:dyDescent="0.4">
      <c r="A31" s="17" t="str">
        <f t="shared" si="326"/>
        <v>Cveta Sladic H Tehničar</v>
      </c>
      <c r="B31" s="1">
        <v>26</v>
      </c>
      <c r="C31" s="11" t="str">
        <f t="shared" si="327"/>
        <v>Cveta Sladic</v>
      </c>
      <c r="D31" t="s">
        <v>455</v>
      </c>
      <c r="E31" t="s">
        <v>456</v>
      </c>
      <c r="F31" t="s">
        <v>507</v>
      </c>
      <c r="G31" t="s">
        <v>399</v>
      </c>
      <c r="H31">
        <f t="shared" si="330"/>
        <v>20</v>
      </c>
      <c r="I31">
        <f t="shared" si="328"/>
        <v>3</v>
      </c>
      <c r="J31" t="s">
        <v>29</v>
      </c>
      <c r="K31" t="s">
        <v>26</v>
      </c>
      <c r="P31" t="s">
        <v>29</v>
      </c>
      <c r="V31" t="s">
        <v>26</v>
      </c>
      <c r="W31" t="s">
        <v>26</v>
      </c>
      <c r="X31" t="s">
        <v>26</v>
      </c>
      <c r="Y31" t="s">
        <v>26</v>
      </c>
      <c r="Z31" t="s">
        <v>26</v>
      </c>
      <c r="BC31" t="s">
        <v>29</v>
      </c>
      <c r="BD31" t="s">
        <v>29</v>
      </c>
      <c r="BE31" t="s">
        <v>29</v>
      </c>
      <c r="DG31" t="s">
        <v>26</v>
      </c>
      <c r="DH31" t="s">
        <v>26</v>
      </c>
      <c r="DI31" t="s">
        <v>26</v>
      </c>
      <c r="DJ31" t="s">
        <v>26</v>
      </c>
      <c r="DK31" t="s">
        <v>26</v>
      </c>
      <c r="DO31" t="s">
        <v>29</v>
      </c>
      <c r="DP31" t="s">
        <v>29</v>
      </c>
      <c r="DQ31" t="s">
        <v>27</v>
      </c>
      <c r="DR31" t="s">
        <v>27</v>
      </c>
      <c r="DS31" t="s">
        <v>27</v>
      </c>
      <c r="DZ31" t="s">
        <v>29</v>
      </c>
      <c r="EA31" t="s">
        <v>29</v>
      </c>
      <c r="EU31" t="s">
        <v>26</v>
      </c>
      <c r="EV31" t="s">
        <v>26</v>
      </c>
      <c r="EW31" t="s">
        <v>26</v>
      </c>
      <c r="JQ31" t="s">
        <v>26</v>
      </c>
      <c r="JR31" t="s">
        <v>26</v>
      </c>
      <c r="JS31" t="s">
        <v>26</v>
      </c>
      <c r="JT31" t="s">
        <v>26</v>
      </c>
      <c r="JU31" t="s">
        <v>26</v>
      </c>
      <c r="JV31" t="s">
        <v>26</v>
      </c>
    </row>
    <row r="32" spans="1:374" x14ac:dyDescent="0.4">
      <c r="A32" s="17" t="str">
        <f t="shared" si="326"/>
        <v>Trifun Milicic H Tehničar</v>
      </c>
      <c r="B32" s="1">
        <v>27</v>
      </c>
      <c r="C32" s="11" t="str">
        <f t="shared" si="327"/>
        <v>Trifun Milicic</v>
      </c>
      <c r="D32" t="s">
        <v>457</v>
      </c>
      <c r="E32" t="s">
        <v>458</v>
      </c>
      <c r="F32" t="s">
        <v>507</v>
      </c>
      <c r="G32" t="s">
        <v>399</v>
      </c>
      <c r="H32">
        <f t="shared" si="330"/>
        <v>20</v>
      </c>
      <c r="I32">
        <f t="shared" si="328"/>
        <v>0</v>
      </c>
      <c r="J32" t="s">
        <v>29</v>
      </c>
      <c r="P32" t="s">
        <v>29</v>
      </c>
      <c r="BC32" t="s">
        <v>29</v>
      </c>
      <c r="BD32" t="s">
        <v>29</v>
      </c>
      <c r="BE32" t="s">
        <v>29</v>
      </c>
      <c r="DO32" t="s">
        <v>29</v>
      </c>
      <c r="DP32" t="s">
        <v>29</v>
      </c>
      <c r="DZ32" t="s">
        <v>29</v>
      </c>
      <c r="EA32" t="s">
        <v>29</v>
      </c>
      <c r="IA32" t="s">
        <v>26</v>
      </c>
      <c r="IB32" t="s">
        <v>26</v>
      </c>
      <c r="IC32" t="s">
        <v>26</v>
      </c>
      <c r="ID32" t="s">
        <v>26</v>
      </c>
      <c r="IE32" t="s">
        <v>26</v>
      </c>
      <c r="KL32" t="s">
        <v>26</v>
      </c>
      <c r="KM32" t="s">
        <v>26</v>
      </c>
      <c r="KN32" t="s">
        <v>26</v>
      </c>
      <c r="KO32" t="s">
        <v>26</v>
      </c>
      <c r="KP32" t="s">
        <v>26</v>
      </c>
      <c r="KS32" t="s">
        <v>26</v>
      </c>
      <c r="KT32" t="s">
        <v>26</v>
      </c>
      <c r="KU32" t="s">
        <v>26</v>
      </c>
      <c r="KV32" t="s">
        <v>26</v>
      </c>
      <c r="KW32" t="s">
        <v>26</v>
      </c>
      <c r="LP32" t="s">
        <v>26</v>
      </c>
      <c r="LQ32" t="s">
        <v>26</v>
      </c>
      <c r="LR32" t="s">
        <v>26</v>
      </c>
      <c r="LS32" t="s">
        <v>26</v>
      </c>
      <c r="LT32" t="s">
        <v>26</v>
      </c>
    </row>
    <row r="33" spans="1:374" x14ac:dyDescent="0.4">
      <c r="A33" s="17" t="str">
        <f t="shared" si="326"/>
        <v>Kosta Ancic H Farmaceut</v>
      </c>
      <c r="B33" s="1">
        <v>28</v>
      </c>
      <c r="C33" s="11" t="str">
        <f t="shared" si="327"/>
        <v>Kosta Ancic</v>
      </c>
      <c r="D33" t="s">
        <v>459</v>
      </c>
      <c r="E33" t="s">
        <v>460</v>
      </c>
      <c r="F33" t="s">
        <v>507</v>
      </c>
      <c r="G33" t="s">
        <v>398</v>
      </c>
      <c r="H33">
        <f t="shared" si="330"/>
        <v>20</v>
      </c>
      <c r="I33">
        <f t="shared" si="328"/>
        <v>0</v>
      </c>
      <c r="J33" t="s">
        <v>29</v>
      </c>
      <c r="P33" t="s">
        <v>29</v>
      </c>
      <c r="BC33" t="s">
        <v>29</v>
      </c>
      <c r="BD33" t="s">
        <v>29</v>
      </c>
      <c r="BE33" t="s">
        <v>29</v>
      </c>
      <c r="DO33" t="s">
        <v>29</v>
      </c>
      <c r="DP33" t="s">
        <v>29</v>
      </c>
      <c r="DZ33" t="s">
        <v>29</v>
      </c>
      <c r="EA33" t="s">
        <v>29</v>
      </c>
      <c r="ED33" t="s">
        <v>26</v>
      </c>
      <c r="EE33" t="s">
        <v>26</v>
      </c>
      <c r="EF33" t="s">
        <v>26</v>
      </c>
      <c r="EG33" t="s">
        <v>26</v>
      </c>
      <c r="EH33" t="s">
        <v>26</v>
      </c>
      <c r="GW33" t="s">
        <v>26</v>
      </c>
      <c r="GX33" t="s">
        <v>26</v>
      </c>
      <c r="GY33" t="s">
        <v>26</v>
      </c>
      <c r="GZ33" t="s">
        <v>26</v>
      </c>
      <c r="HA33" t="s">
        <v>26</v>
      </c>
      <c r="IL33" t="s">
        <v>26</v>
      </c>
      <c r="IM33" t="s">
        <v>26</v>
      </c>
      <c r="IN33" t="s">
        <v>26</v>
      </c>
      <c r="IO33" t="s">
        <v>26</v>
      </c>
      <c r="IP33" t="s">
        <v>26</v>
      </c>
      <c r="KX33" t="s">
        <v>26</v>
      </c>
      <c r="KY33" t="s">
        <v>26</v>
      </c>
      <c r="KZ33" t="s">
        <v>26</v>
      </c>
      <c r="LA33" t="s">
        <v>26</v>
      </c>
      <c r="LB33" t="s">
        <v>26</v>
      </c>
    </row>
    <row r="34" spans="1:374" x14ac:dyDescent="0.4">
      <c r="A34" s="17" t="str">
        <f t="shared" si="326"/>
        <v>Marija Petrovic H Tehničar</v>
      </c>
      <c r="B34" s="1">
        <v>29</v>
      </c>
      <c r="C34" s="11" t="str">
        <f t="shared" si="327"/>
        <v>Marija Petrovic</v>
      </c>
      <c r="D34" t="s">
        <v>9</v>
      </c>
      <c r="E34" t="s">
        <v>461</v>
      </c>
      <c r="F34" t="s">
        <v>507</v>
      </c>
      <c r="G34" t="s">
        <v>399</v>
      </c>
      <c r="H34">
        <f t="shared" si="330"/>
        <v>20</v>
      </c>
      <c r="I34">
        <f t="shared" si="328"/>
        <v>9</v>
      </c>
      <c r="J34" t="s">
        <v>29</v>
      </c>
      <c r="P34" t="s">
        <v>29</v>
      </c>
      <c r="R34" t="s">
        <v>27</v>
      </c>
      <c r="S34" t="s">
        <v>27</v>
      </c>
      <c r="T34" t="s">
        <v>27</v>
      </c>
      <c r="U34" t="s">
        <v>27</v>
      </c>
      <c r="AV34" t="s">
        <v>26</v>
      </c>
      <c r="AW34" t="s">
        <v>26</v>
      </c>
      <c r="AX34" t="s">
        <v>26</v>
      </c>
      <c r="AY34" t="s">
        <v>26</v>
      </c>
      <c r="AZ34" t="s">
        <v>26</v>
      </c>
      <c r="BA34" t="s">
        <v>26</v>
      </c>
      <c r="BB34" t="s">
        <v>26</v>
      </c>
      <c r="BC34" t="s">
        <v>29</v>
      </c>
      <c r="BD34" t="s">
        <v>29</v>
      </c>
      <c r="BE34" t="s">
        <v>29</v>
      </c>
      <c r="BQ34" t="s">
        <v>26</v>
      </c>
      <c r="BR34" t="s">
        <v>26</v>
      </c>
      <c r="BS34" t="s">
        <v>26</v>
      </c>
      <c r="BT34" t="s">
        <v>26</v>
      </c>
      <c r="BU34" t="s">
        <v>26</v>
      </c>
      <c r="DO34" t="s">
        <v>29</v>
      </c>
      <c r="DP34" t="s">
        <v>29</v>
      </c>
      <c r="DZ34" t="s">
        <v>29</v>
      </c>
      <c r="EA34" t="s">
        <v>29</v>
      </c>
      <c r="HN34" t="s">
        <v>26</v>
      </c>
      <c r="HO34" t="s">
        <v>26</v>
      </c>
      <c r="HP34" t="s">
        <v>26</v>
      </c>
      <c r="HQ34" t="s">
        <v>26</v>
      </c>
      <c r="HR34" t="s">
        <v>26</v>
      </c>
      <c r="HS34" t="s">
        <v>26</v>
      </c>
      <c r="HT34" t="s">
        <v>26</v>
      </c>
      <c r="HU34" t="s">
        <v>26</v>
      </c>
      <c r="LG34" t="s">
        <v>27</v>
      </c>
      <c r="LH34" t="s">
        <v>27</v>
      </c>
      <c r="LI34" t="s">
        <v>27</v>
      </c>
      <c r="LJ34" t="s">
        <v>27</v>
      </c>
      <c r="LK34" t="s">
        <v>27</v>
      </c>
    </row>
    <row r="35" spans="1:374" x14ac:dyDescent="0.4">
      <c r="A35" s="17" t="str">
        <f t="shared" si="326"/>
        <v>Radivoj Micic  M Farmaceut</v>
      </c>
      <c r="B35" s="1">
        <v>30</v>
      </c>
      <c r="C35" s="11" t="str">
        <f t="shared" si="327"/>
        <v xml:space="preserve">Radivoj Micic </v>
      </c>
      <c r="D35" t="s">
        <v>462</v>
      </c>
      <c r="E35" t="s">
        <v>463</v>
      </c>
      <c r="F35" t="s">
        <v>508</v>
      </c>
      <c r="G35" t="s">
        <v>398</v>
      </c>
      <c r="H35">
        <f t="shared" si="330"/>
        <v>20</v>
      </c>
      <c r="I35">
        <f t="shared" si="328"/>
        <v>2</v>
      </c>
      <c r="J35" t="s">
        <v>29</v>
      </c>
      <c r="P35" t="s">
        <v>29</v>
      </c>
      <c r="AO35" t="s">
        <v>26</v>
      </c>
      <c r="AP35" t="s">
        <v>26</v>
      </c>
      <c r="AQ35" t="s">
        <v>26</v>
      </c>
      <c r="BC35" t="s">
        <v>29</v>
      </c>
      <c r="BE35" t="s">
        <v>29</v>
      </c>
      <c r="CA35" t="s">
        <v>26</v>
      </c>
      <c r="CB35" t="s">
        <v>26</v>
      </c>
      <c r="CC35" t="s">
        <v>26</v>
      </c>
      <c r="CY35" t="s">
        <v>26</v>
      </c>
      <c r="CZ35" t="s">
        <v>26</v>
      </c>
      <c r="DA35" t="s">
        <v>26</v>
      </c>
      <c r="DB35" t="s">
        <v>26</v>
      </c>
      <c r="DO35" t="s">
        <v>29</v>
      </c>
      <c r="DP35" t="s">
        <v>29</v>
      </c>
      <c r="DZ35" t="s">
        <v>29</v>
      </c>
      <c r="EA35" t="s">
        <v>29</v>
      </c>
      <c r="GP35" t="s">
        <v>27</v>
      </c>
      <c r="GQ35" t="s">
        <v>27</v>
      </c>
      <c r="ID35" t="s">
        <v>26</v>
      </c>
      <c r="IE35" t="s">
        <v>26</v>
      </c>
      <c r="IF35" t="s">
        <v>26</v>
      </c>
      <c r="IG35" t="s">
        <v>26</v>
      </c>
      <c r="IH35" t="s">
        <v>26</v>
      </c>
      <c r="II35" t="s">
        <v>26</v>
      </c>
      <c r="IJ35" t="s">
        <v>26</v>
      </c>
      <c r="IK35" t="s">
        <v>26</v>
      </c>
      <c r="IL35" t="s">
        <v>26</v>
      </c>
      <c r="IM35" t="s">
        <v>26</v>
      </c>
    </row>
    <row r="36" spans="1:374" x14ac:dyDescent="0.4">
      <c r="A36" s="17" t="str">
        <f t="shared" si="326"/>
        <v>Damjan Gavric H Tehničar</v>
      </c>
      <c r="B36" s="1">
        <v>31</v>
      </c>
      <c r="C36" s="11" t="str">
        <f t="shared" si="327"/>
        <v>Damjan Gavric</v>
      </c>
      <c r="D36" t="s">
        <v>464</v>
      </c>
      <c r="E36" t="s">
        <v>402</v>
      </c>
      <c r="F36" t="s">
        <v>507</v>
      </c>
      <c r="G36" t="s">
        <v>399</v>
      </c>
      <c r="H36">
        <f t="shared" si="330"/>
        <v>17</v>
      </c>
      <c r="I36">
        <f t="shared" si="328"/>
        <v>5</v>
      </c>
      <c r="J36" t="s">
        <v>29</v>
      </c>
      <c r="O36" t="s">
        <v>26</v>
      </c>
      <c r="P36" t="s">
        <v>29</v>
      </c>
      <c r="Q36" t="s">
        <v>26</v>
      </c>
      <c r="R36" t="s">
        <v>26</v>
      </c>
      <c r="S36" t="s">
        <v>26</v>
      </c>
      <c r="BC36" t="s">
        <v>29</v>
      </c>
      <c r="BE36" t="s">
        <v>29</v>
      </c>
      <c r="BK36" t="s">
        <v>27</v>
      </c>
      <c r="BL36" t="s">
        <v>27</v>
      </c>
      <c r="BM36" t="s">
        <v>27</v>
      </c>
      <c r="BN36" t="s">
        <v>27</v>
      </c>
      <c r="BO36" t="s">
        <v>27</v>
      </c>
      <c r="BW36" t="s">
        <v>26</v>
      </c>
      <c r="BX36" t="s">
        <v>26</v>
      </c>
      <c r="BY36" t="s">
        <v>28</v>
      </c>
      <c r="BZ36" t="s">
        <v>26</v>
      </c>
      <c r="DO36" t="s">
        <v>29</v>
      </c>
      <c r="DP36" t="s">
        <v>29</v>
      </c>
      <c r="DZ36" t="s">
        <v>29</v>
      </c>
      <c r="EA36" t="s">
        <v>29</v>
      </c>
      <c r="IP36" t="s">
        <v>26</v>
      </c>
      <c r="IQ36" t="s">
        <v>26</v>
      </c>
      <c r="IR36" t="s">
        <v>26</v>
      </c>
      <c r="IS36" t="s">
        <v>26</v>
      </c>
      <c r="IT36" t="s">
        <v>26</v>
      </c>
      <c r="IU36" t="s">
        <v>26</v>
      </c>
      <c r="IV36" t="s">
        <v>26</v>
      </c>
      <c r="IW36" t="s">
        <v>26</v>
      </c>
      <c r="IX36" t="s">
        <v>26</v>
      </c>
      <c r="IY36" t="s">
        <v>26</v>
      </c>
    </row>
    <row r="37" spans="1:374" x14ac:dyDescent="0.4">
      <c r="A37" s="17" t="str">
        <f t="shared" si="326"/>
        <v>Branislava Tomic M Tehničar</v>
      </c>
      <c r="B37" s="1">
        <v>32</v>
      </c>
      <c r="C37" s="11" t="str">
        <f t="shared" si="327"/>
        <v>Branislava Tomic</v>
      </c>
      <c r="D37" t="s">
        <v>465</v>
      </c>
      <c r="E37" t="s">
        <v>466</v>
      </c>
      <c r="F37" t="s">
        <v>508</v>
      </c>
      <c r="G37" t="s">
        <v>399</v>
      </c>
      <c r="H37">
        <f t="shared" si="330"/>
        <v>20</v>
      </c>
      <c r="I37">
        <f t="shared" si="328"/>
        <v>0</v>
      </c>
      <c r="J37" t="s">
        <v>29</v>
      </c>
      <c r="P37" t="s">
        <v>29</v>
      </c>
      <c r="BC37" t="s">
        <v>29</v>
      </c>
      <c r="BD37" t="s">
        <v>29</v>
      </c>
      <c r="BE37" t="s">
        <v>29</v>
      </c>
      <c r="DO37" t="s">
        <v>29</v>
      </c>
      <c r="DP37" t="s">
        <v>29</v>
      </c>
      <c r="DZ37" t="s">
        <v>29</v>
      </c>
      <c r="EA37" t="s">
        <v>29</v>
      </c>
      <c r="FO37" t="s">
        <v>26</v>
      </c>
      <c r="FP37" t="s">
        <v>26</v>
      </c>
      <c r="FQ37" t="s">
        <v>26</v>
      </c>
      <c r="FR37" t="s">
        <v>26</v>
      </c>
      <c r="FS37" t="s">
        <v>26</v>
      </c>
      <c r="FT37" t="s">
        <v>28</v>
      </c>
      <c r="FU37" t="s">
        <v>28</v>
      </c>
      <c r="FV37" t="s">
        <v>26</v>
      </c>
      <c r="FW37" t="s">
        <v>26</v>
      </c>
      <c r="FX37" t="s">
        <v>26</v>
      </c>
      <c r="FY37" t="s">
        <v>26</v>
      </c>
      <c r="FZ37" t="s">
        <v>26</v>
      </c>
      <c r="GR37" t="s">
        <v>26</v>
      </c>
      <c r="GS37" t="s">
        <v>26</v>
      </c>
      <c r="GT37" t="s">
        <v>26</v>
      </c>
      <c r="GU37" t="s">
        <v>26</v>
      </c>
      <c r="GV37" t="s">
        <v>26</v>
      </c>
      <c r="HE37" t="s">
        <v>26</v>
      </c>
      <c r="HF37" t="s">
        <v>26</v>
      </c>
      <c r="HG37" t="s">
        <v>26</v>
      </c>
      <c r="HH37" t="s">
        <v>26</v>
      </c>
      <c r="HI37" t="s">
        <v>26</v>
      </c>
    </row>
    <row r="38" spans="1:374" x14ac:dyDescent="0.4">
      <c r="A38" s="17" t="str">
        <f t="shared" ref="A38:A58" si="331">_xlfn.CONCAT(C38," ",F38," ",G38)</f>
        <v>Bogdan Janjic M Tehničar</v>
      </c>
      <c r="B38" s="1">
        <v>33</v>
      </c>
      <c r="C38" s="11" t="str">
        <f t="shared" ref="C38:C58" si="332">_xlfn.CONCAT(D38," ",E38)</f>
        <v>Bogdan Janjic</v>
      </c>
      <c r="D38" t="s">
        <v>467</v>
      </c>
      <c r="E38" t="s">
        <v>468</v>
      </c>
      <c r="F38" t="s">
        <v>508</v>
      </c>
      <c r="G38" t="s">
        <v>399</v>
      </c>
      <c r="H38">
        <f t="shared" si="330"/>
        <v>20</v>
      </c>
      <c r="I38">
        <f t="shared" ref="I38:I58" si="333">COUNTIF(J38:NJ38,"B")</f>
        <v>6</v>
      </c>
      <c r="J38" t="s">
        <v>29</v>
      </c>
      <c r="M38" t="s">
        <v>26</v>
      </c>
      <c r="N38" t="s">
        <v>26</v>
      </c>
      <c r="O38" t="s">
        <v>26</v>
      </c>
      <c r="P38" t="s">
        <v>29</v>
      </c>
      <c r="AS38" t="s">
        <v>27</v>
      </c>
      <c r="AT38" t="s">
        <v>27</v>
      </c>
      <c r="AU38" t="s">
        <v>27</v>
      </c>
      <c r="BC38" t="s">
        <v>29</v>
      </c>
      <c r="BD38" t="s">
        <v>29</v>
      </c>
      <c r="BE38" t="s">
        <v>29</v>
      </c>
      <c r="CJ38" t="s">
        <v>26</v>
      </c>
      <c r="CK38" t="s">
        <v>26</v>
      </c>
      <c r="CL38" t="s">
        <v>26</v>
      </c>
      <c r="CM38" t="s">
        <v>26</v>
      </c>
      <c r="CN38" t="s">
        <v>26</v>
      </c>
      <c r="CO38" t="s">
        <v>26</v>
      </c>
      <c r="CP38" t="s">
        <v>26</v>
      </c>
      <c r="CQ38" t="s">
        <v>26</v>
      </c>
      <c r="CR38" t="s">
        <v>26</v>
      </c>
      <c r="CS38" t="s">
        <v>26</v>
      </c>
      <c r="DO38" t="s">
        <v>29</v>
      </c>
      <c r="DZ38" t="s">
        <v>29</v>
      </c>
      <c r="EA38" t="s">
        <v>29</v>
      </c>
      <c r="EW38" t="s">
        <v>26</v>
      </c>
      <c r="HB38" t="s">
        <v>26</v>
      </c>
      <c r="HC38" t="s">
        <v>26</v>
      </c>
      <c r="HD38" t="s">
        <v>26</v>
      </c>
      <c r="HE38" t="s">
        <v>26</v>
      </c>
      <c r="HF38" t="s">
        <v>26</v>
      </c>
      <c r="HG38" t="s">
        <v>26</v>
      </c>
      <c r="MY38" t="s">
        <v>27</v>
      </c>
      <c r="MZ38" t="s">
        <v>27</v>
      </c>
      <c r="NA38" t="s">
        <v>27</v>
      </c>
    </row>
    <row r="39" spans="1:374" x14ac:dyDescent="0.4">
      <c r="A39" s="17" t="str">
        <f t="shared" si="331"/>
        <v>Jana Gavrilovic M Tehničar</v>
      </c>
      <c r="B39" s="1">
        <v>34</v>
      </c>
      <c r="C39" s="11" t="str">
        <f t="shared" si="332"/>
        <v>Jana Gavrilovic</v>
      </c>
      <c r="D39" t="s">
        <v>469</v>
      </c>
      <c r="E39" t="s">
        <v>470</v>
      </c>
      <c r="F39" t="s">
        <v>508</v>
      </c>
      <c r="G39" t="s">
        <v>399</v>
      </c>
      <c r="H39">
        <f t="shared" si="330"/>
        <v>20</v>
      </c>
      <c r="I39">
        <f t="shared" si="333"/>
        <v>0</v>
      </c>
      <c r="J39" t="s">
        <v>29</v>
      </c>
      <c r="P39" t="s">
        <v>29</v>
      </c>
      <c r="AI39" t="s">
        <v>26</v>
      </c>
      <c r="AJ39" t="s">
        <v>26</v>
      </c>
      <c r="AK39" t="s">
        <v>26</v>
      </c>
      <c r="AL39" t="s">
        <v>26</v>
      </c>
      <c r="BC39" t="s">
        <v>29</v>
      </c>
      <c r="BD39" t="s">
        <v>29</v>
      </c>
      <c r="DO39" t="s">
        <v>29</v>
      </c>
      <c r="DP39" t="s">
        <v>29</v>
      </c>
      <c r="DZ39" t="s">
        <v>29</v>
      </c>
      <c r="EA39" t="s">
        <v>29</v>
      </c>
      <c r="IY39" t="s">
        <v>26</v>
      </c>
      <c r="IZ39" t="s">
        <v>26</v>
      </c>
      <c r="JA39" t="s">
        <v>26</v>
      </c>
      <c r="JB39" t="s">
        <v>26</v>
      </c>
      <c r="JC39" t="s">
        <v>26</v>
      </c>
      <c r="JD39" t="s">
        <v>26</v>
      </c>
      <c r="JE39" t="s">
        <v>26</v>
      </c>
      <c r="JF39" t="s">
        <v>26</v>
      </c>
      <c r="JG39" t="s">
        <v>26</v>
      </c>
      <c r="JH39" t="s">
        <v>26</v>
      </c>
      <c r="JX39" t="s">
        <v>26</v>
      </c>
      <c r="JY39" t="s">
        <v>26</v>
      </c>
      <c r="JZ39" t="s">
        <v>26</v>
      </c>
      <c r="KA39" t="s">
        <v>26</v>
      </c>
      <c r="KB39" t="s">
        <v>26</v>
      </c>
      <c r="KC39" t="s">
        <v>26</v>
      </c>
    </row>
    <row r="40" spans="1:374" x14ac:dyDescent="0.4">
      <c r="A40" s="17" t="str">
        <f t="shared" si="331"/>
        <v>Kristina Đukić L Farmaceut</v>
      </c>
      <c r="B40" s="1">
        <v>35</v>
      </c>
      <c r="C40" s="11" t="str">
        <f t="shared" si="332"/>
        <v>Kristina Đukić</v>
      </c>
      <c r="D40" t="s">
        <v>15</v>
      </c>
      <c r="E40" t="s">
        <v>11</v>
      </c>
      <c r="F40" t="s">
        <v>509</v>
      </c>
      <c r="G40" t="s">
        <v>398</v>
      </c>
      <c r="H40">
        <f t="shared" si="330"/>
        <v>20</v>
      </c>
      <c r="I40">
        <f t="shared" si="333"/>
        <v>0</v>
      </c>
      <c r="J40" t="s">
        <v>29</v>
      </c>
      <c r="P40" t="s">
        <v>29</v>
      </c>
      <c r="BC40" t="s">
        <v>29</v>
      </c>
      <c r="BD40" t="s">
        <v>29</v>
      </c>
      <c r="DO40" t="s">
        <v>29</v>
      </c>
      <c r="DP40" t="s">
        <v>29</v>
      </c>
      <c r="DZ40" t="s">
        <v>29</v>
      </c>
      <c r="EA40" t="s">
        <v>29</v>
      </c>
      <c r="GI40" t="s">
        <v>26</v>
      </c>
      <c r="GJ40" t="s">
        <v>26</v>
      </c>
      <c r="GK40" t="s">
        <v>26</v>
      </c>
      <c r="GL40" t="s">
        <v>26</v>
      </c>
      <c r="GM40" t="s">
        <v>26</v>
      </c>
      <c r="HJ40" t="s">
        <v>26</v>
      </c>
      <c r="HK40" t="s">
        <v>26</v>
      </c>
      <c r="HL40" t="s">
        <v>26</v>
      </c>
      <c r="HM40" t="s">
        <v>26</v>
      </c>
      <c r="HN40" t="s">
        <v>26</v>
      </c>
      <c r="JJ40" t="s">
        <v>26</v>
      </c>
      <c r="JK40" t="s">
        <v>26</v>
      </c>
      <c r="JL40" t="s">
        <v>26</v>
      </c>
      <c r="JM40" t="s">
        <v>26</v>
      </c>
      <c r="JN40" t="s">
        <v>26</v>
      </c>
      <c r="KE40" t="s">
        <v>26</v>
      </c>
      <c r="KF40" t="s">
        <v>26</v>
      </c>
      <c r="KG40" t="s">
        <v>26</v>
      </c>
      <c r="KH40" t="s">
        <v>26</v>
      </c>
      <c r="KI40" t="s">
        <v>26</v>
      </c>
    </row>
    <row r="41" spans="1:374" x14ac:dyDescent="0.4">
      <c r="A41" s="17" t="str">
        <f t="shared" si="331"/>
        <v>Jakov Cerovic L Tehničar</v>
      </c>
      <c r="B41" s="1">
        <v>36</v>
      </c>
      <c r="C41" s="11" t="str">
        <f t="shared" si="332"/>
        <v>Jakov Cerovic</v>
      </c>
      <c r="D41" t="s">
        <v>471</v>
      </c>
      <c r="E41" t="s">
        <v>472</v>
      </c>
      <c r="F41" t="s">
        <v>509</v>
      </c>
      <c r="G41" t="s">
        <v>399</v>
      </c>
      <c r="H41">
        <f t="shared" si="330"/>
        <v>20</v>
      </c>
      <c r="I41">
        <f t="shared" si="333"/>
        <v>3</v>
      </c>
      <c r="J41" t="s">
        <v>29</v>
      </c>
      <c r="K41" t="s">
        <v>26</v>
      </c>
      <c r="P41" t="s">
        <v>29</v>
      </c>
      <c r="V41" t="s">
        <v>26</v>
      </c>
      <c r="W41" t="s">
        <v>26</v>
      </c>
      <c r="X41" t="s">
        <v>26</v>
      </c>
      <c r="Y41" t="s">
        <v>26</v>
      </c>
      <c r="Z41" t="s">
        <v>26</v>
      </c>
      <c r="BC41" t="s">
        <v>29</v>
      </c>
      <c r="BD41" t="s">
        <v>29</v>
      </c>
      <c r="BE41" t="s">
        <v>29</v>
      </c>
      <c r="DG41" t="s">
        <v>26</v>
      </c>
      <c r="DH41" t="s">
        <v>26</v>
      </c>
      <c r="DI41" t="s">
        <v>26</v>
      </c>
      <c r="DJ41" t="s">
        <v>26</v>
      </c>
      <c r="DK41" t="s">
        <v>26</v>
      </c>
      <c r="DO41" t="s">
        <v>29</v>
      </c>
      <c r="DP41" t="s">
        <v>29</v>
      </c>
      <c r="DQ41" t="s">
        <v>27</v>
      </c>
      <c r="DR41" t="s">
        <v>27</v>
      </c>
      <c r="DS41" t="s">
        <v>27</v>
      </c>
      <c r="DZ41" t="s">
        <v>29</v>
      </c>
      <c r="EA41" t="s">
        <v>29</v>
      </c>
      <c r="EU41" t="s">
        <v>26</v>
      </c>
      <c r="EV41" t="s">
        <v>26</v>
      </c>
      <c r="EW41" t="s">
        <v>26</v>
      </c>
      <c r="JQ41" t="s">
        <v>26</v>
      </c>
      <c r="JR41" t="s">
        <v>26</v>
      </c>
      <c r="JS41" t="s">
        <v>26</v>
      </c>
      <c r="JT41" t="s">
        <v>26</v>
      </c>
      <c r="JU41" t="s">
        <v>26</v>
      </c>
      <c r="JV41" t="s">
        <v>26</v>
      </c>
    </row>
    <row r="42" spans="1:374" x14ac:dyDescent="0.4">
      <c r="A42" s="17" t="str">
        <f t="shared" si="331"/>
        <v>Zlatiborka Visovic L Tehničar</v>
      </c>
      <c r="B42" s="1">
        <v>37</v>
      </c>
      <c r="C42" s="11" t="str">
        <f t="shared" si="332"/>
        <v>Zlatiborka Visovic</v>
      </c>
      <c r="D42" t="s">
        <v>473</v>
      </c>
      <c r="E42" t="s">
        <v>474</v>
      </c>
      <c r="F42" t="s">
        <v>509</v>
      </c>
      <c r="G42" t="s">
        <v>399</v>
      </c>
      <c r="H42">
        <f t="shared" si="330"/>
        <v>20</v>
      </c>
      <c r="I42">
        <f t="shared" si="333"/>
        <v>0</v>
      </c>
      <c r="J42" t="s">
        <v>29</v>
      </c>
      <c r="P42" t="s">
        <v>29</v>
      </c>
      <c r="BC42" t="s">
        <v>29</v>
      </c>
      <c r="BD42" t="s">
        <v>29</v>
      </c>
      <c r="BE42" t="s">
        <v>29</v>
      </c>
      <c r="DO42" t="s">
        <v>29</v>
      </c>
      <c r="DP42" t="s">
        <v>29</v>
      </c>
      <c r="DZ42" t="s">
        <v>29</v>
      </c>
      <c r="EA42" t="s">
        <v>29</v>
      </c>
      <c r="IA42" t="s">
        <v>26</v>
      </c>
      <c r="IB42" t="s">
        <v>26</v>
      </c>
      <c r="IC42" t="s">
        <v>26</v>
      </c>
      <c r="ID42" t="s">
        <v>26</v>
      </c>
      <c r="IE42" t="s">
        <v>26</v>
      </c>
      <c r="KL42" t="s">
        <v>26</v>
      </c>
      <c r="KM42" t="s">
        <v>26</v>
      </c>
      <c r="KN42" t="s">
        <v>26</v>
      </c>
      <c r="KO42" t="s">
        <v>26</v>
      </c>
      <c r="KP42" t="s">
        <v>26</v>
      </c>
      <c r="KS42" t="s">
        <v>26</v>
      </c>
      <c r="KT42" t="s">
        <v>26</v>
      </c>
      <c r="KU42" t="s">
        <v>26</v>
      </c>
      <c r="KV42" t="s">
        <v>26</v>
      </c>
      <c r="KW42" t="s">
        <v>26</v>
      </c>
      <c r="LP42" t="s">
        <v>26</v>
      </c>
      <c r="LQ42" t="s">
        <v>26</v>
      </c>
      <c r="LR42" t="s">
        <v>26</v>
      </c>
      <c r="LS42" t="s">
        <v>26</v>
      </c>
      <c r="LT42" t="s">
        <v>26</v>
      </c>
    </row>
    <row r="43" spans="1:374" x14ac:dyDescent="0.4">
      <c r="A43" s="17" t="str">
        <f t="shared" si="331"/>
        <v>Hana Fahritovic R Farmaceut</v>
      </c>
      <c r="B43" s="1">
        <v>38</v>
      </c>
      <c r="C43" s="11" t="str">
        <f t="shared" si="332"/>
        <v>Hana Fahritovic</v>
      </c>
      <c r="D43" t="s">
        <v>446</v>
      </c>
      <c r="E43" t="s">
        <v>475</v>
      </c>
      <c r="F43" t="s">
        <v>510</v>
      </c>
      <c r="G43" t="s">
        <v>398</v>
      </c>
      <c r="H43">
        <f t="shared" si="330"/>
        <v>20</v>
      </c>
      <c r="I43">
        <f t="shared" si="333"/>
        <v>0</v>
      </c>
      <c r="J43" t="s">
        <v>29</v>
      </c>
      <c r="P43" t="s">
        <v>29</v>
      </c>
      <c r="BC43" t="s">
        <v>29</v>
      </c>
      <c r="BD43" t="s">
        <v>29</v>
      </c>
      <c r="BE43" t="s">
        <v>29</v>
      </c>
      <c r="DO43" t="s">
        <v>29</v>
      </c>
      <c r="DP43" t="s">
        <v>29</v>
      </c>
      <c r="DZ43" t="s">
        <v>29</v>
      </c>
      <c r="EA43" t="s">
        <v>29</v>
      </c>
      <c r="ED43" t="s">
        <v>26</v>
      </c>
      <c r="EE43" t="s">
        <v>26</v>
      </c>
      <c r="EF43" t="s">
        <v>26</v>
      </c>
      <c r="EG43" t="s">
        <v>26</v>
      </c>
      <c r="EH43" t="s">
        <v>26</v>
      </c>
      <c r="GW43" t="s">
        <v>26</v>
      </c>
      <c r="GX43" t="s">
        <v>26</v>
      </c>
      <c r="GY43" t="s">
        <v>26</v>
      </c>
      <c r="GZ43" t="s">
        <v>26</v>
      </c>
      <c r="HA43" t="s">
        <v>26</v>
      </c>
      <c r="IL43" t="s">
        <v>26</v>
      </c>
      <c r="IM43" t="s">
        <v>26</v>
      </c>
      <c r="IN43" t="s">
        <v>26</v>
      </c>
      <c r="IO43" t="s">
        <v>26</v>
      </c>
      <c r="IP43" t="s">
        <v>26</v>
      </c>
      <c r="KX43" t="s">
        <v>26</v>
      </c>
      <c r="KY43" t="s">
        <v>26</v>
      </c>
      <c r="KZ43" t="s">
        <v>26</v>
      </c>
      <c r="LA43" t="s">
        <v>26</v>
      </c>
      <c r="LB43" t="s">
        <v>26</v>
      </c>
    </row>
    <row r="44" spans="1:374" x14ac:dyDescent="0.4">
      <c r="A44" s="17" t="str">
        <f t="shared" si="331"/>
        <v>Pista Hemeret R Tehničar</v>
      </c>
      <c r="B44" s="1">
        <v>39</v>
      </c>
      <c r="C44" s="11" t="str">
        <f t="shared" si="332"/>
        <v>Pista Hemeret</v>
      </c>
      <c r="D44" t="s">
        <v>476</v>
      </c>
      <c r="E44" t="s">
        <v>477</v>
      </c>
      <c r="F44" t="s">
        <v>510</v>
      </c>
      <c r="G44" t="s">
        <v>399</v>
      </c>
      <c r="H44">
        <f t="shared" si="330"/>
        <v>20</v>
      </c>
      <c r="I44">
        <f t="shared" si="333"/>
        <v>0</v>
      </c>
      <c r="J44" t="s">
        <v>29</v>
      </c>
      <c r="P44" t="s">
        <v>29</v>
      </c>
      <c r="BC44" t="s">
        <v>29</v>
      </c>
      <c r="BD44" t="s">
        <v>29</v>
      </c>
      <c r="BE44" t="s">
        <v>29</v>
      </c>
      <c r="DO44" t="s">
        <v>29</v>
      </c>
      <c r="DP44" t="s">
        <v>29</v>
      </c>
      <c r="DZ44" t="s">
        <v>29</v>
      </c>
      <c r="EA44" t="s">
        <v>29</v>
      </c>
      <c r="FO44" t="s">
        <v>26</v>
      </c>
      <c r="FP44" t="s">
        <v>26</v>
      </c>
      <c r="FQ44" t="s">
        <v>26</v>
      </c>
      <c r="FR44" t="s">
        <v>26</v>
      </c>
      <c r="FS44" t="s">
        <v>26</v>
      </c>
      <c r="FT44" t="s">
        <v>28</v>
      </c>
      <c r="FU44" t="s">
        <v>28</v>
      </c>
      <c r="FV44" t="s">
        <v>26</v>
      </c>
      <c r="FW44" t="s">
        <v>26</v>
      </c>
      <c r="FX44" t="s">
        <v>26</v>
      </c>
      <c r="FY44" t="s">
        <v>26</v>
      </c>
      <c r="FZ44" t="s">
        <v>26</v>
      </c>
      <c r="GR44" t="s">
        <v>26</v>
      </c>
      <c r="GS44" t="s">
        <v>26</v>
      </c>
      <c r="GT44" t="s">
        <v>26</v>
      </c>
      <c r="GU44" t="s">
        <v>26</v>
      </c>
      <c r="GV44" t="s">
        <v>26</v>
      </c>
      <c r="HE44" t="s">
        <v>26</v>
      </c>
      <c r="HF44" t="s">
        <v>26</v>
      </c>
      <c r="HG44" t="s">
        <v>26</v>
      </c>
      <c r="HH44" t="s">
        <v>26</v>
      </c>
      <c r="HI44" t="s">
        <v>26</v>
      </c>
    </row>
    <row r="45" spans="1:374" x14ac:dyDescent="0.4">
      <c r="A45" s="17" t="str">
        <f t="shared" si="331"/>
        <v>Marinka Radojkovic R Tehničar</v>
      </c>
      <c r="B45" s="1">
        <v>40</v>
      </c>
      <c r="C45" s="11" t="str">
        <f t="shared" si="332"/>
        <v>Marinka Radojkovic</v>
      </c>
      <c r="D45" t="s">
        <v>478</v>
      </c>
      <c r="E45" t="s">
        <v>479</v>
      </c>
      <c r="F45" t="s">
        <v>510</v>
      </c>
      <c r="G45" t="s">
        <v>399</v>
      </c>
      <c r="H45">
        <f t="shared" si="330"/>
        <v>20</v>
      </c>
      <c r="I45">
        <f t="shared" si="333"/>
        <v>6</v>
      </c>
      <c r="J45" t="s">
        <v>29</v>
      </c>
      <c r="M45" t="s">
        <v>26</v>
      </c>
      <c r="N45" t="s">
        <v>26</v>
      </c>
      <c r="O45" t="s">
        <v>26</v>
      </c>
      <c r="P45" t="s">
        <v>29</v>
      </c>
      <c r="AS45" t="s">
        <v>27</v>
      </c>
      <c r="AT45" t="s">
        <v>27</v>
      </c>
      <c r="AU45" t="s">
        <v>27</v>
      </c>
      <c r="BC45" t="s">
        <v>29</v>
      </c>
      <c r="BD45" t="s">
        <v>29</v>
      </c>
      <c r="BE45" t="s">
        <v>29</v>
      </c>
      <c r="CJ45" t="s">
        <v>26</v>
      </c>
      <c r="CK45" t="s">
        <v>26</v>
      </c>
      <c r="CL45" t="s">
        <v>26</v>
      </c>
      <c r="CM45" t="s">
        <v>26</v>
      </c>
      <c r="CN45" t="s">
        <v>26</v>
      </c>
      <c r="CO45" t="s">
        <v>26</v>
      </c>
      <c r="CP45" t="s">
        <v>26</v>
      </c>
      <c r="CQ45" t="s">
        <v>26</v>
      </c>
      <c r="CR45" t="s">
        <v>26</v>
      </c>
      <c r="CS45" t="s">
        <v>26</v>
      </c>
      <c r="DO45" t="s">
        <v>29</v>
      </c>
      <c r="DZ45" t="s">
        <v>29</v>
      </c>
      <c r="EA45" t="s">
        <v>29</v>
      </c>
      <c r="EW45" t="s">
        <v>26</v>
      </c>
      <c r="HB45" t="s">
        <v>26</v>
      </c>
      <c r="HC45" t="s">
        <v>26</v>
      </c>
      <c r="HD45" t="s">
        <v>26</v>
      </c>
      <c r="HE45" t="s">
        <v>26</v>
      </c>
      <c r="HF45" t="s">
        <v>26</v>
      </c>
      <c r="HG45" t="s">
        <v>26</v>
      </c>
      <c r="MY45" t="s">
        <v>27</v>
      </c>
      <c r="MZ45" t="s">
        <v>27</v>
      </c>
      <c r="NA45" t="s">
        <v>27</v>
      </c>
    </row>
    <row r="46" spans="1:374" x14ac:dyDescent="0.4">
      <c r="A46" s="17" t="str">
        <f t="shared" si="331"/>
        <v>Rahmela Ugljanin S Farmaceut</v>
      </c>
      <c r="B46" s="1">
        <v>41</v>
      </c>
      <c r="C46" s="11" t="str">
        <f t="shared" si="332"/>
        <v>Rahmela Ugljanin</v>
      </c>
      <c r="D46" t="s">
        <v>480</v>
      </c>
      <c r="E46" t="s">
        <v>481</v>
      </c>
      <c r="F46" t="s">
        <v>28</v>
      </c>
      <c r="G46" t="s">
        <v>398</v>
      </c>
      <c r="H46">
        <f t="shared" si="330"/>
        <v>20</v>
      </c>
      <c r="I46">
        <f t="shared" si="333"/>
        <v>0</v>
      </c>
      <c r="J46" t="s">
        <v>29</v>
      </c>
      <c r="P46" t="s">
        <v>29</v>
      </c>
      <c r="BC46" t="s">
        <v>29</v>
      </c>
      <c r="BD46" t="s">
        <v>29</v>
      </c>
      <c r="BE46" t="s">
        <v>29</v>
      </c>
      <c r="DB46" t="s">
        <v>26</v>
      </c>
      <c r="DC46" t="s">
        <v>26</v>
      </c>
      <c r="DD46" t="s">
        <v>26</v>
      </c>
      <c r="DE46" t="s">
        <v>26</v>
      </c>
      <c r="DF46" t="s">
        <v>26</v>
      </c>
      <c r="DO46" t="s">
        <v>29</v>
      </c>
      <c r="DW46" t="s">
        <v>26</v>
      </c>
      <c r="DX46" t="s">
        <v>26</v>
      </c>
      <c r="DY46" t="s">
        <v>26</v>
      </c>
      <c r="DZ46" t="s">
        <v>29</v>
      </c>
      <c r="EA46" t="s">
        <v>29</v>
      </c>
      <c r="FF46" t="s">
        <v>26</v>
      </c>
      <c r="FG46" t="s">
        <v>26</v>
      </c>
      <c r="FH46" t="s">
        <v>26</v>
      </c>
      <c r="FI46" t="s">
        <v>26</v>
      </c>
      <c r="FJ46" t="s">
        <v>26</v>
      </c>
      <c r="FK46" t="s">
        <v>28</v>
      </c>
      <c r="FL46" t="s">
        <v>28</v>
      </c>
      <c r="FM46" t="s">
        <v>26</v>
      </c>
      <c r="FN46" t="s">
        <v>26</v>
      </c>
      <c r="FO46" t="s">
        <v>26</v>
      </c>
      <c r="FP46" t="s">
        <v>26</v>
      </c>
      <c r="FQ46" t="s">
        <v>26</v>
      </c>
      <c r="IS46" t="s">
        <v>26</v>
      </c>
      <c r="IT46" t="s">
        <v>26</v>
      </c>
    </row>
    <row r="47" spans="1:374" x14ac:dyDescent="0.4">
      <c r="A47" s="17" t="str">
        <f t="shared" si="331"/>
        <v>Oliver Brdarevic S Tehničar</v>
      </c>
      <c r="B47" s="1">
        <v>42</v>
      </c>
      <c r="C47" s="11" t="str">
        <f t="shared" si="332"/>
        <v>Oliver Brdarevic</v>
      </c>
      <c r="D47" t="s">
        <v>482</v>
      </c>
      <c r="E47" t="s">
        <v>483</v>
      </c>
      <c r="F47" t="s">
        <v>28</v>
      </c>
      <c r="G47" t="s">
        <v>399</v>
      </c>
      <c r="H47">
        <f t="shared" si="330"/>
        <v>20</v>
      </c>
      <c r="I47">
        <f t="shared" si="333"/>
        <v>5</v>
      </c>
      <c r="J47" t="s">
        <v>29</v>
      </c>
      <c r="K47" t="s">
        <v>26</v>
      </c>
      <c r="L47" t="s">
        <v>26</v>
      </c>
      <c r="M47" t="s">
        <v>26</v>
      </c>
      <c r="N47" t="s">
        <v>26</v>
      </c>
      <c r="O47" t="s">
        <v>28</v>
      </c>
      <c r="P47" t="s">
        <v>29</v>
      </c>
      <c r="Q47" t="s">
        <v>28</v>
      </c>
      <c r="BC47" t="s">
        <v>29</v>
      </c>
      <c r="BD47" t="s">
        <v>29</v>
      </c>
      <c r="BE47" t="s">
        <v>29</v>
      </c>
      <c r="DO47" t="s">
        <v>29</v>
      </c>
      <c r="DP47" t="s">
        <v>29</v>
      </c>
      <c r="DZ47" t="s">
        <v>29</v>
      </c>
      <c r="EA47" t="s">
        <v>29</v>
      </c>
      <c r="GG47" t="s">
        <v>26</v>
      </c>
      <c r="GH47" t="s">
        <v>26</v>
      </c>
      <c r="GO47" t="s">
        <v>26</v>
      </c>
      <c r="GP47" t="s">
        <v>26</v>
      </c>
      <c r="GQ47" t="s">
        <v>26</v>
      </c>
      <c r="GR47" t="s">
        <v>26</v>
      </c>
      <c r="GS47" t="s">
        <v>26</v>
      </c>
      <c r="GT47" t="s">
        <v>26</v>
      </c>
      <c r="GU47" t="s">
        <v>26</v>
      </c>
      <c r="GV47" t="s">
        <v>26</v>
      </c>
      <c r="IL47" t="s">
        <v>27</v>
      </c>
      <c r="IM47" t="s">
        <v>27</v>
      </c>
      <c r="IN47" t="s">
        <v>27</v>
      </c>
      <c r="IO47" t="s">
        <v>27</v>
      </c>
      <c r="IP47" t="s">
        <v>27</v>
      </c>
      <c r="NE47" t="s">
        <v>26</v>
      </c>
      <c r="NF47" t="s">
        <v>26</v>
      </c>
      <c r="NG47" t="s">
        <v>26</v>
      </c>
      <c r="NH47" t="s">
        <v>26</v>
      </c>
      <c r="NI47" t="s">
        <v>26</v>
      </c>
      <c r="NJ47" t="s">
        <v>26</v>
      </c>
    </row>
    <row r="48" spans="1:374" x14ac:dyDescent="0.4">
      <c r="A48" s="17" t="str">
        <f t="shared" si="331"/>
        <v>Tamara Has S Tehničar</v>
      </c>
      <c r="B48" s="1">
        <v>43</v>
      </c>
      <c r="C48" s="11" t="str">
        <f t="shared" si="332"/>
        <v>Tamara Has</v>
      </c>
      <c r="D48" t="s">
        <v>13</v>
      </c>
      <c r="E48" t="s">
        <v>484</v>
      </c>
      <c r="F48" t="s">
        <v>28</v>
      </c>
      <c r="G48" t="s">
        <v>399</v>
      </c>
      <c r="H48">
        <f t="shared" si="330"/>
        <v>20</v>
      </c>
      <c r="I48">
        <f t="shared" si="333"/>
        <v>0</v>
      </c>
      <c r="J48" t="s">
        <v>29</v>
      </c>
      <c r="P48" t="s">
        <v>29</v>
      </c>
      <c r="BC48" t="s">
        <v>29</v>
      </c>
      <c r="BD48" t="s">
        <v>29</v>
      </c>
      <c r="BE48" t="s">
        <v>29</v>
      </c>
      <c r="BF48" t="s">
        <v>26</v>
      </c>
      <c r="CF48" t="s">
        <v>26</v>
      </c>
      <c r="CG48" t="s">
        <v>26</v>
      </c>
      <c r="CH48" t="s">
        <v>26</v>
      </c>
      <c r="CI48" t="s">
        <v>26</v>
      </c>
      <c r="CJ48" t="s">
        <v>26</v>
      </c>
      <c r="CK48" t="s">
        <v>26</v>
      </c>
      <c r="CL48" t="s">
        <v>26</v>
      </c>
      <c r="DO48" t="s">
        <v>29</v>
      </c>
      <c r="DP48" t="s">
        <v>29</v>
      </c>
      <c r="DQ48" t="s">
        <v>26</v>
      </c>
      <c r="DR48" t="s">
        <v>26</v>
      </c>
      <c r="DS48" t="s">
        <v>26</v>
      </c>
      <c r="DT48" t="s">
        <v>26</v>
      </c>
      <c r="DU48" t="s">
        <v>26</v>
      </c>
      <c r="DV48" t="s">
        <v>26</v>
      </c>
      <c r="DZ48" t="s">
        <v>29</v>
      </c>
      <c r="EA48" t="s">
        <v>29</v>
      </c>
      <c r="HW48" t="s">
        <v>26</v>
      </c>
      <c r="HX48" t="s">
        <v>26</v>
      </c>
      <c r="HY48" t="s">
        <v>26</v>
      </c>
      <c r="HZ48" t="s">
        <v>26</v>
      </c>
      <c r="IA48" t="s">
        <v>26</v>
      </c>
      <c r="IB48" t="s">
        <v>26</v>
      </c>
    </row>
    <row r="49" spans="1:374" x14ac:dyDescent="0.4">
      <c r="A49" s="17" t="str">
        <f t="shared" si="331"/>
        <v>Milijana Purhmajer T Tehničar</v>
      </c>
      <c r="B49" s="1">
        <v>44</v>
      </c>
      <c r="C49" s="11" t="str">
        <f t="shared" si="332"/>
        <v>Milijana Purhmajer</v>
      </c>
      <c r="D49" t="s">
        <v>14</v>
      </c>
      <c r="E49" t="s">
        <v>427</v>
      </c>
      <c r="F49" t="s">
        <v>511</v>
      </c>
      <c r="G49" t="s">
        <v>399</v>
      </c>
      <c r="H49">
        <f t="shared" ref="H49:H58" si="334">COUNTIF(J49:NJ49,"O")</f>
        <v>18</v>
      </c>
      <c r="I49">
        <f t="shared" si="333"/>
        <v>0</v>
      </c>
      <c r="J49" t="s">
        <v>29</v>
      </c>
      <c r="P49" t="s">
        <v>29</v>
      </c>
      <c r="AC49" t="s">
        <v>26</v>
      </c>
      <c r="AD49" t="s">
        <v>26</v>
      </c>
      <c r="BC49" t="s">
        <v>29</v>
      </c>
      <c r="BD49" t="s">
        <v>29</v>
      </c>
      <c r="BE49" t="s">
        <v>29</v>
      </c>
      <c r="CD49" t="s">
        <v>26</v>
      </c>
      <c r="CE49" t="s">
        <v>26</v>
      </c>
      <c r="CF49" t="s">
        <v>26</v>
      </c>
      <c r="CG49" t="s">
        <v>26</v>
      </c>
      <c r="CH49" t="s">
        <v>26</v>
      </c>
      <c r="DL49" t="s">
        <v>26</v>
      </c>
      <c r="DM49" t="s">
        <v>26</v>
      </c>
      <c r="DN49" t="s">
        <v>26</v>
      </c>
      <c r="DO49" t="s">
        <v>29</v>
      </c>
      <c r="DP49" t="s">
        <v>29</v>
      </c>
      <c r="DZ49" t="s">
        <v>29</v>
      </c>
      <c r="EA49" t="s">
        <v>29</v>
      </c>
      <c r="EB49" t="s">
        <v>26</v>
      </c>
      <c r="EC49" t="s">
        <v>26</v>
      </c>
      <c r="FW49" t="s">
        <v>26</v>
      </c>
      <c r="FX49" t="s">
        <v>26</v>
      </c>
      <c r="FY49" t="s">
        <v>26</v>
      </c>
      <c r="FZ49" t="s">
        <v>26</v>
      </c>
      <c r="GA49" t="s">
        <v>26</v>
      </c>
      <c r="GB49" t="s">
        <v>26</v>
      </c>
    </row>
    <row r="50" spans="1:374" x14ac:dyDescent="0.4">
      <c r="A50" s="17" t="str">
        <f t="shared" si="331"/>
        <v>Vinka Vučkovic T Tehničar</v>
      </c>
      <c r="B50" s="1">
        <v>45</v>
      </c>
      <c r="C50" s="11" t="str">
        <f t="shared" si="332"/>
        <v>Vinka Vučkovic</v>
      </c>
      <c r="D50" t="s">
        <v>485</v>
      </c>
      <c r="E50" t="s">
        <v>486</v>
      </c>
      <c r="F50" t="s">
        <v>511</v>
      </c>
      <c r="G50" t="s">
        <v>399</v>
      </c>
      <c r="H50">
        <f t="shared" si="334"/>
        <v>20</v>
      </c>
      <c r="I50">
        <f t="shared" si="333"/>
        <v>0</v>
      </c>
      <c r="J50" t="s">
        <v>29</v>
      </c>
      <c r="P50" t="s">
        <v>29</v>
      </c>
      <c r="BC50" t="s">
        <v>29</v>
      </c>
      <c r="BD50" t="s">
        <v>29</v>
      </c>
      <c r="BE50" t="s">
        <v>29</v>
      </c>
      <c r="CQ50" t="s">
        <v>26</v>
      </c>
      <c r="CR50" t="s">
        <v>26</v>
      </c>
      <c r="CS50" t="s">
        <v>26</v>
      </c>
      <c r="CT50" t="s">
        <v>26</v>
      </c>
      <c r="CU50" t="s">
        <v>26</v>
      </c>
      <c r="CV50" t="s">
        <v>26</v>
      </c>
      <c r="DO50" t="s">
        <v>29</v>
      </c>
      <c r="DP50" t="s">
        <v>29</v>
      </c>
      <c r="DZ50" t="s">
        <v>29</v>
      </c>
      <c r="EA50" t="s">
        <v>29</v>
      </c>
      <c r="EK50" t="s">
        <v>26</v>
      </c>
      <c r="EL50" t="s">
        <v>26</v>
      </c>
      <c r="EM50" t="s">
        <v>26</v>
      </c>
      <c r="EN50" t="s">
        <v>26</v>
      </c>
      <c r="EO50" t="s">
        <v>26</v>
      </c>
      <c r="EP50" t="s">
        <v>26</v>
      </c>
      <c r="GW50" t="s">
        <v>26</v>
      </c>
      <c r="GX50" t="s">
        <v>26</v>
      </c>
      <c r="GY50" t="s">
        <v>26</v>
      </c>
      <c r="GZ50" t="s">
        <v>26</v>
      </c>
      <c r="HA50" t="s">
        <v>26</v>
      </c>
      <c r="HB50" t="s">
        <v>26</v>
      </c>
      <c r="NA50" t="s">
        <v>26</v>
      </c>
      <c r="NB50" t="s">
        <v>26</v>
      </c>
    </row>
    <row r="51" spans="1:374" x14ac:dyDescent="0.4">
      <c r="A51" s="17" t="str">
        <f t="shared" si="331"/>
        <v>Ivana Pavic T Tehničar</v>
      </c>
      <c r="B51" s="1">
        <v>46</v>
      </c>
      <c r="C51" s="11" t="str">
        <f t="shared" si="332"/>
        <v>Ivana Pavic</v>
      </c>
      <c r="D51" t="s">
        <v>7</v>
      </c>
      <c r="E51" t="s">
        <v>487</v>
      </c>
      <c r="F51" t="s">
        <v>511</v>
      </c>
      <c r="G51" t="s">
        <v>399</v>
      </c>
      <c r="H51">
        <f t="shared" si="334"/>
        <v>22</v>
      </c>
      <c r="I51">
        <f t="shared" si="333"/>
        <v>0</v>
      </c>
      <c r="J51" t="s">
        <v>29</v>
      </c>
      <c r="K51" t="s">
        <v>26</v>
      </c>
      <c r="L51" t="s">
        <v>26</v>
      </c>
      <c r="O51" t="s">
        <v>28</v>
      </c>
      <c r="P51" t="s">
        <v>29</v>
      </c>
      <c r="AD51" t="s">
        <v>26</v>
      </c>
      <c r="AE51" t="s">
        <v>26</v>
      </c>
      <c r="AF51" t="s">
        <v>26</v>
      </c>
      <c r="AG51" t="s">
        <v>26</v>
      </c>
      <c r="BC51" t="s">
        <v>29</v>
      </c>
      <c r="BD51" t="s">
        <v>29</v>
      </c>
      <c r="BE51" t="s">
        <v>29</v>
      </c>
      <c r="DO51" t="s">
        <v>29</v>
      </c>
      <c r="DP51" t="s">
        <v>29</v>
      </c>
      <c r="DZ51" t="s">
        <v>29</v>
      </c>
      <c r="EA51" t="s">
        <v>29</v>
      </c>
      <c r="EY51" t="s">
        <v>26</v>
      </c>
      <c r="EZ51" t="s">
        <v>26</v>
      </c>
      <c r="FA51" t="s">
        <v>26</v>
      </c>
      <c r="FB51" t="s">
        <v>26</v>
      </c>
      <c r="FC51" t="s">
        <v>26</v>
      </c>
      <c r="FD51" t="s">
        <v>26</v>
      </c>
      <c r="FE51" t="s">
        <v>26</v>
      </c>
      <c r="FF51" t="s">
        <v>26</v>
      </c>
      <c r="FG51" t="s">
        <v>28</v>
      </c>
      <c r="FH51" t="s">
        <v>28</v>
      </c>
      <c r="GC51" t="s">
        <v>26</v>
      </c>
      <c r="GD51" t="s">
        <v>26</v>
      </c>
      <c r="GE51" t="s">
        <v>26</v>
      </c>
      <c r="GF51" t="s">
        <v>26</v>
      </c>
      <c r="MW51" t="s">
        <v>26</v>
      </c>
      <c r="MX51" t="s">
        <v>26</v>
      </c>
      <c r="MY51" t="s">
        <v>26</v>
      </c>
      <c r="MZ51" t="s">
        <v>26</v>
      </c>
    </row>
    <row r="52" spans="1:374" x14ac:dyDescent="0.4">
      <c r="A52" s="17" t="str">
        <f t="shared" si="331"/>
        <v>Stanimir Andric T Farmaceut</v>
      </c>
      <c r="B52" s="1">
        <v>47</v>
      </c>
      <c r="C52" s="11" t="str">
        <f t="shared" si="332"/>
        <v>Stanimir Andric</v>
      </c>
      <c r="D52" t="s">
        <v>488</v>
      </c>
      <c r="E52" t="s">
        <v>489</v>
      </c>
      <c r="F52" t="s">
        <v>511</v>
      </c>
      <c r="G52" t="s">
        <v>398</v>
      </c>
      <c r="H52">
        <f t="shared" si="334"/>
        <v>20</v>
      </c>
      <c r="I52">
        <f t="shared" si="333"/>
        <v>9</v>
      </c>
      <c r="J52" t="s">
        <v>29</v>
      </c>
      <c r="P52" t="s">
        <v>29</v>
      </c>
      <c r="R52" t="s">
        <v>27</v>
      </c>
      <c r="S52" t="s">
        <v>27</v>
      </c>
      <c r="T52" t="s">
        <v>27</v>
      </c>
      <c r="U52" t="s">
        <v>27</v>
      </c>
      <c r="AV52" t="s">
        <v>26</v>
      </c>
      <c r="AW52" t="s">
        <v>26</v>
      </c>
      <c r="AX52" t="s">
        <v>26</v>
      </c>
      <c r="AY52" t="s">
        <v>26</v>
      </c>
      <c r="AZ52" t="s">
        <v>26</v>
      </c>
      <c r="BA52" t="s">
        <v>26</v>
      </c>
      <c r="BB52" t="s">
        <v>26</v>
      </c>
      <c r="BC52" t="s">
        <v>29</v>
      </c>
      <c r="BD52" t="s">
        <v>29</v>
      </c>
      <c r="BE52" t="s">
        <v>29</v>
      </c>
      <c r="BQ52" t="s">
        <v>26</v>
      </c>
      <c r="BR52" t="s">
        <v>26</v>
      </c>
      <c r="BS52" t="s">
        <v>26</v>
      </c>
      <c r="BT52" t="s">
        <v>26</v>
      </c>
      <c r="BU52" t="s">
        <v>26</v>
      </c>
      <c r="DO52" t="s">
        <v>29</v>
      </c>
      <c r="DP52" t="s">
        <v>29</v>
      </c>
      <c r="DZ52" t="s">
        <v>29</v>
      </c>
      <c r="EA52" t="s">
        <v>29</v>
      </c>
      <c r="HN52" t="s">
        <v>26</v>
      </c>
      <c r="HO52" t="s">
        <v>26</v>
      </c>
      <c r="HP52" t="s">
        <v>26</v>
      </c>
      <c r="HQ52" t="s">
        <v>26</v>
      </c>
      <c r="HR52" t="s">
        <v>26</v>
      </c>
      <c r="HS52" t="s">
        <v>26</v>
      </c>
      <c r="HT52" t="s">
        <v>26</v>
      </c>
      <c r="HU52" t="s">
        <v>26</v>
      </c>
      <c r="LG52" t="s">
        <v>27</v>
      </c>
      <c r="LH52" t="s">
        <v>27</v>
      </c>
      <c r="LI52" t="s">
        <v>27</v>
      </c>
      <c r="LJ52" t="s">
        <v>27</v>
      </c>
      <c r="LK52" t="s">
        <v>27</v>
      </c>
    </row>
    <row r="53" spans="1:374" x14ac:dyDescent="0.4">
      <c r="A53" s="17" t="str">
        <f t="shared" si="331"/>
        <v>Mijat Grubina T Farmaceut</v>
      </c>
      <c r="B53" s="1">
        <v>48</v>
      </c>
      <c r="C53" s="11" t="str">
        <f t="shared" si="332"/>
        <v>Mijat Grubina</v>
      </c>
      <c r="D53" t="s">
        <v>490</v>
      </c>
      <c r="E53" t="s">
        <v>491</v>
      </c>
      <c r="F53" t="s">
        <v>511</v>
      </c>
      <c r="G53" t="s">
        <v>398</v>
      </c>
      <c r="H53">
        <f t="shared" si="334"/>
        <v>20</v>
      </c>
      <c r="I53">
        <f t="shared" si="333"/>
        <v>0</v>
      </c>
      <c r="J53" t="s">
        <v>29</v>
      </c>
      <c r="P53" t="s">
        <v>29</v>
      </c>
      <c r="BC53" t="s">
        <v>29</v>
      </c>
      <c r="BD53" t="s">
        <v>29</v>
      </c>
      <c r="BE53" t="s">
        <v>29</v>
      </c>
      <c r="CQ53" t="s">
        <v>26</v>
      </c>
      <c r="CR53" t="s">
        <v>26</v>
      </c>
      <c r="CS53" t="s">
        <v>26</v>
      </c>
      <c r="CT53" t="s">
        <v>26</v>
      </c>
      <c r="CU53" t="s">
        <v>26</v>
      </c>
      <c r="CV53" t="s">
        <v>26</v>
      </c>
      <c r="DO53" t="s">
        <v>29</v>
      </c>
      <c r="DP53" t="s">
        <v>29</v>
      </c>
      <c r="DZ53" t="s">
        <v>29</v>
      </c>
      <c r="EA53" t="s">
        <v>29</v>
      </c>
      <c r="EK53" t="s">
        <v>26</v>
      </c>
      <c r="EL53" t="s">
        <v>26</v>
      </c>
      <c r="EM53" t="s">
        <v>26</v>
      </c>
      <c r="EN53" t="s">
        <v>26</v>
      </c>
      <c r="EO53" t="s">
        <v>26</v>
      </c>
      <c r="EP53" t="s">
        <v>26</v>
      </c>
      <c r="GW53" t="s">
        <v>26</v>
      </c>
      <c r="GX53" t="s">
        <v>26</v>
      </c>
      <c r="GY53" t="s">
        <v>26</v>
      </c>
      <c r="GZ53" t="s">
        <v>26</v>
      </c>
      <c r="HA53" t="s">
        <v>26</v>
      </c>
      <c r="HB53" t="s">
        <v>26</v>
      </c>
      <c r="NA53" t="s">
        <v>26</v>
      </c>
      <c r="NB53" t="s">
        <v>26</v>
      </c>
    </row>
    <row r="54" spans="1:374" x14ac:dyDescent="0.4">
      <c r="A54" s="17" t="str">
        <f t="shared" si="331"/>
        <v>Ema Rovnic U Tehničar</v>
      </c>
      <c r="B54" s="1">
        <v>49</v>
      </c>
      <c r="C54" s="11" t="str">
        <f t="shared" si="332"/>
        <v>Ema Rovnic</v>
      </c>
      <c r="D54" t="s">
        <v>19</v>
      </c>
      <c r="E54" t="s">
        <v>492</v>
      </c>
      <c r="F54" t="s">
        <v>512</v>
      </c>
      <c r="G54" t="s">
        <v>399</v>
      </c>
      <c r="H54">
        <f t="shared" si="334"/>
        <v>20</v>
      </c>
      <c r="I54">
        <f t="shared" si="333"/>
        <v>2</v>
      </c>
      <c r="J54" t="s">
        <v>29</v>
      </c>
      <c r="K54" t="s">
        <v>27</v>
      </c>
      <c r="L54" t="s">
        <v>27</v>
      </c>
      <c r="O54" t="s">
        <v>28</v>
      </c>
      <c r="P54" t="s">
        <v>29</v>
      </c>
      <c r="AD54" t="s">
        <v>26</v>
      </c>
      <c r="AE54" t="s">
        <v>26</v>
      </c>
      <c r="AF54" t="s">
        <v>26</v>
      </c>
      <c r="AG54" t="s">
        <v>26</v>
      </c>
      <c r="BC54" t="s">
        <v>29</v>
      </c>
      <c r="BD54" t="s">
        <v>29</v>
      </c>
      <c r="BE54" t="s">
        <v>29</v>
      </c>
      <c r="DO54" t="s">
        <v>29</v>
      </c>
      <c r="DP54" t="s">
        <v>29</v>
      </c>
      <c r="DZ54" t="s">
        <v>29</v>
      </c>
      <c r="EA54" t="s">
        <v>29</v>
      </c>
      <c r="EY54" t="s">
        <v>26</v>
      </c>
      <c r="EZ54" t="s">
        <v>26</v>
      </c>
      <c r="FA54" t="s">
        <v>26</v>
      </c>
      <c r="FB54" t="s">
        <v>26</v>
      </c>
      <c r="FC54" t="s">
        <v>26</v>
      </c>
      <c r="FD54" t="s">
        <v>26</v>
      </c>
      <c r="FE54" t="s">
        <v>26</v>
      </c>
      <c r="FF54" t="s">
        <v>26</v>
      </c>
      <c r="FG54" t="s">
        <v>28</v>
      </c>
      <c r="FH54" t="s">
        <v>28</v>
      </c>
      <c r="GC54" t="s">
        <v>26</v>
      </c>
      <c r="GD54" t="s">
        <v>26</v>
      </c>
      <c r="GE54" t="s">
        <v>26</v>
      </c>
      <c r="GF54" t="s">
        <v>26</v>
      </c>
      <c r="MW54" t="s">
        <v>26</v>
      </c>
      <c r="MX54" t="s">
        <v>26</v>
      </c>
      <c r="MY54" t="s">
        <v>26</v>
      </c>
      <c r="MZ54" t="s">
        <v>26</v>
      </c>
    </row>
    <row r="55" spans="1:374" x14ac:dyDescent="0.4">
      <c r="A55" s="17" t="str">
        <f t="shared" si="331"/>
        <v>Dejana Karapandzic U Tehničar</v>
      </c>
      <c r="B55" s="1">
        <v>50</v>
      </c>
      <c r="C55" s="11" t="str">
        <f t="shared" si="332"/>
        <v>Dejana Karapandzic</v>
      </c>
      <c r="D55" t="s">
        <v>493</v>
      </c>
      <c r="E55" t="s">
        <v>494</v>
      </c>
      <c r="F55" t="s">
        <v>512</v>
      </c>
      <c r="G55" t="s">
        <v>399</v>
      </c>
      <c r="H55">
        <f t="shared" si="334"/>
        <v>20</v>
      </c>
      <c r="I55">
        <f t="shared" si="333"/>
        <v>9</v>
      </c>
      <c r="J55" t="s">
        <v>29</v>
      </c>
      <c r="P55" t="s">
        <v>29</v>
      </c>
      <c r="R55" t="s">
        <v>27</v>
      </c>
      <c r="S55" t="s">
        <v>27</v>
      </c>
      <c r="T55" t="s">
        <v>27</v>
      </c>
      <c r="U55" t="s">
        <v>27</v>
      </c>
      <c r="AV55" t="s">
        <v>26</v>
      </c>
      <c r="AW55" t="s">
        <v>26</v>
      </c>
      <c r="AX55" t="s">
        <v>26</v>
      </c>
      <c r="AY55" t="s">
        <v>26</v>
      </c>
      <c r="AZ55" t="s">
        <v>26</v>
      </c>
      <c r="BA55" t="s">
        <v>26</v>
      </c>
      <c r="BB55" t="s">
        <v>26</v>
      </c>
      <c r="BC55" t="s">
        <v>29</v>
      </c>
      <c r="BD55" t="s">
        <v>29</v>
      </c>
      <c r="BE55" t="s">
        <v>29</v>
      </c>
      <c r="BQ55" t="s">
        <v>26</v>
      </c>
      <c r="BR55" t="s">
        <v>26</v>
      </c>
      <c r="BS55" t="s">
        <v>26</v>
      </c>
      <c r="BT55" t="s">
        <v>26</v>
      </c>
      <c r="BU55" t="s">
        <v>26</v>
      </c>
      <c r="DO55" t="s">
        <v>29</v>
      </c>
      <c r="DP55" t="s">
        <v>29</v>
      </c>
      <c r="DZ55" t="s">
        <v>29</v>
      </c>
      <c r="EA55" t="s">
        <v>29</v>
      </c>
      <c r="HN55" t="s">
        <v>26</v>
      </c>
      <c r="HO55" t="s">
        <v>26</v>
      </c>
      <c r="HP55" t="s">
        <v>26</v>
      </c>
      <c r="HQ55" t="s">
        <v>26</v>
      </c>
      <c r="HR55" t="s">
        <v>26</v>
      </c>
      <c r="HS55" t="s">
        <v>26</v>
      </c>
      <c r="HT55" t="s">
        <v>26</v>
      </c>
      <c r="HU55" t="s">
        <v>26</v>
      </c>
      <c r="LG55" t="s">
        <v>27</v>
      </c>
      <c r="LH55" t="s">
        <v>27</v>
      </c>
      <c r="LI55" t="s">
        <v>27</v>
      </c>
      <c r="LJ55" t="s">
        <v>27</v>
      </c>
      <c r="LK55" t="s">
        <v>27</v>
      </c>
    </row>
    <row r="56" spans="1:374" x14ac:dyDescent="0.4">
      <c r="A56" s="17" t="str">
        <f t="shared" si="331"/>
        <v>Marijana Emancipovic U Tehničar</v>
      </c>
      <c r="B56" s="1">
        <v>51</v>
      </c>
      <c r="C56" s="11" t="str">
        <f t="shared" si="332"/>
        <v>Marijana Emancipovic</v>
      </c>
      <c r="D56" t="s">
        <v>495</v>
      </c>
      <c r="E56" t="s">
        <v>496</v>
      </c>
      <c r="F56" t="s">
        <v>512</v>
      </c>
      <c r="G56" t="s">
        <v>399</v>
      </c>
      <c r="H56">
        <f t="shared" si="334"/>
        <v>20</v>
      </c>
      <c r="I56">
        <f t="shared" si="333"/>
        <v>5</v>
      </c>
      <c r="J56" t="s">
        <v>29</v>
      </c>
      <c r="P56" t="s">
        <v>29</v>
      </c>
      <c r="AO56" t="s">
        <v>26</v>
      </c>
      <c r="AP56" t="s">
        <v>26</v>
      </c>
      <c r="AQ56" t="s">
        <v>26</v>
      </c>
      <c r="BC56" t="s">
        <v>29</v>
      </c>
      <c r="BE56" t="s">
        <v>29</v>
      </c>
      <c r="CA56" t="s">
        <v>26</v>
      </c>
      <c r="CB56" t="s">
        <v>26</v>
      </c>
      <c r="CC56" t="s">
        <v>26</v>
      </c>
      <c r="CY56" t="s">
        <v>26</v>
      </c>
      <c r="CZ56" t="s">
        <v>26</v>
      </c>
      <c r="DA56" t="s">
        <v>26</v>
      </c>
      <c r="DB56" t="s">
        <v>26</v>
      </c>
      <c r="DO56" t="s">
        <v>29</v>
      </c>
      <c r="DP56" t="s">
        <v>29</v>
      </c>
      <c r="DZ56" t="s">
        <v>29</v>
      </c>
      <c r="EA56" t="s">
        <v>29</v>
      </c>
      <c r="GP56" t="s">
        <v>27</v>
      </c>
      <c r="GQ56" t="s">
        <v>27</v>
      </c>
      <c r="ID56" t="s">
        <v>26</v>
      </c>
      <c r="IE56" t="s">
        <v>26</v>
      </c>
      <c r="IF56" t="s">
        <v>26</v>
      </c>
      <c r="IG56" t="s">
        <v>26</v>
      </c>
      <c r="IH56" t="s">
        <v>26</v>
      </c>
      <c r="II56" t="s">
        <v>26</v>
      </c>
      <c r="IJ56" t="s">
        <v>26</v>
      </c>
      <c r="IK56" t="s">
        <v>26</v>
      </c>
      <c r="IL56" t="s">
        <v>26</v>
      </c>
      <c r="IM56" t="s">
        <v>26</v>
      </c>
      <c r="MK56" t="s">
        <v>27</v>
      </c>
      <c r="ML56" t="s">
        <v>27</v>
      </c>
      <c r="MM56" t="s">
        <v>27</v>
      </c>
    </row>
    <row r="57" spans="1:374" x14ac:dyDescent="0.4">
      <c r="A57" s="17" t="str">
        <f t="shared" si="331"/>
        <v>Tepa Hranisavljevic Q Farmaceut</v>
      </c>
      <c r="B57" s="1">
        <v>52</v>
      </c>
      <c r="C57" s="11" t="str">
        <f t="shared" si="332"/>
        <v>Tepa Hranisavljevic</v>
      </c>
      <c r="D57" t="s">
        <v>497</v>
      </c>
      <c r="E57" t="s">
        <v>498</v>
      </c>
      <c r="F57" t="s">
        <v>513</v>
      </c>
      <c r="G57" t="s">
        <v>398</v>
      </c>
      <c r="H57">
        <f t="shared" si="334"/>
        <v>20</v>
      </c>
      <c r="I57">
        <f t="shared" si="333"/>
        <v>0</v>
      </c>
      <c r="J57" t="s">
        <v>29</v>
      </c>
      <c r="O57" t="s">
        <v>26</v>
      </c>
      <c r="P57" t="s">
        <v>29</v>
      </c>
      <c r="Q57" t="s">
        <v>26</v>
      </c>
      <c r="R57" t="s">
        <v>26</v>
      </c>
      <c r="S57" t="s">
        <v>26</v>
      </c>
      <c r="BC57" t="s">
        <v>29</v>
      </c>
      <c r="BE57" t="s">
        <v>29</v>
      </c>
      <c r="BW57" t="s">
        <v>26</v>
      </c>
      <c r="BX57" t="s">
        <v>26</v>
      </c>
      <c r="BY57" t="s">
        <v>28</v>
      </c>
      <c r="BZ57" t="s">
        <v>26</v>
      </c>
      <c r="DO57" t="s">
        <v>29</v>
      </c>
      <c r="DP57" t="s">
        <v>29</v>
      </c>
      <c r="DZ57" t="s">
        <v>29</v>
      </c>
      <c r="EA57" t="s">
        <v>29</v>
      </c>
      <c r="IP57" t="s">
        <v>26</v>
      </c>
      <c r="IQ57" t="s">
        <v>26</v>
      </c>
      <c r="IR57" t="s">
        <v>26</v>
      </c>
      <c r="IS57" t="s">
        <v>26</v>
      </c>
      <c r="IT57" t="s">
        <v>26</v>
      </c>
      <c r="IU57" t="s">
        <v>26</v>
      </c>
      <c r="IV57" t="s">
        <v>26</v>
      </c>
      <c r="IW57" t="s">
        <v>26</v>
      </c>
      <c r="IX57" t="s">
        <v>26</v>
      </c>
      <c r="IY57" t="s">
        <v>26</v>
      </c>
      <c r="LZ57" t="s">
        <v>26</v>
      </c>
      <c r="MA57" t="s">
        <v>26</v>
      </c>
      <c r="MB57" t="s">
        <v>26</v>
      </c>
    </row>
    <row r="58" spans="1:374" x14ac:dyDescent="0.4">
      <c r="A58" s="17" t="str">
        <f t="shared" si="331"/>
        <v>Dorijan Miric Q Tehničar</v>
      </c>
      <c r="B58" s="1">
        <v>53</v>
      </c>
      <c r="C58" s="11" t="str">
        <f t="shared" si="332"/>
        <v>Dorijan Miric</v>
      </c>
      <c r="D58" t="s">
        <v>499</v>
      </c>
      <c r="E58" t="s">
        <v>500</v>
      </c>
      <c r="F58" t="s">
        <v>513</v>
      </c>
      <c r="G58" t="s">
        <v>399</v>
      </c>
      <c r="H58">
        <f t="shared" si="334"/>
        <v>20</v>
      </c>
      <c r="I58">
        <f t="shared" si="333"/>
        <v>0</v>
      </c>
      <c r="J58" t="s">
        <v>29</v>
      </c>
      <c r="P58" t="s">
        <v>29</v>
      </c>
      <c r="BC58" t="s">
        <v>29</v>
      </c>
      <c r="BD58" t="s">
        <v>29</v>
      </c>
      <c r="BE58" t="s">
        <v>29</v>
      </c>
      <c r="DO58" t="s">
        <v>29</v>
      </c>
      <c r="DP58" t="s">
        <v>29</v>
      </c>
      <c r="DZ58" t="s">
        <v>29</v>
      </c>
      <c r="EA58" t="s">
        <v>29</v>
      </c>
      <c r="FO58" t="s">
        <v>26</v>
      </c>
      <c r="FP58" t="s">
        <v>26</v>
      </c>
      <c r="FQ58" t="s">
        <v>26</v>
      </c>
      <c r="FR58" t="s">
        <v>26</v>
      </c>
      <c r="FS58" t="s">
        <v>26</v>
      </c>
      <c r="FT58" t="s">
        <v>28</v>
      </c>
      <c r="FU58" t="s">
        <v>28</v>
      </c>
      <c r="FV58" t="s">
        <v>26</v>
      </c>
      <c r="FW58" t="s">
        <v>26</v>
      </c>
      <c r="FX58" t="s">
        <v>26</v>
      </c>
      <c r="FY58" t="s">
        <v>26</v>
      </c>
      <c r="FZ58" t="s">
        <v>26</v>
      </c>
      <c r="GR58" t="s">
        <v>26</v>
      </c>
      <c r="GS58" t="s">
        <v>26</v>
      </c>
      <c r="GT58" t="s">
        <v>26</v>
      </c>
      <c r="GU58" t="s">
        <v>26</v>
      </c>
      <c r="GV58" t="s">
        <v>26</v>
      </c>
      <c r="HE58" t="s">
        <v>26</v>
      </c>
      <c r="HF58" t="s">
        <v>26</v>
      </c>
      <c r="HG58" t="s">
        <v>26</v>
      </c>
      <c r="HH58" t="s">
        <v>26</v>
      </c>
      <c r="HI58" t="s">
        <v>26</v>
      </c>
    </row>
    <row r="59" spans="1:374" ht="93.5" x14ac:dyDescent="2.1">
      <c r="A59" s="18" t="s">
        <v>397</v>
      </c>
      <c r="B59" s="6"/>
      <c r="C59" s="12"/>
      <c r="D59" s="7"/>
      <c r="E59" s="7"/>
      <c r="F59" s="7"/>
      <c r="G59" s="7"/>
      <c r="H59" s="7"/>
      <c r="I59" s="7"/>
      <c r="J59" s="8">
        <f>SUBTOTAL(3,J6:J58)</f>
        <v>43</v>
      </c>
      <c r="K59" s="8">
        <f t="shared" ref="K59:BV59" si="335">SUBTOTAL(3,K6:K58)</f>
        <v>9</v>
      </c>
      <c r="L59" s="8">
        <f t="shared" si="335"/>
        <v>7</v>
      </c>
      <c r="M59" s="8">
        <f t="shared" si="335"/>
        <v>8</v>
      </c>
      <c r="N59" s="8">
        <f t="shared" si="335"/>
        <v>8</v>
      </c>
      <c r="O59" s="8">
        <f t="shared" si="335"/>
        <v>16</v>
      </c>
      <c r="P59" s="8">
        <f t="shared" si="335"/>
        <v>53</v>
      </c>
      <c r="Q59" s="8">
        <f t="shared" si="335"/>
        <v>7</v>
      </c>
      <c r="R59" s="8">
        <f t="shared" si="335"/>
        <v>9</v>
      </c>
      <c r="S59" s="8">
        <f t="shared" si="335"/>
        <v>9</v>
      </c>
      <c r="T59" s="8">
        <f t="shared" si="335"/>
        <v>5</v>
      </c>
      <c r="U59" s="8">
        <f t="shared" si="335"/>
        <v>5</v>
      </c>
      <c r="V59" s="8">
        <f t="shared" si="335"/>
        <v>2</v>
      </c>
      <c r="W59" s="8">
        <f t="shared" si="335"/>
        <v>2</v>
      </c>
      <c r="X59" s="8">
        <f t="shared" si="335"/>
        <v>2</v>
      </c>
      <c r="Y59" s="8">
        <f t="shared" si="335"/>
        <v>2</v>
      </c>
      <c r="Z59" s="8">
        <f t="shared" si="335"/>
        <v>2</v>
      </c>
      <c r="AA59" s="8">
        <f t="shared" si="335"/>
        <v>2</v>
      </c>
      <c r="AB59" s="8">
        <f t="shared" si="335"/>
        <v>2</v>
      </c>
      <c r="AC59" s="8">
        <f t="shared" si="335"/>
        <v>3</v>
      </c>
      <c r="AD59" s="8">
        <f t="shared" si="335"/>
        <v>7</v>
      </c>
      <c r="AE59" s="8">
        <f t="shared" si="335"/>
        <v>4</v>
      </c>
      <c r="AF59" s="8">
        <f t="shared" si="335"/>
        <v>4</v>
      </c>
      <c r="AG59" s="8">
        <f t="shared" si="335"/>
        <v>4</v>
      </c>
      <c r="AH59" s="8">
        <f t="shared" si="335"/>
        <v>0</v>
      </c>
      <c r="AI59" s="8">
        <f t="shared" si="335"/>
        <v>1</v>
      </c>
      <c r="AJ59" s="8">
        <f t="shared" si="335"/>
        <v>1</v>
      </c>
      <c r="AK59" s="8">
        <f t="shared" si="335"/>
        <v>1</v>
      </c>
      <c r="AL59" s="8">
        <f t="shared" si="335"/>
        <v>1</v>
      </c>
      <c r="AM59" s="8">
        <f t="shared" si="335"/>
        <v>0</v>
      </c>
      <c r="AN59" s="8">
        <f t="shared" si="335"/>
        <v>0</v>
      </c>
      <c r="AO59" s="8">
        <f t="shared" si="335"/>
        <v>4</v>
      </c>
      <c r="AP59" s="8">
        <f t="shared" si="335"/>
        <v>4</v>
      </c>
      <c r="AQ59" s="8">
        <f t="shared" si="335"/>
        <v>4</v>
      </c>
      <c r="AR59" s="8">
        <f t="shared" si="335"/>
        <v>0</v>
      </c>
      <c r="AS59" s="8">
        <f t="shared" si="335"/>
        <v>5</v>
      </c>
      <c r="AT59" s="8">
        <f t="shared" si="335"/>
        <v>5</v>
      </c>
      <c r="AU59" s="8">
        <f t="shared" si="335"/>
        <v>5</v>
      </c>
      <c r="AV59" s="8">
        <f t="shared" si="335"/>
        <v>5</v>
      </c>
      <c r="AW59" s="8">
        <f t="shared" si="335"/>
        <v>5</v>
      </c>
      <c r="AX59" s="8">
        <f t="shared" si="335"/>
        <v>6</v>
      </c>
      <c r="AY59" s="8">
        <f t="shared" si="335"/>
        <v>6</v>
      </c>
      <c r="AZ59" s="8">
        <f t="shared" si="335"/>
        <v>6</v>
      </c>
      <c r="BA59" s="8">
        <f t="shared" si="335"/>
        <v>6</v>
      </c>
      <c r="BB59" s="8">
        <f t="shared" si="335"/>
        <v>6</v>
      </c>
      <c r="BC59" s="8">
        <f t="shared" si="335"/>
        <v>53</v>
      </c>
      <c r="BD59" s="8">
        <f t="shared" si="335"/>
        <v>45</v>
      </c>
      <c r="BE59" s="8">
        <f t="shared" si="335"/>
        <v>49</v>
      </c>
      <c r="BF59" s="8">
        <f t="shared" si="335"/>
        <v>3</v>
      </c>
      <c r="BG59" s="8">
        <f t="shared" si="335"/>
        <v>0</v>
      </c>
      <c r="BH59" s="8">
        <f t="shared" si="335"/>
        <v>0</v>
      </c>
      <c r="BI59" s="8">
        <f t="shared" si="335"/>
        <v>0</v>
      </c>
      <c r="BJ59" s="8">
        <f t="shared" si="335"/>
        <v>0</v>
      </c>
      <c r="BK59" s="8">
        <f t="shared" si="335"/>
        <v>3</v>
      </c>
      <c r="BL59" s="8">
        <f t="shared" si="335"/>
        <v>3</v>
      </c>
      <c r="BM59" s="8">
        <f t="shared" si="335"/>
        <v>3</v>
      </c>
      <c r="BN59" s="8">
        <f t="shared" si="335"/>
        <v>3</v>
      </c>
      <c r="BO59" s="8">
        <f t="shared" si="335"/>
        <v>3</v>
      </c>
      <c r="BP59" s="8">
        <f t="shared" si="335"/>
        <v>0</v>
      </c>
      <c r="BQ59" s="8">
        <f t="shared" si="335"/>
        <v>5</v>
      </c>
      <c r="BR59" s="8">
        <f t="shared" si="335"/>
        <v>5</v>
      </c>
      <c r="BS59" s="8">
        <f t="shared" si="335"/>
        <v>5</v>
      </c>
      <c r="BT59" s="8">
        <f t="shared" si="335"/>
        <v>5</v>
      </c>
      <c r="BU59" s="8">
        <f t="shared" si="335"/>
        <v>5</v>
      </c>
      <c r="BV59" s="8">
        <f t="shared" si="335"/>
        <v>0</v>
      </c>
      <c r="BW59" s="8">
        <f t="shared" ref="BW59:EH59" si="336">SUBTOTAL(3,BW6:BW58)</f>
        <v>4</v>
      </c>
      <c r="BX59" s="8">
        <f t="shared" si="336"/>
        <v>4</v>
      </c>
      <c r="BY59" s="8">
        <f t="shared" si="336"/>
        <v>4</v>
      </c>
      <c r="BZ59" s="8">
        <f t="shared" si="336"/>
        <v>4</v>
      </c>
      <c r="CA59" s="8">
        <f t="shared" si="336"/>
        <v>4</v>
      </c>
      <c r="CB59" s="8">
        <f t="shared" si="336"/>
        <v>4</v>
      </c>
      <c r="CC59" s="8">
        <f t="shared" si="336"/>
        <v>4</v>
      </c>
      <c r="CD59" s="8">
        <f t="shared" si="336"/>
        <v>3</v>
      </c>
      <c r="CE59" s="8">
        <f t="shared" si="336"/>
        <v>3</v>
      </c>
      <c r="CF59" s="8">
        <f t="shared" si="336"/>
        <v>6</v>
      </c>
      <c r="CG59" s="8">
        <f t="shared" si="336"/>
        <v>6</v>
      </c>
      <c r="CH59" s="8">
        <f t="shared" si="336"/>
        <v>6</v>
      </c>
      <c r="CI59" s="8">
        <f t="shared" si="336"/>
        <v>3</v>
      </c>
      <c r="CJ59" s="8">
        <f t="shared" si="336"/>
        <v>8</v>
      </c>
      <c r="CK59" s="8">
        <f t="shared" si="336"/>
        <v>8</v>
      </c>
      <c r="CL59" s="8">
        <f t="shared" si="336"/>
        <v>8</v>
      </c>
      <c r="CM59" s="8">
        <f t="shared" si="336"/>
        <v>5</v>
      </c>
      <c r="CN59" s="8">
        <f t="shared" si="336"/>
        <v>5</v>
      </c>
      <c r="CO59" s="8">
        <f t="shared" si="336"/>
        <v>5</v>
      </c>
      <c r="CP59" s="8">
        <f t="shared" si="336"/>
        <v>5</v>
      </c>
      <c r="CQ59" s="8">
        <f t="shared" si="336"/>
        <v>9</v>
      </c>
      <c r="CR59" s="8">
        <f t="shared" si="336"/>
        <v>9</v>
      </c>
      <c r="CS59" s="8">
        <f t="shared" si="336"/>
        <v>9</v>
      </c>
      <c r="CT59" s="8">
        <f t="shared" si="336"/>
        <v>4</v>
      </c>
      <c r="CU59" s="8">
        <f t="shared" si="336"/>
        <v>4</v>
      </c>
      <c r="CV59" s="8">
        <f t="shared" si="336"/>
        <v>4</v>
      </c>
      <c r="CW59" s="8">
        <f t="shared" si="336"/>
        <v>0</v>
      </c>
      <c r="CX59" s="8">
        <f t="shared" si="336"/>
        <v>0</v>
      </c>
      <c r="CY59" s="8">
        <f t="shared" si="336"/>
        <v>4</v>
      </c>
      <c r="CZ59" s="8">
        <f t="shared" si="336"/>
        <v>4</v>
      </c>
      <c r="DA59" s="8">
        <f t="shared" si="336"/>
        <v>4</v>
      </c>
      <c r="DB59" s="8">
        <f t="shared" si="336"/>
        <v>7</v>
      </c>
      <c r="DC59" s="8">
        <f t="shared" si="336"/>
        <v>3</v>
      </c>
      <c r="DD59" s="8">
        <f t="shared" si="336"/>
        <v>3</v>
      </c>
      <c r="DE59" s="8">
        <f t="shared" si="336"/>
        <v>3</v>
      </c>
      <c r="DF59" s="8">
        <f t="shared" si="336"/>
        <v>3</v>
      </c>
      <c r="DG59" s="8">
        <f t="shared" si="336"/>
        <v>2</v>
      </c>
      <c r="DH59" s="8">
        <f t="shared" si="336"/>
        <v>2</v>
      </c>
      <c r="DI59" s="8">
        <f t="shared" si="336"/>
        <v>2</v>
      </c>
      <c r="DJ59" s="8">
        <f t="shared" si="336"/>
        <v>2</v>
      </c>
      <c r="DK59" s="8">
        <f t="shared" si="336"/>
        <v>2</v>
      </c>
      <c r="DL59" s="8">
        <f t="shared" si="336"/>
        <v>3</v>
      </c>
      <c r="DM59" s="8">
        <f t="shared" si="336"/>
        <v>3</v>
      </c>
      <c r="DN59" s="8">
        <f t="shared" si="336"/>
        <v>3</v>
      </c>
      <c r="DO59" s="8">
        <f t="shared" si="336"/>
        <v>53</v>
      </c>
      <c r="DP59" s="8">
        <f t="shared" si="336"/>
        <v>45</v>
      </c>
      <c r="DQ59" s="8">
        <f t="shared" si="336"/>
        <v>5</v>
      </c>
      <c r="DR59" s="8">
        <f t="shared" si="336"/>
        <v>5</v>
      </c>
      <c r="DS59" s="8">
        <f t="shared" si="336"/>
        <v>5</v>
      </c>
      <c r="DT59" s="8">
        <f t="shared" si="336"/>
        <v>3</v>
      </c>
      <c r="DU59" s="8">
        <f t="shared" si="336"/>
        <v>3</v>
      </c>
      <c r="DV59" s="8">
        <f t="shared" si="336"/>
        <v>3</v>
      </c>
      <c r="DW59" s="8">
        <f t="shared" si="336"/>
        <v>3</v>
      </c>
      <c r="DX59" s="8">
        <f t="shared" si="336"/>
        <v>3</v>
      </c>
      <c r="DY59" s="8">
        <f t="shared" si="336"/>
        <v>3</v>
      </c>
      <c r="DZ59" s="8">
        <f t="shared" si="336"/>
        <v>53</v>
      </c>
      <c r="EA59" s="8">
        <f t="shared" si="336"/>
        <v>53</v>
      </c>
      <c r="EB59" s="8">
        <f t="shared" si="336"/>
        <v>3</v>
      </c>
      <c r="EC59" s="8">
        <f t="shared" si="336"/>
        <v>3</v>
      </c>
      <c r="ED59" s="8">
        <f t="shared" si="336"/>
        <v>2</v>
      </c>
      <c r="EE59" s="8">
        <f t="shared" si="336"/>
        <v>2</v>
      </c>
      <c r="EF59" s="8">
        <f t="shared" si="336"/>
        <v>2</v>
      </c>
      <c r="EG59" s="8">
        <f t="shared" si="336"/>
        <v>2</v>
      </c>
      <c r="EH59" s="8">
        <f t="shared" si="336"/>
        <v>2</v>
      </c>
      <c r="EI59" s="8">
        <f t="shared" ref="EI59:GT59" si="337">SUBTOTAL(3,EI6:EI58)</f>
        <v>0</v>
      </c>
      <c r="EJ59" s="8">
        <f t="shared" si="337"/>
        <v>0</v>
      </c>
      <c r="EK59" s="8">
        <f t="shared" si="337"/>
        <v>4</v>
      </c>
      <c r="EL59" s="8">
        <f t="shared" si="337"/>
        <v>4</v>
      </c>
      <c r="EM59" s="8">
        <f t="shared" si="337"/>
        <v>4</v>
      </c>
      <c r="EN59" s="8">
        <f t="shared" si="337"/>
        <v>4</v>
      </c>
      <c r="EO59" s="8">
        <f t="shared" si="337"/>
        <v>4</v>
      </c>
      <c r="EP59" s="8">
        <f t="shared" si="337"/>
        <v>4</v>
      </c>
      <c r="EQ59" s="8">
        <f t="shared" si="337"/>
        <v>0</v>
      </c>
      <c r="ER59" s="8">
        <f t="shared" si="337"/>
        <v>0</v>
      </c>
      <c r="ES59" s="8">
        <f t="shared" si="337"/>
        <v>0</v>
      </c>
      <c r="ET59" s="8">
        <f t="shared" si="337"/>
        <v>0</v>
      </c>
      <c r="EU59" s="8">
        <f t="shared" si="337"/>
        <v>2</v>
      </c>
      <c r="EV59" s="8">
        <f t="shared" si="337"/>
        <v>2</v>
      </c>
      <c r="EW59" s="8">
        <f t="shared" si="337"/>
        <v>7</v>
      </c>
      <c r="EX59" s="8">
        <f t="shared" si="337"/>
        <v>0</v>
      </c>
      <c r="EY59" s="8">
        <f t="shared" si="337"/>
        <v>4</v>
      </c>
      <c r="EZ59" s="8">
        <f t="shared" si="337"/>
        <v>4</v>
      </c>
      <c r="FA59" s="8">
        <f t="shared" si="337"/>
        <v>4</v>
      </c>
      <c r="FB59" s="8">
        <f t="shared" si="337"/>
        <v>4</v>
      </c>
      <c r="FC59" s="8">
        <f t="shared" si="337"/>
        <v>4</v>
      </c>
      <c r="FD59" s="8">
        <f t="shared" si="337"/>
        <v>4</v>
      </c>
      <c r="FE59" s="8">
        <f t="shared" si="337"/>
        <v>4</v>
      </c>
      <c r="FF59" s="8">
        <f t="shared" si="337"/>
        <v>7</v>
      </c>
      <c r="FG59" s="8">
        <f t="shared" si="337"/>
        <v>7</v>
      </c>
      <c r="FH59" s="8">
        <f t="shared" si="337"/>
        <v>7</v>
      </c>
      <c r="FI59" s="8">
        <f t="shared" si="337"/>
        <v>3</v>
      </c>
      <c r="FJ59" s="8">
        <f t="shared" si="337"/>
        <v>3</v>
      </c>
      <c r="FK59" s="8">
        <f t="shared" si="337"/>
        <v>3</v>
      </c>
      <c r="FL59" s="8">
        <f t="shared" si="337"/>
        <v>3</v>
      </c>
      <c r="FM59" s="8">
        <f t="shared" si="337"/>
        <v>3</v>
      </c>
      <c r="FN59" s="8">
        <f t="shared" si="337"/>
        <v>3</v>
      </c>
      <c r="FO59" s="8">
        <f t="shared" si="337"/>
        <v>8</v>
      </c>
      <c r="FP59" s="8">
        <f t="shared" si="337"/>
        <v>8</v>
      </c>
      <c r="FQ59" s="8">
        <f t="shared" si="337"/>
        <v>8</v>
      </c>
      <c r="FR59" s="8">
        <f t="shared" si="337"/>
        <v>5</v>
      </c>
      <c r="FS59" s="8">
        <f t="shared" si="337"/>
        <v>5</v>
      </c>
      <c r="FT59" s="8">
        <f t="shared" si="337"/>
        <v>5</v>
      </c>
      <c r="FU59" s="8">
        <f t="shared" si="337"/>
        <v>5</v>
      </c>
      <c r="FV59" s="8">
        <f t="shared" si="337"/>
        <v>5</v>
      </c>
      <c r="FW59" s="8">
        <f t="shared" si="337"/>
        <v>8</v>
      </c>
      <c r="FX59" s="8">
        <f t="shared" si="337"/>
        <v>8</v>
      </c>
      <c r="FY59" s="8">
        <f t="shared" si="337"/>
        <v>8</v>
      </c>
      <c r="FZ59" s="8">
        <f t="shared" si="337"/>
        <v>8</v>
      </c>
      <c r="GA59" s="8">
        <f t="shared" si="337"/>
        <v>3</v>
      </c>
      <c r="GB59" s="8">
        <f t="shared" si="337"/>
        <v>3</v>
      </c>
      <c r="GC59" s="8">
        <f t="shared" si="337"/>
        <v>4</v>
      </c>
      <c r="GD59" s="8">
        <f t="shared" si="337"/>
        <v>4</v>
      </c>
      <c r="GE59" s="8">
        <f t="shared" si="337"/>
        <v>4</v>
      </c>
      <c r="GF59" s="8">
        <f t="shared" si="337"/>
        <v>4</v>
      </c>
      <c r="GG59" s="8">
        <f t="shared" si="337"/>
        <v>3</v>
      </c>
      <c r="GH59" s="8">
        <f t="shared" si="337"/>
        <v>3</v>
      </c>
      <c r="GI59" s="8">
        <f t="shared" si="337"/>
        <v>2</v>
      </c>
      <c r="GJ59" s="8">
        <f t="shared" si="337"/>
        <v>2</v>
      </c>
      <c r="GK59" s="8">
        <f t="shared" si="337"/>
        <v>2</v>
      </c>
      <c r="GL59" s="8">
        <f t="shared" si="337"/>
        <v>2</v>
      </c>
      <c r="GM59" s="8">
        <f t="shared" si="337"/>
        <v>2</v>
      </c>
      <c r="GN59" s="8">
        <f t="shared" si="337"/>
        <v>0</v>
      </c>
      <c r="GO59" s="8">
        <f t="shared" si="337"/>
        <v>3</v>
      </c>
      <c r="GP59" s="8">
        <f t="shared" si="337"/>
        <v>7</v>
      </c>
      <c r="GQ59" s="8">
        <f t="shared" si="337"/>
        <v>7</v>
      </c>
      <c r="GR59" s="8">
        <f t="shared" si="337"/>
        <v>8</v>
      </c>
      <c r="GS59" s="8">
        <f t="shared" si="337"/>
        <v>8</v>
      </c>
      <c r="GT59" s="8">
        <f t="shared" si="337"/>
        <v>8</v>
      </c>
      <c r="GU59" s="8">
        <f t="shared" ref="GU59:JF59" si="338">SUBTOTAL(3,GU6:GU58)</f>
        <v>8</v>
      </c>
      <c r="GV59" s="8">
        <f t="shared" si="338"/>
        <v>8</v>
      </c>
      <c r="GW59" s="8">
        <f t="shared" si="338"/>
        <v>6</v>
      </c>
      <c r="GX59" s="8">
        <f t="shared" si="338"/>
        <v>6</v>
      </c>
      <c r="GY59" s="8">
        <f t="shared" si="338"/>
        <v>6</v>
      </c>
      <c r="GZ59" s="8">
        <f t="shared" si="338"/>
        <v>6</v>
      </c>
      <c r="HA59" s="8">
        <f t="shared" si="338"/>
        <v>6</v>
      </c>
      <c r="HB59" s="8">
        <f t="shared" si="338"/>
        <v>9</v>
      </c>
      <c r="HC59" s="8">
        <f t="shared" si="338"/>
        <v>5</v>
      </c>
      <c r="HD59" s="8">
        <f t="shared" si="338"/>
        <v>5</v>
      </c>
      <c r="HE59" s="8">
        <f t="shared" si="338"/>
        <v>10</v>
      </c>
      <c r="HF59" s="8">
        <f t="shared" si="338"/>
        <v>10</v>
      </c>
      <c r="HG59" s="8">
        <f t="shared" si="338"/>
        <v>10</v>
      </c>
      <c r="HH59" s="8">
        <f t="shared" si="338"/>
        <v>5</v>
      </c>
      <c r="HI59" s="8">
        <f t="shared" si="338"/>
        <v>5</v>
      </c>
      <c r="HJ59" s="8">
        <f t="shared" si="338"/>
        <v>2</v>
      </c>
      <c r="HK59" s="8">
        <f t="shared" si="338"/>
        <v>2</v>
      </c>
      <c r="HL59" s="8">
        <f t="shared" si="338"/>
        <v>2</v>
      </c>
      <c r="HM59" s="8">
        <f t="shared" si="338"/>
        <v>2</v>
      </c>
      <c r="HN59" s="8">
        <f t="shared" si="338"/>
        <v>7</v>
      </c>
      <c r="HO59" s="8">
        <f t="shared" si="338"/>
        <v>5</v>
      </c>
      <c r="HP59" s="8">
        <f t="shared" si="338"/>
        <v>5</v>
      </c>
      <c r="HQ59" s="8">
        <f t="shared" si="338"/>
        <v>5</v>
      </c>
      <c r="HR59" s="8">
        <f t="shared" si="338"/>
        <v>5</v>
      </c>
      <c r="HS59" s="8">
        <f t="shared" si="338"/>
        <v>5</v>
      </c>
      <c r="HT59" s="8">
        <f t="shared" si="338"/>
        <v>5</v>
      </c>
      <c r="HU59" s="8">
        <f t="shared" si="338"/>
        <v>5</v>
      </c>
      <c r="HV59" s="8">
        <f t="shared" si="338"/>
        <v>0</v>
      </c>
      <c r="HW59" s="8">
        <f t="shared" si="338"/>
        <v>3</v>
      </c>
      <c r="HX59" s="8">
        <f t="shared" si="338"/>
        <v>3</v>
      </c>
      <c r="HY59" s="8">
        <f t="shared" si="338"/>
        <v>3</v>
      </c>
      <c r="HZ59" s="8">
        <f t="shared" si="338"/>
        <v>3</v>
      </c>
      <c r="IA59" s="8">
        <f t="shared" si="338"/>
        <v>5</v>
      </c>
      <c r="IB59" s="8">
        <f t="shared" si="338"/>
        <v>5</v>
      </c>
      <c r="IC59" s="8">
        <f t="shared" si="338"/>
        <v>2</v>
      </c>
      <c r="ID59" s="8">
        <f t="shared" si="338"/>
        <v>6</v>
      </c>
      <c r="IE59" s="8">
        <f t="shared" si="338"/>
        <v>6</v>
      </c>
      <c r="IF59" s="8">
        <f t="shared" si="338"/>
        <v>4</v>
      </c>
      <c r="IG59" s="8">
        <f t="shared" si="338"/>
        <v>4</v>
      </c>
      <c r="IH59" s="8">
        <f t="shared" si="338"/>
        <v>4</v>
      </c>
      <c r="II59" s="8">
        <f t="shared" si="338"/>
        <v>4</v>
      </c>
      <c r="IJ59" s="8">
        <f t="shared" si="338"/>
        <v>4</v>
      </c>
      <c r="IK59" s="8">
        <f t="shared" si="338"/>
        <v>4</v>
      </c>
      <c r="IL59" s="8">
        <f t="shared" si="338"/>
        <v>9</v>
      </c>
      <c r="IM59" s="8">
        <f t="shared" si="338"/>
        <v>9</v>
      </c>
      <c r="IN59" s="8">
        <f t="shared" si="338"/>
        <v>5</v>
      </c>
      <c r="IO59" s="8">
        <f t="shared" si="338"/>
        <v>5</v>
      </c>
      <c r="IP59" s="8">
        <f t="shared" si="338"/>
        <v>9</v>
      </c>
      <c r="IQ59" s="8">
        <f t="shared" si="338"/>
        <v>4</v>
      </c>
      <c r="IR59" s="8">
        <f t="shared" si="338"/>
        <v>4</v>
      </c>
      <c r="IS59" s="8">
        <f t="shared" si="338"/>
        <v>7</v>
      </c>
      <c r="IT59" s="8">
        <f t="shared" si="338"/>
        <v>7</v>
      </c>
      <c r="IU59" s="8">
        <f t="shared" si="338"/>
        <v>4</v>
      </c>
      <c r="IV59" s="8">
        <f t="shared" si="338"/>
        <v>4</v>
      </c>
      <c r="IW59" s="8">
        <f t="shared" si="338"/>
        <v>4</v>
      </c>
      <c r="IX59" s="8">
        <f t="shared" si="338"/>
        <v>4</v>
      </c>
      <c r="IY59" s="8">
        <f t="shared" si="338"/>
        <v>6</v>
      </c>
      <c r="IZ59" s="8">
        <f t="shared" si="338"/>
        <v>2</v>
      </c>
      <c r="JA59" s="8">
        <f t="shared" si="338"/>
        <v>2</v>
      </c>
      <c r="JB59" s="8">
        <f t="shared" si="338"/>
        <v>2</v>
      </c>
      <c r="JC59" s="8">
        <f t="shared" si="338"/>
        <v>2</v>
      </c>
      <c r="JD59" s="8">
        <f t="shared" si="338"/>
        <v>2</v>
      </c>
      <c r="JE59" s="8">
        <f t="shared" si="338"/>
        <v>2</v>
      </c>
      <c r="JF59" s="8">
        <f t="shared" si="338"/>
        <v>2</v>
      </c>
      <c r="JG59" s="8">
        <f t="shared" ref="JG59:LR59" si="339">SUBTOTAL(3,JG6:JG58)</f>
        <v>2</v>
      </c>
      <c r="JH59" s="8">
        <f t="shared" si="339"/>
        <v>2</v>
      </c>
      <c r="JI59" s="8">
        <f t="shared" si="339"/>
        <v>0</v>
      </c>
      <c r="JJ59" s="8">
        <f t="shared" si="339"/>
        <v>2</v>
      </c>
      <c r="JK59" s="8">
        <f t="shared" si="339"/>
        <v>2</v>
      </c>
      <c r="JL59" s="8">
        <f t="shared" si="339"/>
        <v>2</v>
      </c>
      <c r="JM59" s="8">
        <f t="shared" si="339"/>
        <v>2</v>
      </c>
      <c r="JN59" s="8">
        <f t="shared" si="339"/>
        <v>2</v>
      </c>
      <c r="JO59" s="8">
        <f t="shared" si="339"/>
        <v>0</v>
      </c>
      <c r="JP59" s="8">
        <f t="shared" si="339"/>
        <v>0</v>
      </c>
      <c r="JQ59" s="8">
        <f t="shared" si="339"/>
        <v>2</v>
      </c>
      <c r="JR59" s="8">
        <f t="shared" si="339"/>
        <v>2</v>
      </c>
      <c r="JS59" s="8">
        <f t="shared" si="339"/>
        <v>2</v>
      </c>
      <c r="JT59" s="8">
        <f t="shared" si="339"/>
        <v>2</v>
      </c>
      <c r="JU59" s="8">
        <f t="shared" si="339"/>
        <v>2</v>
      </c>
      <c r="JV59" s="8">
        <f t="shared" si="339"/>
        <v>2</v>
      </c>
      <c r="JW59" s="8">
        <f t="shared" si="339"/>
        <v>0</v>
      </c>
      <c r="JX59" s="8">
        <f t="shared" si="339"/>
        <v>2</v>
      </c>
      <c r="JY59" s="8">
        <f t="shared" si="339"/>
        <v>2</v>
      </c>
      <c r="JZ59" s="8">
        <f t="shared" si="339"/>
        <v>2</v>
      </c>
      <c r="KA59" s="8">
        <f t="shared" si="339"/>
        <v>2</v>
      </c>
      <c r="KB59" s="8">
        <f t="shared" si="339"/>
        <v>2</v>
      </c>
      <c r="KC59" s="8">
        <f t="shared" si="339"/>
        <v>2</v>
      </c>
      <c r="KD59" s="8">
        <f t="shared" si="339"/>
        <v>0</v>
      </c>
      <c r="KE59" s="8">
        <f t="shared" si="339"/>
        <v>2</v>
      </c>
      <c r="KF59" s="8">
        <f t="shared" si="339"/>
        <v>2</v>
      </c>
      <c r="KG59" s="8">
        <f t="shared" si="339"/>
        <v>2</v>
      </c>
      <c r="KH59" s="8">
        <f t="shared" si="339"/>
        <v>2</v>
      </c>
      <c r="KI59" s="8">
        <f t="shared" si="339"/>
        <v>2</v>
      </c>
      <c r="KJ59" s="8">
        <f t="shared" si="339"/>
        <v>0</v>
      </c>
      <c r="KK59" s="8">
        <f t="shared" si="339"/>
        <v>0</v>
      </c>
      <c r="KL59" s="8">
        <f t="shared" si="339"/>
        <v>2</v>
      </c>
      <c r="KM59" s="8">
        <f t="shared" si="339"/>
        <v>2</v>
      </c>
      <c r="KN59" s="8">
        <f t="shared" si="339"/>
        <v>2</v>
      </c>
      <c r="KO59" s="8">
        <f t="shared" si="339"/>
        <v>2</v>
      </c>
      <c r="KP59" s="8">
        <f t="shared" si="339"/>
        <v>2</v>
      </c>
      <c r="KQ59" s="8">
        <f t="shared" si="339"/>
        <v>0</v>
      </c>
      <c r="KR59" s="8">
        <f t="shared" si="339"/>
        <v>0</v>
      </c>
      <c r="KS59" s="8">
        <f t="shared" si="339"/>
        <v>2</v>
      </c>
      <c r="KT59" s="8">
        <f t="shared" si="339"/>
        <v>2</v>
      </c>
      <c r="KU59" s="8">
        <f t="shared" si="339"/>
        <v>2</v>
      </c>
      <c r="KV59" s="8">
        <f t="shared" si="339"/>
        <v>2</v>
      </c>
      <c r="KW59" s="8">
        <f t="shared" si="339"/>
        <v>2</v>
      </c>
      <c r="KX59" s="8">
        <f t="shared" si="339"/>
        <v>2</v>
      </c>
      <c r="KY59" s="8">
        <f t="shared" si="339"/>
        <v>2</v>
      </c>
      <c r="KZ59" s="8">
        <f t="shared" si="339"/>
        <v>2</v>
      </c>
      <c r="LA59" s="8">
        <f t="shared" si="339"/>
        <v>2</v>
      </c>
      <c r="LB59" s="8">
        <f t="shared" si="339"/>
        <v>2</v>
      </c>
      <c r="LC59" s="8">
        <f t="shared" si="339"/>
        <v>0</v>
      </c>
      <c r="LD59" s="8">
        <f t="shared" si="339"/>
        <v>0</v>
      </c>
      <c r="LE59" s="8">
        <f t="shared" si="339"/>
        <v>0</v>
      </c>
      <c r="LF59" s="8">
        <f t="shared" si="339"/>
        <v>0</v>
      </c>
      <c r="LG59" s="8">
        <f t="shared" si="339"/>
        <v>4</v>
      </c>
      <c r="LH59" s="8">
        <f t="shared" si="339"/>
        <v>4</v>
      </c>
      <c r="LI59" s="8">
        <f t="shared" si="339"/>
        <v>4</v>
      </c>
      <c r="LJ59" s="8">
        <f t="shared" si="339"/>
        <v>4</v>
      </c>
      <c r="LK59" s="8">
        <f t="shared" si="339"/>
        <v>4</v>
      </c>
      <c r="LL59" s="8">
        <f t="shared" si="339"/>
        <v>0</v>
      </c>
      <c r="LM59" s="8">
        <f t="shared" si="339"/>
        <v>0</v>
      </c>
      <c r="LN59" s="8">
        <f t="shared" si="339"/>
        <v>0</v>
      </c>
      <c r="LO59" s="8">
        <f t="shared" si="339"/>
        <v>0</v>
      </c>
      <c r="LP59" s="8">
        <f t="shared" si="339"/>
        <v>2</v>
      </c>
      <c r="LQ59" s="8">
        <f t="shared" si="339"/>
        <v>2</v>
      </c>
      <c r="LR59" s="8">
        <f t="shared" si="339"/>
        <v>2</v>
      </c>
      <c r="LS59" s="8">
        <f t="shared" ref="LS59:NJ59" si="340">SUBTOTAL(3,LS6:LS58)</f>
        <v>2</v>
      </c>
      <c r="LT59" s="8">
        <f t="shared" si="340"/>
        <v>2</v>
      </c>
      <c r="LU59" s="8">
        <f t="shared" si="340"/>
        <v>0</v>
      </c>
      <c r="LV59" s="8">
        <f t="shared" si="340"/>
        <v>0</v>
      </c>
      <c r="LW59" s="8">
        <f t="shared" si="340"/>
        <v>0</v>
      </c>
      <c r="LX59" s="8">
        <f t="shared" si="340"/>
        <v>1</v>
      </c>
      <c r="LY59" s="8">
        <f t="shared" si="340"/>
        <v>1</v>
      </c>
      <c r="LZ59" s="8">
        <f t="shared" si="340"/>
        <v>2</v>
      </c>
      <c r="MA59" s="8">
        <f t="shared" si="340"/>
        <v>2</v>
      </c>
      <c r="MB59" s="8">
        <f t="shared" si="340"/>
        <v>2</v>
      </c>
      <c r="MC59" s="8">
        <f t="shared" si="340"/>
        <v>0</v>
      </c>
      <c r="MD59" s="8">
        <f t="shared" si="340"/>
        <v>0</v>
      </c>
      <c r="ME59" s="8">
        <f t="shared" si="340"/>
        <v>0</v>
      </c>
      <c r="MF59" s="8">
        <f t="shared" si="340"/>
        <v>0</v>
      </c>
      <c r="MG59" s="8">
        <f t="shared" si="340"/>
        <v>1</v>
      </c>
      <c r="MH59" s="8">
        <f t="shared" si="340"/>
        <v>1</v>
      </c>
      <c r="MI59" s="8">
        <f t="shared" si="340"/>
        <v>1</v>
      </c>
      <c r="MJ59" s="8">
        <f t="shared" si="340"/>
        <v>1</v>
      </c>
      <c r="MK59" s="8">
        <f t="shared" si="340"/>
        <v>1</v>
      </c>
      <c r="ML59" s="8">
        <f t="shared" si="340"/>
        <v>1</v>
      </c>
      <c r="MM59" s="8">
        <f t="shared" si="340"/>
        <v>1</v>
      </c>
      <c r="MN59" s="8">
        <f t="shared" si="340"/>
        <v>0</v>
      </c>
      <c r="MO59" s="8">
        <f t="shared" si="340"/>
        <v>0</v>
      </c>
      <c r="MP59" s="8">
        <f t="shared" si="340"/>
        <v>0</v>
      </c>
      <c r="MQ59" s="8">
        <f t="shared" si="340"/>
        <v>0</v>
      </c>
      <c r="MR59" s="8">
        <f t="shared" si="340"/>
        <v>0</v>
      </c>
      <c r="MS59" s="8">
        <f t="shared" si="340"/>
        <v>0</v>
      </c>
      <c r="MT59" s="8">
        <f t="shared" si="340"/>
        <v>0</v>
      </c>
      <c r="MU59" s="8">
        <f t="shared" si="340"/>
        <v>0</v>
      </c>
      <c r="MV59" s="8">
        <f t="shared" si="340"/>
        <v>0</v>
      </c>
      <c r="MW59" s="8">
        <f t="shared" si="340"/>
        <v>4</v>
      </c>
      <c r="MX59" s="8">
        <f t="shared" si="340"/>
        <v>4</v>
      </c>
      <c r="MY59" s="8">
        <f t="shared" si="340"/>
        <v>9</v>
      </c>
      <c r="MZ59" s="8">
        <f t="shared" si="340"/>
        <v>9</v>
      </c>
      <c r="NA59" s="8">
        <f t="shared" si="340"/>
        <v>9</v>
      </c>
      <c r="NB59" s="8">
        <f t="shared" si="340"/>
        <v>4</v>
      </c>
      <c r="NC59" s="8">
        <f t="shared" si="340"/>
        <v>0</v>
      </c>
      <c r="ND59" s="8">
        <f t="shared" si="340"/>
        <v>0</v>
      </c>
      <c r="NE59" s="8">
        <f t="shared" si="340"/>
        <v>3</v>
      </c>
      <c r="NF59" s="8">
        <f t="shared" si="340"/>
        <v>3</v>
      </c>
      <c r="NG59" s="8">
        <f t="shared" si="340"/>
        <v>3</v>
      </c>
      <c r="NH59" s="8">
        <f t="shared" si="340"/>
        <v>3</v>
      </c>
      <c r="NI59" s="8">
        <f t="shared" si="340"/>
        <v>3</v>
      </c>
      <c r="NJ59" s="8">
        <f t="shared" si="340"/>
        <v>3</v>
      </c>
    </row>
    <row r="60" spans="1:374" ht="34.5" x14ac:dyDescent="0.8">
      <c r="J60" s="9">
        <v>45658</v>
      </c>
      <c r="K60" s="9">
        <v>45659</v>
      </c>
      <c r="L60" s="9">
        <v>45660</v>
      </c>
      <c r="M60" s="9">
        <v>45661</v>
      </c>
      <c r="N60" s="9">
        <v>45662</v>
      </c>
      <c r="O60" s="9">
        <v>45663</v>
      </c>
      <c r="P60" s="9">
        <v>45664</v>
      </c>
      <c r="Q60" s="9">
        <v>45665</v>
      </c>
      <c r="R60" s="9">
        <v>45666</v>
      </c>
      <c r="S60" s="9">
        <v>45667</v>
      </c>
      <c r="T60" s="9">
        <v>45668</v>
      </c>
      <c r="U60" s="9">
        <v>45669</v>
      </c>
      <c r="V60" s="9">
        <v>45670</v>
      </c>
      <c r="W60" s="9">
        <v>45671</v>
      </c>
      <c r="X60" s="9">
        <v>45672</v>
      </c>
      <c r="Y60" s="9">
        <v>45673</v>
      </c>
      <c r="Z60" s="9">
        <v>45674</v>
      </c>
      <c r="AA60" s="9">
        <v>45675</v>
      </c>
      <c r="AB60" s="9">
        <v>45676</v>
      </c>
      <c r="AC60" s="9">
        <v>45677</v>
      </c>
      <c r="AD60" s="9">
        <v>45678</v>
      </c>
      <c r="AE60" s="9">
        <v>45679</v>
      </c>
      <c r="AF60" s="9">
        <v>45680</v>
      </c>
      <c r="AG60" s="9">
        <v>45681</v>
      </c>
      <c r="AH60" s="9">
        <v>45682</v>
      </c>
      <c r="AI60" s="9">
        <v>45683</v>
      </c>
      <c r="AJ60" s="9">
        <v>45684</v>
      </c>
      <c r="AK60" s="9">
        <v>45685</v>
      </c>
      <c r="AL60" s="9">
        <v>45686</v>
      </c>
      <c r="AM60" s="9">
        <v>45687</v>
      </c>
      <c r="AN60" s="9">
        <v>45688</v>
      </c>
      <c r="AO60" s="9">
        <v>45689</v>
      </c>
      <c r="AP60" s="9">
        <v>45690</v>
      </c>
      <c r="AQ60" s="9">
        <v>45691</v>
      </c>
      <c r="AR60" s="9">
        <v>45692</v>
      </c>
      <c r="AS60" s="9">
        <v>45693</v>
      </c>
      <c r="AT60" s="9">
        <v>45694</v>
      </c>
      <c r="AU60" s="9">
        <v>45695</v>
      </c>
      <c r="AV60" s="9">
        <v>45696</v>
      </c>
      <c r="AW60" s="9">
        <v>45697</v>
      </c>
      <c r="AX60" s="9">
        <v>45698</v>
      </c>
      <c r="AY60" s="9">
        <v>45699</v>
      </c>
      <c r="AZ60" s="9">
        <v>45700</v>
      </c>
      <c r="BA60" s="9">
        <v>45701</v>
      </c>
      <c r="BB60" s="9">
        <v>45702</v>
      </c>
      <c r="BC60" s="9">
        <v>45703</v>
      </c>
      <c r="BD60" s="9">
        <v>45704</v>
      </c>
      <c r="BE60" s="9">
        <v>45705</v>
      </c>
      <c r="BF60" s="9">
        <v>45706</v>
      </c>
      <c r="BG60" s="9">
        <v>45707</v>
      </c>
      <c r="BH60" s="9">
        <v>45708</v>
      </c>
      <c r="BI60" s="9">
        <v>45709</v>
      </c>
      <c r="BJ60" s="9">
        <v>45710</v>
      </c>
      <c r="BK60" s="9">
        <v>45711</v>
      </c>
      <c r="BL60" s="9">
        <v>45712</v>
      </c>
      <c r="BM60" s="9">
        <v>45713</v>
      </c>
      <c r="BN60" s="9">
        <v>45714</v>
      </c>
      <c r="BO60" s="9">
        <v>45715</v>
      </c>
      <c r="BP60" s="9">
        <v>45716</v>
      </c>
      <c r="BQ60" s="9">
        <v>45717</v>
      </c>
      <c r="BR60" s="9">
        <v>45718</v>
      </c>
      <c r="BS60" s="9">
        <v>45719</v>
      </c>
      <c r="BT60" s="9">
        <v>45720</v>
      </c>
      <c r="BU60" s="9">
        <v>45721</v>
      </c>
      <c r="BV60" s="9">
        <v>45722</v>
      </c>
      <c r="BW60" s="9">
        <v>45723</v>
      </c>
      <c r="BX60" s="9">
        <v>45724</v>
      </c>
      <c r="BY60" s="9">
        <v>45725</v>
      </c>
      <c r="BZ60" s="9">
        <v>45726</v>
      </c>
      <c r="CA60" s="9">
        <v>45727</v>
      </c>
      <c r="CB60" s="9">
        <v>45728</v>
      </c>
      <c r="CC60" s="9">
        <v>45729</v>
      </c>
      <c r="CD60" s="9">
        <v>45730</v>
      </c>
      <c r="CE60" s="9">
        <v>45731</v>
      </c>
      <c r="CF60" s="9">
        <v>45732</v>
      </c>
      <c r="CG60" s="9">
        <v>45733</v>
      </c>
      <c r="CH60" s="9">
        <v>45734</v>
      </c>
      <c r="CI60" s="9">
        <v>45735</v>
      </c>
      <c r="CJ60" s="9">
        <v>45736</v>
      </c>
      <c r="CK60" s="9">
        <v>45737</v>
      </c>
      <c r="CL60" s="9">
        <v>45738</v>
      </c>
      <c r="CM60" s="9">
        <v>45739</v>
      </c>
      <c r="CN60" s="9">
        <v>45740</v>
      </c>
      <c r="CO60" s="9">
        <v>45741</v>
      </c>
      <c r="CP60" s="9">
        <v>45742</v>
      </c>
      <c r="CQ60" s="9">
        <v>45743</v>
      </c>
      <c r="CR60" s="9">
        <v>45744</v>
      </c>
      <c r="CS60" s="9">
        <v>45745</v>
      </c>
      <c r="CT60" s="9">
        <v>45746</v>
      </c>
      <c r="CU60" s="9">
        <v>45747</v>
      </c>
      <c r="CV60" s="9">
        <v>45748</v>
      </c>
      <c r="CW60" s="9">
        <v>45749</v>
      </c>
      <c r="CX60" s="9">
        <v>45750</v>
      </c>
      <c r="CY60" s="9">
        <v>45751</v>
      </c>
      <c r="CZ60" s="9">
        <v>45752</v>
      </c>
      <c r="DA60" s="9">
        <v>45753</v>
      </c>
      <c r="DB60" s="9">
        <v>45754</v>
      </c>
      <c r="DC60" s="9">
        <v>45755</v>
      </c>
      <c r="DD60" s="9">
        <v>45756</v>
      </c>
      <c r="DE60" s="9">
        <v>45757</v>
      </c>
      <c r="DF60" s="9">
        <v>45758</v>
      </c>
      <c r="DG60" s="9">
        <v>45759</v>
      </c>
      <c r="DH60" s="9">
        <v>45760</v>
      </c>
      <c r="DI60" s="9">
        <v>45761</v>
      </c>
      <c r="DJ60" s="9">
        <v>45762</v>
      </c>
      <c r="DK60" s="9">
        <v>45763</v>
      </c>
      <c r="DL60" s="9">
        <v>45764</v>
      </c>
      <c r="DM60" s="9">
        <v>45765</v>
      </c>
      <c r="DN60" s="9">
        <v>45766</v>
      </c>
      <c r="DO60" s="9">
        <v>45767</v>
      </c>
      <c r="DP60" s="9">
        <v>45768</v>
      </c>
      <c r="DQ60" s="9">
        <v>45769</v>
      </c>
      <c r="DR60" s="9">
        <v>45770</v>
      </c>
      <c r="DS60" s="9">
        <v>45771</v>
      </c>
      <c r="DT60" s="9">
        <v>45772</v>
      </c>
      <c r="DU60" s="9">
        <v>45773</v>
      </c>
      <c r="DV60" s="9">
        <v>45774</v>
      </c>
      <c r="DW60" s="9">
        <v>45775</v>
      </c>
      <c r="DX60" s="9">
        <v>45776</v>
      </c>
      <c r="DY60" s="9">
        <v>45777</v>
      </c>
      <c r="DZ60" s="9">
        <v>45778</v>
      </c>
      <c r="EA60" s="9">
        <v>45779</v>
      </c>
      <c r="EB60" s="9">
        <v>45780</v>
      </c>
      <c r="EC60" s="9">
        <v>45781</v>
      </c>
      <c r="ED60" s="9">
        <v>45782</v>
      </c>
      <c r="EE60" s="9">
        <v>45783</v>
      </c>
      <c r="EF60" s="9">
        <v>45784</v>
      </c>
      <c r="EG60" s="9">
        <v>45785</v>
      </c>
      <c r="EH60" s="9">
        <v>45786</v>
      </c>
      <c r="EI60" s="9">
        <v>45787</v>
      </c>
      <c r="EJ60" s="9">
        <v>45788</v>
      </c>
      <c r="EK60" s="9">
        <v>45789</v>
      </c>
      <c r="EL60" s="9">
        <v>45790</v>
      </c>
      <c r="EM60" s="9">
        <v>45791</v>
      </c>
      <c r="EN60" s="9">
        <v>45792</v>
      </c>
      <c r="EO60" s="9">
        <v>45793</v>
      </c>
      <c r="EP60" s="9">
        <v>45794</v>
      </c>
      <c r="EQ60" s="9">
        <v>45795</v>
      </c>
      <c r="ER60" s="9">
        <v>45796</v>
      </c>
      <c r="ES60" s="9">
        <v>45797</v>
      </c>
      <c r="ET60" s="9">
        <v>45798</v>
      </c>
      <c r="EU60" s="9">
        <v>45799</v>
      </c>
      <c r="EV60" s="9">
        <v>45800</v>
      </c>
      <c r="EW60" s="9">
        <v>45801</v>
      </c>
      <c r="EX60" s="9">
        <v>45802</v>
      </c>
      <c r="EY60" s="9">
        <v>45803</v>
      </c>
      <c r="EZ60" s="9">
        <v>45804</v>
      </c>
      <c r="FA60" s="9">
        <v>45805</v>
      </c>
      <c r="FB60" s="9">
        <v>45806</v>
      </c>
      <c r="FC60" s="9">
        <v>45807</v>
      </c>
      <c r="FD60" s="9">
        <v>45808</v>
      </c>
      <c r="FE60" s="9">
        <v>45809</v>
      </c>
      <c r="FF60" s="9">
        <v>45810</v>
      </c>
      <c r="FG60" s="9">
        <v>45811</v>
      </c>
      <c r="FH60" s="9">
        <v>45812</v>
      </c>
      <c r="FI60" s="9">
        <v>45813</v>
      </c>
      <c r="FJ60" s="9">
        <v>45814</v>
      </c>
      <c r="FK60" s="9">
        <v>45815</v>
      </c>
      <c r="FL60" s="9">
        <v>45816</v>
      </c>
      <c r="FM60" s="9">
        <v>45817</v>
      </c>
      <c r="FN60" s="9">
        <v>45818</v>
      </c>
      <c r="FO60" s="9">
        <v>45819</v>
      </c>
      <c r="FP60" s="9">
        <v>45820</v>
      </c>
      <c r="FQ60" s="9">
        <v>45821</v>
      </c>
      <c r="FR60" s="9">
        <v>45822</v>
      </c>
      <c r="FS60" s="9">
        <v>45823</v>
      </c>
      <c r="FT60" s="9">
        <v>45824</v>
      </c>
      <c r="FU60" s="9">
        <v>45825</v>
      </c>
      <c r="FV60" s="9">
        <v>45826</v>
      </c>
      <c r="FW60" s="9">
        <v>45827</v>
      </c>
      <c r="FX60" s="9">
        <v>45828</v>
      </c>
      <c r="FY60" s="9">
        <v>45829</v>
      </c>
      <c r="FZ60" s="9">
        <v>45830</v>
      </c>
      <c r="GA60" s="9">
        <v>45831</v>
      </c>
      <c r="GB60" s="9">
        <v>45832</v>
      </c>
      <c r="GC60" s="9">
        <v>45833</v>
      </c>
      <c r="GD60" s="9">
        <v>45834</v>
      </c>
      <c r="GE60" s="9">
        <v>45835</v>
      </c>
      <c r="GF60" s="9">
        <v>45836</v>
      </c>
      <c r="GG60" s="9">
        <v>45837</v>
      </c>
      <c r="GH60" s="9">
        <v>45838</v>
      </c>
      <c r="GI60" s="9">
        <v>45839</v>
      </c>
      <c r="GJ60" s="9">
        <v>45840</v>
      </c>
      <c r="GK60" s="9">
        <v>45841</v>
      </c>
      <c r="GL60" s="9">
        <v>45842</v>
      </c>
      <c r="GM60" s="9">
        <v>45843</v>
      </c>
      <c r="GN60" s="9">
        <v>45844</v>
      </c>
      <c r="GO60" s="9">
        <v>45845</v>
      </c>
      <c r="GP60" s="9">
        <v>45846</v>
      </c>
      <c r="GQ60" s="9">
        <v>45847</v>
      </c>
      <c r="GR60" s="9">
        <v>45848</v>
      </c>
      <c r="GS60" s="9">
        <v>45849</v>
      </c>
      <c r="GT60" s="9">
        <v>45850</v>
      </c>
      <c r="GU60" s="9">
        <v>45851</v>
      </c>
      <c r="GV60" s="9">
        <v>45852</v>
      </c>
      <c r="GW60" s="9">
        <v>45853</v>
      </c>
      <c r="GX60" s="9">
        <v>45854</v>
      </c>
      <c r="GY60" s="9">
        <v>45855</v>
      </c>
      <c r="GZ60" s="9">
        <v>45856</v>
      </c>
      <c r="HA60" s="9">
        <v>45857</v>
      </c>
      <c r="HB60" s="9">
        <v>45858</v>
      </c>
      <c r="HC60" s="9">
        <v>45859</v>
      </c>
      <c r="HD60" s="9">
        <v>45860</v>
      </c>
      <c r="HE60" s="9">
        <v>45861</v>
      </c>
      <c r="HF60" s="9">
        <v>45862</v>
      </c>
      <c r="HG60" s="9">
        <v>45863</v>
      </c>
      <c r="HH60" s="9">
        <v>45864</v>
      </c>
      <c r="HI60" s="9">
        <v>45865</v>
      </c>
      <c r="HJ60" s="9">
        <v>45866</v>
      </c>
      <c r="HK60" s="9">
        <v>45867</v>
      </c>
      <c r="HL60" s="9">
        <v>45868</v>
      </c>
      <c r="HM60" s="9">
        <v>45869</v>
      </c>
      <c r="HN60" s="9">
        <v>45870</v>
      </c>
      <c r="HO60" s="9">
        <v>45871</v>
      </c>
      <c r="HP60" s="9">
        <v>45872</v>
      </c>
      <c r="HQ60" s="9">
        <v>45873</v>
      </c>
      <c r="HR60" s="9">
        <v>45874</v>
      </c>
      <c r="HS60" s="9">
        <v>45875</v>
      </c>
      <c r="HT60" s="9">
        <v>45876</v>
      </c>
      <c r="HU60" s="9">
        <v>45877</v>
      </c>
      <c r="HV60" s="9">
        <v>45878</v>
      </c>
      <c r="HW60" s="9">
        <v>45879</v>
      </c>
      <c r="HX60" s="9">
        <v>45880</v>
      </c>
      <c r="HY60" s="9">
        <v>45881</v>
      </c>
      <c r="HZ60" s="9">
        <v>45882</v>
      </c>
      <c r="IA60" s="9">
        <v>45883</v>
      </c>
      <c r="IB60" s="9">
        <v>45884</v>
      </c>
      <c r="IC60" s="9">
        <v>45885</v>
      </c>
      <c r="ID60" s="9">
        <v>45886</v>
      </c>
      <c r="IE60" s="9">
        <v>45887</v>
      </c>
      <c r="IF60" s="9">
        <v>45888</v>
      </c>
      <c r="IG60" s="9">
        <v>45889</v>
      </c>
      <c r="IH60" s="9">
        <v>45890</v>
      </c>
      <c r="II60" s="9">
        <v>45891</v>
      </c>
      <c r="IJ60" s="9">
        <v>45892</v>
      </c>
      <c r="IK60" s="9">
        <v>45893</v>
      </c>
      <c r="IL60" s="9">
        <v>45894</v>
      </c>
      <c r="IM60" s="9">
        <v>45895</v>
      </c>
      <c r="IN60" s="9">
        <v>45896</v>
      </c>
      <c r="IO60" s="9">
        <v>45897</v>
      </c>
      <c r="IP60" s="9">
        <v>45898</v>
      </c>
      <c r="IQ60" s="9">
        <v>45899</v>
      </c>
      <c r="IR60" s="9">
        <v>45900</v>
      </c>
      <c r="IS60" s="9">
        <v>45901</v>
      </c>
      <c r="IT60" s="9">
        <v>45902</v>
      </c>
      <c r="IU60" s="9">
        <v>45903</v>
      </c>
      <c r="IV60" s="9">
        <v>45904</v>
      </c>
      <c r="IW60" s="9">
        <v>45905</v>
      </c>
      <c r="IX60" s="9">
        <v>45906</v>
      </c>
      <c r="IY60" s="9">
        <v>45907</v>
      </c>
      <c r="IZ60" s="9">
        <v>45908</v>
      </c>
      <c r="JA60" s="9">
        <v>45909</v>
      </c>
      <c r="JB60" s="9">
        <v>45910</v>
      </c>
      <c r="JC60" s="9">
        <v>45911</v>
      </c>
      <c r="JD60" s="9">
        <v>45912</v>
      </c>
      <c r="JE60" s="9">
        <v>45913</v>
      </c>
      <c r="JF60" s="9">
        <v>45914</v>
      </c>
      <c r="JG60" s="9">
        <v>45915</v>
      </c>
      <c r="JH60" s="9">
        <v>45916</v>
      </c>
      <c r="JI60" s="9">
        <v>45917</v>
      </c>
      <c r="JJ60" s="9">
        <v>45918</v>
      </c>
      <c r="JK60" s="9">
        <v>45919</v>
      </c>
      <c r="JL60" s="9">
        <v>45920</v>
      </c>
      <c r="JM60" s="9">
        <v>45921</v>
      </c>
      <c r="JN60" s="9">
        <v>45922</v>
      </c>
      <c r="JO60" s="9">
        <v>45923</v>
      </c>
      <c r="JP60" s="9">
        <v>45924</v>
      </c>
      <c r="JQ60" s="9">
        <v>45925</v>
      </c>
      <c r="JR60" s="9">
        <v>45926</v>
      </c>
      <c r="JS60" s="9">
        <v>45927</v>
      </c>
      <c r="JT60" s="9">
        <v>45928</v>
      </c>
      <c r="JU60" s="9">
        <v>45929</v>
      </c>
      <c r="JV60" s="9">
        <v>45930</v>
      </c>
      <c r="JW60" s="9">
        <v>45931</v>
      </c>
      <c r="JX60" s="9">
        <v>45932</v>
      </c>
      <c r="JY60" s="9">
        <v>45933</v>
      </c>
      <c r="JZ60" s="9">
        <v>45934</v>
      </c>
      <c r="KA60" s="9">
        <v>45935</v>
      </c>
      <c r="KB60" s="9">
        <v>45936</v>
      </c>
      <c r="KC60" s="9">
        <v>45937</v>
      </c>
      <c r="KD60" s="9">
        <v>45938</v>
      </c>
      <c r="KE60" s="9">
        <v>45939</v>
      </c>
      <c r="KF60" s="9">
        <v>45940</v>
      </c>
      <c r="KG60" s="9">
        <v>45941</v>
      </c>
      <c r="KH60" s="9">
        <v>45942</v>
      </c>
      <c r="KI60" s="9">
        <v>45943</v>
      </c>
      <c r="KJ60" s="9">
        <v>45944</v>
      </c>
      <c r="KK60" s="9">
        <v>45945</v>
      </c>
      <c r="KL60" s="9">
        <v>45946</v>
      </c>
      <c r="KM60" s="9">
        <v>45947</v>
      </c>
      <c r="KN60" s="9">
        <v>45948</v>
      </c>
      <c r="KO60" s="9">
        <v>45949</v>
      </c>
      <c r="KP60" s="9">
        <v>45950</v>
      </c>
      <c r="KQ60" s="9">
        <v>45951</v>
      </c>
      <c r="KR60" s="9">
        <v>45952</v>
      </c>
      <c r="KS60" s="9">
        <v>45953</v>
      </c>
      <c r="KT60" s="9">
        <v>45954</v>
      </c>
      <c r="KU60" s="9">
        <v>45955</v>
      </c>
      <c r="KV60" s="9">
        <v>45956</v>
      </c>
      <c r="KW60" s="9">
        <v>45957</v>
      </c>
      <c r="KX60" s="9">
        <v>45958</v>
      </c>
      <c r="KY60" s="9">
        <v>45959</v>
      </c>
      <c r="KZ60" s="9">
        <v>45960</v>
      </c>
      <c r="LA60" s="9">
        <v>45961</v>
      </c>
      <c r="LB60" s="9">
        <v>45962</v>
      </c>
      <c r="LC60" s="9">
        <v>45963</v>
      </c>
      <c r="LD60" s="9">
        <v>45964</v>
      </c>
      <c r="LE60" s="9">
        <v>45965</v>
      </c>
      <c r="LF60" s="9">
        <v>45966</v>
      </c>
      <c r="LG60" s="9">
        <v>45967</v>
      </c>
      <c r="LH60" s="9">
        <v>45968</v>
      </c>
      <c r="LI60" s="9">
        <v>45969</v>
      </c>
      <c r="LJ60" s="9">
        <v>45970</v>
      </c>
      <c r="LK60" s="9">
        <v>45971</v>
      </c>
      <c r="LL60" s="9">
        <v>45972</v>
      </c>
      <c r="LM60" s="9">
        <v>45973</v>
      </c>
      <c r="LN60" s="9">
        <v>45974</v>
      </c>
      <c r="LO60" s="9">
        <v>45975</v>
      </c>
      <c r="LP60" s="9">
        <v>45976</v>
      </c>
      <c r="LQ60" s="9">
        <v>45977</v>
      </c>
      <c r="LR60" s="9">
        <v>45978</v>
      </c>
      <c r="LS60" s="9">
        <v>45979</v>
      </c>
      <c r="LT60" s="9">
        <v>45980</v>
      </c>
      <c r="LU60" s="9">
        <v>45981</v>
      </c>
      <c r="LV60" s="9">
        <v>45982</v>
      </c>
      <c r="LW60" s="9">
        <v>45983</v>
      </c>
      <c r="LX60" s="9">
        <v>45984</v>
      </c>
      <c r="LY60" s="9">
        <v>45985</v>
      </c>
      <c r="LZ60" s="9">
        <v>45986</v>
      </c>
      <c r="MA60" s="9">
        <v>45987</v>
      </c>
      <c r="MB60" s="9">
        <v>45988</v>
      </c>
      <c r="MC60" s="9">
        <v>45989</v>
      </c>
      <c r="MD60" s="9">
        <v>45990</v>
      </c>
      <c r="ME60" s="9">
        <v>45991</v>
      </c>
      <c r="MF60" s="9">
        <v>45992</v>
      </c>
      <c r="MG60" s="9">
        <v>45993</v>
      </c>
      <c r="MH60" s="9">
        <v>45994</v>
      </c>
      <c r="MI60" s="9">
        <v>45995</v>
      </c>
      <c r="MJ60" s="9">
        <v>45996</v>
      </c>
      <c r="MK60" s="9">
        <v>45997</v>
      </c>
      <c r="ML60" s="9">
        <v>45998</v>
      </c>
      <c r="MM60" s="9">
        <v>45999</v>
      </c>
      <c r="MN60" s="9">
        <v>46000</v>
      </c>
      <c r="MO60" s="9">
        <v>46001</v>
      </c>
      <c r="MP60" s="9">
        <v>46002</v>
      </c>
      <c r="MQ60" s="9">
        <v>46003</v>
      </c>
      <c r="MR60" s="9">
        <v>46004</v>
      </c>
      <c r="MS60" s="9">
        <v>46005</v>
      </c>
      <c r="MT60" s="9">
        <v>46006</v>
      </c>
      <c r="MU60" s="9">
        <v>46007</v>
      </c>
      <c r="MV60" s="9">
        <v>46008</v>
      </c>
      <c r="MW60" s="9">
        <v>46009</v>
      </c>
      <c r="MX60" s="9">
        <v>46010</v>
      </c>
      <c r="MY60" s="9">
        <v>46011</v>
      </c>
      <c r="MZ60" s="9">
        <v>46012</v>
      </c>
      <c r="NA60" s="9">
        <v>46013</v>
      </c>
      <c r="NB60" s="9">
        <v>46014</v>
      </c>
      <c r="NC60" s="9">
        <v>46015</v>
      </c>
      <c r="ND60" s="9">
        <v>46016</v>
      </c>
      <c r="NE60" s="9">
        <v>46017</v>
      </c>
      <c r="NF60" s="9">
        <v>46018</v>
      </c>
      <c r="NG60" s="9">
        <v>46019</v>
      </c>
      <c r="NH60" s="9">
        <v>46020</v>
      </c>
      <c r="NI60" s="9">
        <v>46021</v>
      </c>
      <c r="NJ60" s="9">
        <v>46022</v>
      </c>
    </row>
  </sheetData>
  <mergeCells count="2">
    <mergeCell ref="B2:G4"/>
    <mergeCell ref="I2:I4"/>
  </mergeCells>
  <conditionalFormatting sqref="G1:G1048576">
    <cfRule type="cellIs" dxfId="397" priority="1" operator="equal">
      <formula>"Tehničar"</formula>
    </cfRule>
    <cfRule type="cellIs" dxfId="396" priority="2" operator="equal">
      <formula>"Farmaceut"</formula>
    </cfRule>
  </conditionalFormatting>
  <conditionalFormatting sqref="H1:H1048576">
    <cfRule type="colorScale" priority="26">
      <colorScale>
        <cfvo type="min"/>
        <cfvo type="percentile" val="50"/>
        <cfvo type="num" val="20"/>
        <color theme="0" tint="-4.9989318521683403E-2"/>
        <color theme="8" tint="0.39997558519241921"/>
        <color theme="3" tint="0.499984740745262"/>
      </colorScale>
    </cfRule>
  </conditionalFormatting>
  <conditionalFormatting sqref="I6:I58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GU12 GW12:NJ12 J23:GU23 GW23:NJ23 J51:GU51 GW51:NJ51 J52:NJ53 J54:GU54 GW54:NJ54 J55:NJ1048576 J13:NJ22 J2:NJ11 J24:NJ50">
    <cfRule type="expression" dxfId="395" priority="35" stopIfTrue="1">
      <formula>INDEX($1:$1,COLUMN())=1</formula>
    </cfRule>
  </conditionalFormatting>
  <conditionalFormatting sqref="J3:NJ3">
    <cfRule type="cellIs" dxfId="394" priority="13" operator="equal">
      <formula>"dec"</formula>
    </cfRule>
    <cfRule type="cellIs" dxfId="393" priority="14" operator="equal">
      <formula>"nov"</formula>
    </cfRule>
    <cfRule type="cellIs" dxfId="392" priority="15" operator="equal">
      <formula>"okt"</formula>
    </cfRule>
    <cfRule type="cellIs" dxfId="391" priority="16" operator="equal">
      <formula>"sep"</formula>
    </cfRule>
    <cfRule type="cellIs" dxfId="390" priority="17" operator="equal">
      <formula>"avg"</formula>
    </cfRule>
    <cfRule type="cellIs" dxfId="389" priority="18" operator="equal">
      <formula>"jul"</formula>
    </cfRule>
    <cfRule type="cellIs" dxfId="388" priority="19" operator="equal">
      <formula>"jun"</formula>
    </cfRule>
    <cfRule type="cellIs" dxfId="387" priority="20" operator="equal">
      <formula>"maj"</formula>
    </cfRule>
    <cfRule type="cellIs" dxfId="386" priority="21" operator="equal">
      <formula>"apr"</formula>
    </cfRule>
    <cfRule type="cellIs" dxfId="385" priority="22" operator="equal">
      <formula>"mar"</formula>
    </cfRule>
    <cfRule type="cellIs" dxfId="384" priority="23" operator="equal">
      <formula>"feb"</formula>
    </cfRule>
    <cfRule type="containsText" dxfId="383" priority="24" operator="containsText" text="jan">
      <formula>NOT(ISERROR(SEARCH("jan",J3)))</formula>
    </cfRule>
  </conditionalFormatting>
  <conditionalFormatting sqref="J12:GU12 GW12:NJ12 J23:GU23 GW23:NJ23 J51:GU51 GW51:NJ51 J52:NJ53 J54:GU54 GW54:NJ54 J55:NJ58 J13:NJ22 J6:NJ11 J24:NJ50">
    <cfRule type="cellIs" dxfId="382" priority="27" operator="equal">
      <formula>"P"</formula>
    </cfRule>
    <cfRule type="cellIs" dxfId="381" priority="28" operator="equal">
      <formula>"S"</formula>
    </cfRule>
    <cfRule type="cellIs" dxfId="380" priority="29" operator="equal">
      <formula>"B"</formula>
    </cfRule>
    <cfRule type="cellIs" dxfId="379" priority="30" operator="equal">
      <formula>"O"</formula>
    </cfRule>
  </conditionalFormatting>
  <conditionalFormatting sqref="J59:NJ59">
    <cfRule type="cellIs" dxfId="378" priority="3" operator="greaterThanOrEqual">
      <formula>2</formula>
    </cfRule>
  </conditionalFormatting>
  <pageMargins left="0.75" right="0.75" top="1" bottom="1" header="0.5" footer="0.5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14F5D5-C073-45FD-8637-4DF43B2221AD}">
          <x14:formula1>
            <xm:f>'LISTA MESECI'!$A$2:$A$13</xm:f>
          </x14:formula1>
          <xm:sqref>I2:I4</xm:sqref>
        </x14:dataValidation>
        <x14:dataValidation type="list" allowBlank="1" showInputMessage="1" showErrorMessage="1" xr:uid="{2D606764-43CA-457E-B47C-D0CCEEEEB4C0}">
          <x14:formula1>
            <xm:f>'TIP ODSUSTVA'!$B$2:$B$6</xm:f>
          </x14:formula1>
          <xm:sqref>GW12:NJ12 J13:NJ22 J12:GU12 J23:GU23 J55:NJ58 GW23:NJ23 GW51:NJ51 J6:NJ11 J51:GU51 J52:NJ53 GW54:NJ54 J54:GU54 J24:NJ50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D52C-DF75-4734-BFAC-EA1D32F26C29}">
  <dimension ref="A1:A13"/>
  <sheetViews>
    <sheetView workbookViewId="0">
      <selection activeCell="A14" sqref="A14"/>
    </sheetView>
  </sheetViews>
  <sheetFormatPr defaultRowHeight="14.5" x14ac:dyDescent="0.35"/>
  <sheetData>
    <row r="1" spans="1:1" x14ac:dyDescent="0.35">
      <c r="A1" t="s">
        <v>403</v>
      </c>
    </row>
    <row r="2" spans="1:1" x14ac:dyDescent="0.35">
      <c r="A2" t="s">
        <v>404</v>
      </c>
    </row>
    <row r="3" spans="1:1" x14ac:dyDescent="0.35">
      <c r="A3" t="s">
        <v>405</v>
      </c>
    </row>
    <row r="4" spans="1:1" x14ac:dyDescent="0.35">
      <c r="A4" t="s">
        <v>406</v>
      </c>
    </row>
    <row r="5" spans="1:1" x14ac:dyDescent="0.35">
      <c r="A5" t="s">
        <v>407</v>
      </c>
    </row>
    <row r="6" spans="1:1" x14ac:dyDescent="0.35">
      <c r="A6" t="s">
        <v>408</v>
      </c>
    </row>
    <row r="7" spans="1:1" x14ac:dyDescent="0.35">
      <c r="A7" t="s">
        <v>409</v>
      </c>
    </row>
    <row r="8" spans="1:1" x14ac:dyDescent="0.35">
      <c r="A8" t="s">
        <v>410</v>
      </c>
    </row>
    <row r="9" spans="1:1" x14ac:dyDescent="0.35">
      <c r="A9" t="s">
        <v>411</v>
      </c>
    </row>
    <row r="10" spans="1:1" x14ac:dyDescent="0.35">
      <c r="A10" t="s">
        <v>412</v>
      </c>
    </row>
    <row r="11" spans="1:1" x14ac:dyDescent="0.35">
      <c r="A11" t="s">
        <v>413</v>
      </c>
    </row>
    <row r="12" spans="1:1" x14ac:dyDescent="0.35">
      <c r="A12" t="s">
        <v>414</v>
      </c>
    </row>
    <row r="13" spans="1:1" x14ac:dyDescent="0.35">
      <c r="A13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EC8C-4D4F-4E00-816E-A4801ACC6CCF}">
  <dimension ref="A2:B6"/>
  <sheetViews>
    <sheetView workbookViewId="0">
      <selection activeCell="A6" sqref="A6"/>
    </sheetView>
  </sheetViews>
  <sheetFormatPr defaultRowHeight="14.5" x14ac:dyDescent="0.35"/>
  <cols>
    <col min="1" max="1" width="14.36328125" bestFit="1" customWidth="1"/>
  </cols>
  <sheetData>
    <row r="2" spans="1:2" x14ac:dyDescent="0.35">
      <c r="A2" s="2" t="s">
        <v>21</v>
      </c>
      <c r="B2" s="3" t="s">
        <v>26</v>
      </c>
    </row>
    <row r="3" spans="1:2" x14ac:dyDescent="0.35">
      <c r="A3" s="2" t="s">
        <v>22</v>
      </c>
      <c r="B3" s="3" t="s">
        <v>27</v>
      </c>
    </row>
    <row r="4" spans="1:2" x14ac:dyDescent="0.35">
      <c r="A4" s="2" t="s">
        <v>23</v>
      </c>
      <c r="B4" s="3" t="s">
        <v>28</v>
      </c>
    </row>
    <row r="5" spans="1:2" x14ac:dyDescent="0.35">
      <c r="A5" s="2" t="s">
        <v>24</v>
      </c>
      <c r="B5" s="3" t="s">
        <v>29</v>
      </c>
    </row>
    <row r="6" spans="1:2" x14ac:dyDescent="0.35">
      <c r="A6" s="4" t="s">
        <v>25</v>
      </c>
      <c r="B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528EA4-28C7-49A7-BFB4-751F466ABB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KALENDAR GODISNJIH ODMORA</vt:lpstr>
      <vt:lpstr>LISTA MESECI</vt:lpstr>
      <vt:lpstr>TIP ODSUSTVA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2025-07-22T11:23:29Z</dcterms:created>
  <dcterms:modified xsi:type="dcterms:W3CDTF">2025-07-30T08:56:52Z</dcterms:modified>
</cp:coreProperties>
</file>