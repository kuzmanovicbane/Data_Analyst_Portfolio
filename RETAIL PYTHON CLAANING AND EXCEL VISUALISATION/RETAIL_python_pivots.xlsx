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PYTHON\RETAIL PYTHON CLAANING AND EXCEL VISUALISATION\RETAIL PYTHON CLAANING AND EXCEL VISUALISATION\"/>
    </mc:Choice>
  </mc:AlternateContent>
  <xr:revisionPtr revIDLastSave="0" documentId="13_ncr:1_{E56042F1-2F06-4D86-805F-81F760B937E5}" xr6:coauthVersionLast="47" xr6:coauthVersionMax="47" xr10:uidLastSave="{00000000-0000-0000-0000-000000000000}"/>
  <bookViews>
    <workbookView xWindow="-110" yWindow="-110" windowWidth="19420" windowHeight="10300" firstSheet="2" activeTab="4" xr2:uid="{00000000-000D-0000-FFFF-FFFF00000000}"/>
  </bookViews>
  <sheets>
    <sheet name="BAR CHART CATEGORY" sheetId="5" r:id="rId1"/>
    <sheet name="BAR CHART PYMENT TYPE" sheetId="6" r:id="rId2"/>
    <sheet name="BAR CHART LOCATION" sheetId="7" r:id="rId3"/>
    <sheet name="Pivot_Category" sheetId="1" r:id="rId4"/>
    <sheet name="Pivot_Payment_Method" sheetId="2" r:id="rId5"/>
    <sheet name=" Pivot_Location" sheetId="3" r:id="rId6"/>
  </sheets>
  <definedNames>
    <definedName name="Slicer_Category">#N/A</definedName>
    <definedName name="Slicer_Year">#N/A</definedName>
    <definedName name="Slicer_Year1">#N/A</definedName>
    <definedName name="Slicer_Year2">#N/A</definedName>
  </definedNames>
  <calcPr calcId="18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A55" i="5" l="1"/>
  <c r="B55" i="5"/>
  <c r="C55" i="5"/>
  <c r="D55" i="5"/>
  <c r="E55" i="5"/>
  <c r="F55" i="5"/>
  <c r="G55" i="5"/>
  <c r="H55" i="5"/>
  <c r="I55" i="5"/>
  <c r="J55" i="5"/>
  <c r="K55" i="5"/>
  <c r="L55" i="5"/>
  <c r="M55" i="5"/>
  <c r="A56" i="5"/>
  <c r="B56" i="5"/>
  <c r="C56" i="5"/>
  <c r="D56" i="5"/>
  <c r="E56" i="5"/>
  <c r="F56" i="5"/>
  <c r="G56" i="5"/>
  <c r="H56" i="5"/>
  <c r="I56" i="5"/>
  <c r="J56" i="5"/>
  <c r="K56" i="5"/>
  <c r="L56" i="5"/>
  <c r="M56" i="5"/>
  <c r="A57" i="5"/>
  <c r="B57" i="5"/>
  <c r="C57" i="5"/>
  <c r="D57" i="5"/>
  <c r="E57" i="5"/>
  <c r="F57" i="5"/>
  <c r="G57" i="5"/>
  <c r="H57" i="5"/>
  <c r="I57" i="5"/>
  <c r="J57" i="5"/>
  <c r="K57" i="5"/>
  <c r="L57" i="5"/>
  <c r="M57" i="5"/>
  <c r="A58" i="5"/>
  <c r="B58" i="5"/>
  <c r="C58" i="5"/>
  <c r="D58" i="5"/>
  <c r="E58" i="5"/>
  <c r="F58" i="5"/>
  <c r="G58" i="5"/>
  <c r="H58" i="5"/>
  <c r="I58" i="5"/>
  <c r="J58" i="5"/>
  <c r="K58" i="5"/>
  <c r="L58" i="5"/>
  <c r="M58" i="5"/>
  <c r="A59" i="5"/>
  <c r="B59" i="5"/>
  <c r="C59" i="5"/>
  <c r="D59" i="5"/>
  <c r="E59" i="5"/>
  <c r="F59" i="5"/>
  <c r="G59" i="5"/>
  <c r="H59" i="5"/>
  <c r="I59" i="5"/>
  <c r="J59" i="5"/>
  <c r="K59" i="5"/>
  <c r="L59" i="5"/>
  <c r="M59" i="5"/>
  <c r="A60" i="5"/>
  <c r="B60" i="5"/>
  <c r="C60" i="5"/>
  <c r="D60" i="5"/>
  <c r="E60" i="5"/>
  <c r="F60" i="5"/>
  <c r="G60" i="5"/>
  <c r="H60" i="5"/>
  <c r="I60" i="5"/>
  <c r="J60" i="5"/>
  <c r="K60" i="5"/>
  <c r="L60" i="5"/>
  <c r="M60" i="5"/>
  <c r="A61" i="5"/>
  <c r="B61" i="5"/>
  <c r="C61" i="5"/>
  <c r="D61" i="5"/>
  <c r="E61" i="5"/>
  <c r="F61" i="5"/>
  <c r="G61" i="5"/>
  <c r="H61" i="5"/>
  <c r="I61" i="5"/>
  <c r="J61" i="5"/>
  <c r="K61" i="5"/>
  <c r="L61" i="5"/>
  <c r="M61" i="5"/>
  <c r="A62" i="5"/>
  <c r="B62" i="5"/>
  <c r="C62" i="5"/>
  <c r="D62" i="5"/>
  <c r="E62" i="5"/>
  <c r="F62" i="5"/>
  <c r="G62" i="5"/>
  <c r="H62" i="5"/>
  <c r="I62" i="5"/>
  <c r="J62" i="5"/>
  <c r="K62" i="5"/>
  <c r="L62" i="5"/>
  <c r="M62" i="5"/>
  <c r="A63" i="5"/>
  <c r="B63" i="5"/>
  <c r="C63" i="5"/>
  <c r="D63" i="5"/>
  <c r="E63" i="5"/>
  <c r="F63" i="5"/>
  <c r="G63" i="5"/>
  <c r="H63" i="5"/>
  <c r="I63" i="5"/>
  <c r="J63" i="5"/>
  <c r="K63" i="5"/>
  <c r="L63" i="5"/>
  <c r="M63" i="5"/>
</calcChain>
</file>

<file path=xl/sharedStrings.xml><?xml version="1.0" encoding="utf-8"?>
<sst xmlns="http://schemas.openxmlformats.org/spreadsheetml/2006/main" count="534" uniqueCount="26">
  <si>
    <t>Category</t>
  </si>
  <si>
    <t>Year</t>
  </si>
  <si>
    <t>Month</t>
  </si>
  <si>
    <t>Customer ID</t>
  </si>
  <si>
    <t>Price Per Unit</t>
  </si>
  <si>
    <t>Quantity</t>
  </si>
  <si>
    <t>Total Spent</t>
  </si>
  <si>
    <t>Beverages</t>
  </si>
  <si>
    <t>Butchers</t>
  </si>
  <si>
    <t>Computers and electric accessories</t>
  </si>
  <si>
    <t>Electric household essentials</t>
  </si>
  <si>
    <t>Food</t>
  </si>
  <si>
    <t>Furniture</t>
  </si>
  <si>
    <t>Milk Products</t>
  </si>
  <si>
    <t>Patisserie</t>
  </si>
  <si>
    <t>Payment Method</t>
  </si>
  <si>
    <t>Cash</t>
  </si>
  <si>
    <t>Credit Card</t>
  </si>
  <si>
    <t>Digital Wallet</t>
  </si>
  <si>
    <t>Location</t>
  </si>
  <si>
    <t>In-store</t>
  </si>
  <si>
    <t>Online</t>
  </si>
  <si>
    <t>Row Labels</t>
  </si>
  <si>
    <t>Grand Total</t>
  </si>
  <si>
    <t>Sum of Total Spent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</si>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</sst>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2" borderId="2" xfId="0" applyFont="1" applyFill="1" applyBorder="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SPENT AND BY CATEGORIES</a:t>
            </a:r>
            <a:endParaRPr lang="sr-Latn-RS"/>
          </a:p>
        </c:rich>
      </c:tx>
      <c:layout>
        <c:manualLayout>
          <c:xMode val="edge"/>
          <c:yMode val="edge"/>
          <c:x val="0.366965123689729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r-Latn-RS"/>
        </a:p>
      </c:txPr>
    </c:title>
    <c:autoTitleDeleted val="0"/>
    <c:plotArea>
      <c:layout/>
      <c:barChart>
        <c:barDir val="col"/>
        <c:grouping val="clustered"/>
        <c:varyColors val="0"/>
        <c:ser>
          <c:idx val="9"/>
          <c:order val="9"/>
          <c:tx>
            <c:strRef>
              <c:f>'BAR CHART CATEGORY'!$A$63</c:f>
              <c:strCache>
                <c:ptCount val="1"/>
                <c:pt idx="0">
                  <c:v>Grand Total</c:v>
                </c:pt>
              </c:strCache>
            </c:strRef>
          </c:tx>
          <c:spPr>
            <a:solidFill>
              <a:srgbClr val="FFFF00"/>
            </a:solidFill>
            <a:ln w="19050">
              <a:solidFill>
                <a:schemeClr val="bg1">
                  <a:lumMod val="95000"/>
                  <a:alpha val="0"/>
                </a:schemeClr>
              </a:solidFill>
            </a:ln>
            <a:effectLst>
              <a:glow>
                <a:schemeClr val="accent1">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'BAR CHART CATEGORY'!$B$63:$M$63</c:f>
              <c:numCache>
                <c:formatCode>General</c:formatCode>
                <c:ptCount val="12"/>
                <c:pt idx="0">
                  <c:v>174421</c:v>
                </c:pt>
                <c:pt idx="1">
                  <c:v>119685</c:v>
                </c:pt>
                <c:pt idx="2">
                  <c:v>122392</c:v>
                </c:pt>
                <c:pt idx="3">
                  <c:v>125618.5</c:v>
                </c:pt>
                <c:pt idx="4">
                  <c:v>124594.5</c:v>
                </c:pt>
                <c:pt idx="5">
                  <c:v>129771</c:v>
                </c:pt>
                <c:pt idx="6">
                  <c:v>131509</c:v>
                </c:pt>
                <c:pt idx="7">
                  <c:v>123287.5</c:v>
                </c:pt>
                <c:pt idx="8">
                  <c:v>129344</c:v>
                </c:pt>
                <c:pt idx="9">
                  <c:v>119413.5</c:v>
                </c:pt>
                <c:pt idx="10">
                  <c:v>122346.5</c:v>
                </c:pt>
                <c:pt idx="11">
                  <c:v>129688.5</c:v>
                </c:pt>
              </c:numCache>
            </c:numRef>
          </c:val>
          <c:extLst>
            <c:ext xmlns:c16="http://schemas.microsoft.com/office/drawing/2014/chart" uri="{C3380CC4-5D6E-409C-BE32-E72D297353CC}">
              <c16:uniqueId val="{00000009-213C-4C45-84AA-5D19C1FB7C27}"/>
            </c:ext>
          </c:extLst>
        </c:ser>
        <c:dLbls>
          <c:showLegendKey val="0"/>
          <c:showVal val="0"/>
          <c:showCatName val="0"/>
          <c:showSerName val="0"/>
          <c:showPercent val="0"/>
          <c:showBubbleSize val="0"/>
        </c:dLbls>
        <c:gapWidth val="18"/>
        <c:overlap val="100"/>
        <c:axId val="1852271151"/>
        <c:axId val="1455243951"/>
        <c:extLst>
          <c:ext xmlns:c15="http://schemas.microsoft.com/office/drawing/2012/chart" uri="{02D57815-91ED-43cb-92C2-25804820EDAC}">
            <c15:filteredBarSeries>
              <c15:ser>
                <c:idx val="0"/>
                <c:order val="0"/>
                <c:tx>
                  <c:strRef>
                    <c:extLst>
                      <c:ext uri="{02D57815-91ED-43cb-92C2-25804820EDAC}">
                        <c15:formulaRef>
                          <c15:sqref>'BAR CHART CATEGORY'!$A$54</c15:sqref>
                        </c15:formulaRef>
                      </c:ext>
                    </c:extLst>
                    <c:strCache>
                      <c:ptCount val="1"/>
                      <c:pt idx="0">
                        <c:v>Category</c:v>
                      </c:pt>
                    </c:strCache>
                  </c:strRef>
                </c:tx>
                <c:spPr>
                  <a:solidFill>
                    <a:schemeClr val="accent1"/>
                  </a:solidFill>
                  <a:ln>
                    <a:noFill/>
                  </a:ln>
                  <a:effectLst/>
                </c:spPr>
                <c:invertIfNegative val="0"/>
                <c:val>
                  <c:numRef>
                    <c:extLst>
                      <c:ext uri="{02D57815-91ED-43cb-92C2-25804820EDAC}">
                        <c15:formulaRef>
                          <c15:sqref>'BAR CHART CATEGORY'!$B$54:$M$54</c15:sqref>
                        </c15:formulaRef>
                      </c:ext>
                    </c:extLst>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extLst>
                  <c:ext xmlns:c16="http://schemas.microsoft.com/office/drawing/2014/chart" uri="{C3380CC4-5D6E-409C-BE32-E72D297353CC}">
                    <c16:uniqueId val="{00000000-213C-4C45-84AA-5D19C1FB7C27}"/>
                  </c:ext>
                </c:extLst>
              </c15:ser>
            </c15:filteredBarSeries>
          </c:ext>
        </c:extLst>
      </c:barChart>
      <c:barChart>
        <c:barDir val="col"/>
        <c:grouping val="clustered"/>
        <c:varyColors val="0"/>
        <c:ser>
          <c:idx val="1"/>
          <c:order val="1"/>
          <c:tx>
            <c:strRef>
              <c:f>'BAR CHART CATEGORY'!$A$55</c:f>
              <c:strCache>
                <c:ptCount val="1"/>
                <c:pt idx="0">
                  <c:v>Beverages</c:v>
                </c:pt>
              </c:strCache>
            </c:strRef>
          </c:tx>
          <c:spPr>
            <a:solidFill>
              <a:schemeClr val="accent2"/>
            </a:solidFill>
            <a:ln>
              <a:noFill/>
            </a:ln>
            <a:effectLst/>
          </c:spPr>
          <c:invertIfNegative val="0"/>
          <c:val>
            <c:numRef>
              <c:f>'BAR CHART CATEGORY'!$B$55:$M$55</c:f>
              <c:numCache>
                <c:formatCode>General</c:formatCode>
                <c:ptCount val="12"/>
                <c:pt idx="0">
                  <c:v>21834</c:v>
                </c:pt>
                <c:pt idx="1">
                  <c:v>17136.5</c:v>
                </c:pt>
                <c:pt idx="2">
                  <c:v>15127</c:v>
                </c:pt>
                <c:pt idx="3">
                  <c:v>13029</c:v>
                </c:pt>
                <c:pt idx="4">
                  <c:v>17169</c:v>
                </c:pt>
                <c:pt idx="5">
                  <c:v>16198</c:v>
                </c:pt>
                <c:pt idx="6">
                  <c:v>17962</c:v>
                </c:pt>
                <c:pt idx="7">
                  <c:v>15927.5</c:v>
                </c:pt>
                <c:pt idx="8">
                  <c:v>16592.5</c:v>
                </c:pt>
                <c:pt idx="9">
                  <c:v>15904.5</c:v>
                </c:pt>
                <c:pt idx="10">
                  <c:v>15502</c:v>
                </c:pt>
                <c:pt idx="11">
                  <c:v>14665.5</c:v>
                </c:pt>
              </c:numCache>
            </c:numRef>
          </c:val>
          <c:extLst>
            <c:ext xmlns:c16="http://schemas.microsoft.com/office/drawing/2014/chart" uri="{C3380CC4-5D6E-409C-BE32-E72D297353CC}">
              <c16:uniqueId val="{00000001-213C-4C45-84AA-5D19C1FB7C27}"/>
            </c:ext>
          </c:extLst>
        </c:ser>
        <c:ser>
          <c:idx val="2"/>
          <c:order val="2"/>
          <c:tx>
            <c:strRef>
              <c:f>'BAR CHART CATEGORY'!$A$56</c:f>
              <c:strCache>
                <c:ptCount val="1"/>
                <c:pt idx="0">
                  <c:v>Butchers</c:v>
                </c:pt>
              </c:strCache>
            </c:strRef>
          </c:tx>
          <c:spPr>
            <a:solidFill>
              <a:schemeClr val="accent3"/>
            </a:solidFill>
            <a:ln>
              <a:noFill/>
            </a:ln>
            <a:effectLst/>
          </c:spPr>
          <c:invertIfNegative val="0"/>
          <c:val>
            <c:numRef>
              <c:f>'BAR CHART CATEGORY'!$B$56:$M$56</c:f>
              <c:numCache>
                <c:formatCode>General</c:formatCode>
                <c:ptCount val="12"/>
                <c:pt idx="0">
                  <c:v>24084.5</c:v>
                </c:pt>
                <c:pt idx="1">
                  <c:v>17832.5</c:v>
                </c:pt>
                <c:pt idx="2">
                  <c:v>13412.5</c:v>
                </c:pt>
                <c:pt idx="3">
                  <c:v>16744</c:v>
                </c:pt>
                <c:pt idx="4">
                  <c:v>16552.5</c:v>
                </c:pt>
                <c:pt idx="5">
                  <c:v>18333</c:v>
                </c:pt>
                <c:pt idx="6">
                  <c:v>17993.5</c:v>
                </c:pt>
                <c:pt idx="7">
                  <c:v>16598.5</c:v>
                </c:pt>
                <c:pt idx="8">
                  <c:v>16697.5</c:v>
                </c:pt>
                <c:pt idx="9">
                  <c:v>18134</c:v>
                </c:pt>
                <c:pt idx="10">
                  <c:v>16040.5</c:v>
                </c:pt>
                <c:pt idx="11">
                  <c:v>15695</c:v>
                </c:pt>
              </c:numCache>
            </c:numRef>
          </c:val>
          <c:extLst>
            <c:ext xmlns:c16="http://schemas.microsoft.com/office/drawing/2014/chart" uri="{C3380CC4-5D6E-409C-BE32-E72D297353CC}">
              <c16:uniqueId val="{00000002-213C-4C45-84AA-5D19C1FB7C27}"/>
            </c:ext>
          </c:extLst>
        </c:ser>
        <c:ser>
          <c:idx val="3"/>
          <c:order val="3"/>
          <c:tx>
            <c:strRef>
              <c:f>'BAR CHART CATEGORY'!$A$57</c:f>
              <c:strCache>
                <c:ptCount val="1"/>
                <c:pt idx="0">
                  <c:v>Computers and electric accessories</c:v>
                </c:pt>
              </c:strCache>
            </c:strRef>
          </c:tx>
          <c:spPr>
            <a:solidFill>
              <a:schemeClr val="accent4"/>
            </a:solidFill>
            <a:ln>
              <a:noFill/>
            </a:ln>
            <a:effectLst/>
          </c:spPr>
          <c:invertIfNegative val="0"/>
          <c:val>
            <c:numRef>
              <c:f>'BAR CHART CATEGORY'!$B$57:$M$57</c:f>
              <c:numCache>
                <c:formatCode>General</c:formatCode>
                <c:ptCount val="12"/>
                <c:pt idx="0">
                  <c:v>25130</c:v>
                </c:pt>
                <c:pt idx="1">
                  <c:v>12160.5</c:v>
                </c:pt>
                <c:pt idx="2">
                  <c:v>14687</c:v>
                </c:pt>
                <c:pt idx="3">
                  <c:v>18123.5</c:v>
                </c:pt>
                <c:pt idx="4">
                  <c:v>12480.5</c:v>
                </c:pt>
                <c:pt idx="5">
                  <c:v>18860.5</c:v>
                </c:pt>
                <c:pt idx="6">
                  <c:v>15477.5</c:v>
                </c:pt>
                <c:pt idx="7">
                  <c:v>13554</c:v>
                </c:pt>
                <c:pt idx="8">
                  <c:v>16201.5</c:v>
                </c:pt>
                <c:pt idx="9">
                  <c:v>11146.5</c:v>
                </c:pt>
                <c:pt idx="10">
                  <c:v>15069.5</c:v>
                </c:pt>
                <c:pt idx="11">
                  <c:v>17801.5</c:v>
                </c:pt>
              </c:numCache>
            </c:numRef>
          </c:val>
          <c:extLst>
            <c:ext xmlns:c16="http://schemas.microsoft.com/office/drawing/2014/chart" uri="{C3380CC4-5D6E-409C-BE32-E72D297353CC}">
              <c16:uniqueId val="{00000003-213C-4C45-84AA-5D19C1FB7C27}"/>
            </c:ext>
          </c:extLst>
        </c:ser>
        <c:ser>
          <c:idx val="4"/>
          <c:order val="4"/>
          <c:tx>
            <c:strRef>
              <c:f>'BAR CHART CATEGORY'!$A$58</c:f>
              <c:strCache>
                <c:ptCount val="1"/>
                <c:pt idx="0">
                  <c:v>Electric household essentials</c:v>
                </c:pt>
              </c:strCache>
            </c:strRef>
          </c:tx>
          <c:spPr>
            <a:solidFill>
              <a:schemeClr val="accent5"/>
            </a:solidFill>
            <a:ln>
              <a:noFill/>
            </a:ln>
            <a:effectLst/>
          </c:spPr>
          <c:invertIfNegative val="0"/>
          <c:val>
            <c:numRef>
              <c:f>'BAR CHART CATEGORY'!$B$58:$M$58</c:f>
              <c:numCache>
                <c:formatCode>General</c:formatCode>
                <c:ptCount val="12"/>
                <c:pt idx="0">
                  <c:v>21273</c:v>
                </c:pt>
                <c:pt idx="1">
                  <c:v>16964.5</c:v>
                </c:pt>
                <c:pt idx="2">
                  <c:v>15580.5</c:v>
                </c:pt>
                <c:pt idx="3">
                  <c:v>17052</c:v>
                </c:pt>
                <c:pt idx="4">
                  <c:v>17238.5</c:v>
                </c:pt>
                <c:pt idx="5">
                  <c:v>17442.5</c:v>
                </c:pt>
                <c:pt idx="6">
                  <c:v>17219</c:v>
                </c:pt>
                <c:pt idx="7">
                  <c:v>16517.5</c:v>
                </c:pt>
                <c:pt idx="8">
                  <c:v>17495.5</c:v>
                </c:pt>
                <c:pt idx="9">
                  <c:v>12732.5</c:v>
                </c:pt>
                <c:pt idx="10">
                  <c:v>16842.5</c:v>
                </c:pt>
                <c:pt idx="11">
                  <c:v>17455.5</c:v>
                </c:pt>
              </c:numCache>
            </c:numRef>
          </c:val>
          <c:extLst>
            <c:ext xmlns:c16="http://schemas.microsoft.com/office/drawing/2014/chart" uri="{C3380CC4-5D6E-409C-BE32-E72D297353CC}">
              <c16:uniqueId val="{00000004-213C-4C45-84AA-5D19C1FB7C27}"/>
            </c:ext>
          </c:extLst>
        </c:ser>
        <c:ser>
          <c:idx val="5"/>
          <c:order val="5"/>
          <c:tx>
            <c:strRef>
              <c:f>'BAR CHART CATEGORY'!$A$59</c:f>
              <c:strCache>
                <c:ptCount val="1"/>
                <c:pt idx="0">
                  <c:v>Food</c:v>
                </c:pt>
              </c:strCache>
            </c:strRef>
          </c:tx>
          <c:spPr>
            <a:solidFill>
              <a:schemeClr val="accent6"/>
            </a:solidFill>
            <a:ln>
              <a:noFill/>
            </a:ln>
            <a:effectLst/>
          </c:spPr>
          <c:invertIfNegative val="0"/>
          <c:val>
            <c:numRef>
              <c:f>'BAR CHART CATEGORY'!$B$59:$M$59</c:f>
              <c:numCache>
                <c:formatCode>General</c:formatCode>
                <c:ptCount val="12"/>
                <c:pt idx="0">
                  <c:v>22778.5</c:v>
                </c:pt>
                <c:pt idx="1">
                  <c:v>13788.5</c:v>
                </c:pt>
                <c:pt idx="2">
                  <c:v>15709</c:v>
                </c:pt>
                <c:pt idx="3">
                  <c:v>12031.5</c:v>
                </c:pt>
                <c:pt idx="4">
                  <c:v>16021.5</c:v>
                </c:pt>
                <c:pt idx="5">
                  <c:v>13472.5</c:v>
                </c:pt>
                <c:pt idx="6">
                  <c:v>19268.5</c:v>
                </c:pt>
                <c:pt idx="7">
                  <c:v>14352.5</c:v>
                </c:pt>
                <c:pt idx="8">
                  <c:v>17163</c:v>
                </c:pt>
                <c:pt idx="9">
                  <c:v>18240</c:v>
                </c:pt>
                <c:pt idx="10">
                  <c:v>17649</c:v>
                </c:pt>
                <c:pt idx="11">
                  <c:v>14337.5</c:v>
                </c:pt>
              </c:numCache>
            </c:numRef>
          </c:val>
          <c:extLst>
            <c:ext xmlns:c16="http://schemas.microsoft.com/office/drawing/2014/chart" uri="{C3380CC4-5D6E-409C-BE32-E72D297353CC}">
              <c16:uniqueId val="{00000005-213C-4C45-84AA-5D19C1FB7C27}"/>
            </c:ext>
          </c:extLst>
        </c:ser>
        <c:ser>
          <c:idx val="6"/>
          <c:order val="6"/>
          <c:tx>
            <c:strRef>
              <c:f>'BAR CHART CATEGORY'!$A$60</c:f>
              <c:strCache>
                <c:ptCount val="1"/>
                <c:pt idx="0">
                  <c:v>Furniture</c:v>
                </c:pt>
              </c:strCache>
            </c:strRef>
          </c:tx>
          <c:spPr>
            <a:solidFill>
              <a:schemeClr val="accent1">
                <a:lumMod val="60000"/>
              </a:schemeClr>
            </a:solidFill>
            <a:ln>
              <a:noFill/>
            </a:ln>
            <a:effectLst/>
          </c:spPr>
          <c:invertIfNegative val="0"/>
          <c:val>
            <c:numRef>
              <c:f>'BAR CHART CATEGORY'!$B$60:$M$60</c:f>
              <c:numCache>
                <c:formatCode>General</c:formatCode>
                <c:ptCount val="12"/>
                <c:pt idx="0">
                  <c:v>21312</c:v>
                </c:pt>
                <c:pt idx="1">
                  <c:v>15190.5</c:v>
                </c:pt>
                <c:pt idx="2">
                  <c:v>16248</c:v>
                </c:pt>
                <c:pt idx="3">
                  <c:v>19786.5</c:v>
                </c:pt>
                <c:pt idx="4">
                  <c:v>15435</c:v>
                </c:pt>
                <c:pt idx="5">
                  <c:v>15930</c:v>
                </c:pt>
                <c:pt idx="6">
                  <c:v>15169</c:v>
                </c:pt>
                <c:pt idx="7">
                  <c:v>18216.5</c:v>
                </c:pt>
                <c:pt idx="8">
                  <c:v>14030</c:v>
                </c:pt>
                <c:pt idx="9">
                  <c:v>13050</c:v>
                </c:pt>
                <c:pt idx="10">
                  <c:v>13565</c:v>
                </c:pt>
                <c:pt idx="11">
                  <c:v>17377.5</c:v>
                </c:pt>
              </c:numCache>
            </c:numRef>
          </c:val>
          <c:extLst>
            <c:ext xmlns:c16="http://schemas.microsoft.com/office/drawing/2014/chart" uri="{C3380CC4-5D6E-409C-BE32-E72D297353CC}">
              <c16:uniqueId val="{00000006-213C-4C45-84AA-5D19C1FB7C27}"/>
            </c:ext>
          </c:extLst>
        </c:ser>
        <c:ser>
          <c:idx val="7"/>
          <c:order val="7"/>
          <c:tx>
            <c:strRef>
              <c:f>'BAR CHART CATEGORY'!$A$61</c:f>
              <c:strCache>
                <c:ptCount val="1"/>
                <c:pt idx="0">
                  <c:v>Milk Products</c:v>
                </c:pt>
              </c:strCache>
            </c:strRef>
          </c:tx>
          <c:spPr>
            <a:solidFill>
              <a:schemeClr val="accent2">
                <a:lumMod val="60000"/>
              </a:schemeClr>
            </a:solidFill>
            <a:ln>
              <a:noFill/>
            </a:ln>
            <a:effectLst/>
          </c:spPr>
          <c:invertIfNegative val="0"/>
          <c:val>
            <c:numRef>
              <c:f>'BAR CHART CATEGORY'!$B$61:$M$61</c:f>
              <c:numCache>
                <c:formatCode>General</c:formatCode>
                <c:ptCount val="12"/>
                <c:pt idx="0">
                  <c:v>19588</c:v>
                </c:pt>
                <c:pt idx="1">
                  <c:v>13036</c:v>
                </c:pt>
                <c:pt idx="2">
                  <c:v>15871.5</c:v>
                </c:pt>
                <c:pt idx="3">
                  <c:v>13247</c:v>
                </c:pt>
                <c:pt idx="4">
                  <c:v>13855</c:v>
                </c:pt>
                <c:pt idx="5">
                  <c:v>12282</c:v>
                </c:pt>
                <c:pt idx="6">
                  <c:v>15383</c:v>
                </c:pt>
                <c:pt idx="7">
                  <c:v>13245.5</c:v>
                </c:pt>
                <c:pt idx="8">
                  <c:v>16729.5</c:v>
                </c:pt>
                <c:pt idx="9">
                  <c:v>14993.5</c:v>
                </c:pt>
                <c:pt idx="10">
                  <c:v>14971.5</c:v>
                </c:pt>
                <c:pt idx="11">
                  <c:v>16909.5</c:v>
                </c:pt>
              </c:numCache>
            </c:numRef>
          </c:val>
          <c:extLst>
            <c:ext xmlns:c16="http://schemas.microsoft.com/office/drawing/2014/chart" uri="{C3380CC4-5D6E-409C-BE32-E72D297353CC}">
              <c16:uniqueId val="{00000007-213C-4C45-84AA-5D19C1FB7C27}"/>
            </c:ext>
          </c:extLst>
        </c:ser>
        <c:ser>
          <c:idx val="8"/>
          <c:order val="8"/>
          <c:tx>
            <c:strRef>
              <c:f>'BAR CHART CATEGORY'!$A$62</c:f>
              <c:strCache>
                <c:ptCount val="1"/>
                <c:pt idx="0">
                  <c:v>Patisserie</c:v>
                </c:pt>
              </c:strCache>
            </c:strRef>
          </c:tx>
          <c:spPr>
            <a:solidFill>
              <a:schemeClr val="accent3">
                <a:lumMod val="60000"/>
              </a:schemeClr>
            </a:solidFill>
            <a:ln>
              <a:noFill/>
            </a:ln>
            <a:effectLst/>
          </c:spPr>
          <c:invertIfNegative val="0"/>
          <c:val>
            <c:numRef>
              <c:f>'BAR CHART CATEGORY'!$B$62:$M$62</c:f>
              <c:numCache>
                <c:formatCode>General</c:formatCode>
                <c:ptCount val="12"/>
                <c:pt idx="0">
                  <c:v>18421</c:v>
                </c:pt>
                <c:pt idx="1">
                  <c:v>13576</c:v>
                </c:pt>
                <c:pt idx="2">
                  <c:v>15756.5</c:v>
                </c:pt>
                <c:pt idx="3">
                  <c:v>15605</c:v>
                </c:pt>
                <c:pt idx="4">
                  <c:v>15842.5</c:v>
                </c:pt>
                <c:pt idx="5">
                  <c:v>17252.5</c:v>
                </c:pt>
                <c:pt idx="6">
                  <c:v>13036.5</c:v>
                </c:pt>
                <c:pt idx="7">
                  <c:v>14875.5</c:v>
                </c:pt>
                <c:pt idx="8">
                  <c:v>14434.5</c:v>
                </c:pt>
                <c:pt idx="9">
                  <c:v>15212.5</c:v>
                </c:pt>
                <c:pt idx="10">
                  <c:v>12706.5</c:v>
                </c:pt>
                <c:pt idx="11">
                  <c:v>15446.5</c:v>
                </c:pt>
              </c:numCache>
            </c:numRef>
          </c:val>
          <c:extLst>
            <c:ext xmlns:c16="http://schemas.microsoft.com/office/drawing/2014/chart" uri="{C3380CC4-5D6E-409C-BE32-E72D297353CC}">
              <c16:uniqueId val="{00000008-213C-4C45-84AA-5D19C1FB7C27}"/>
            </c:ext>
          </c:extLst>
        </c:ser>
        <c:dLbls>
          <c:showLegendKey val="0"/>
          <c:showVal val="0"/>
          <c:showCatName val="0"/>
          <c:showSerName val="0"/>
          <c:showPercent val="0"/>
          <c:showBubbleSize val="0"/>
        </c:dLbls>
        <c:gapWidth val="219"/>
        <c:overlap val="-27"/>
        <c:axId val="141497007"/>
        <c:axId val="141491727"/>
      </c:barChart>
      <c:catAx>
        <c:axId val="1852271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55243951"/>
        <c:crosses val="autoZero"/>
        <c:auto val="1"/>
        <c:lblAlgn val="ctr"/>
        <c:lblOffset val="100"/>
        <c:noMultiLvlLbl val="0"/>
      </c:catAx>
      <c:valAx>
        <c:axId val="145524395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852271151"/>
        <c:crosses val="autoZero"/>
        <c:crossBetween val="between"/>
      </c:valAx>
      <c:valAx>
        <c:axId val="141491727"/>
        <c:scaling>
          <c:orientation val="minMax"/>
          <c:min val="5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41497007"/>
        <c:crosses val="max"/>
        <c:crossBetween val="between"/>
        <c:minorUnit val="2000"/>
      </c:valAx>
      <c:catAx>
        <c:axId val="141497007"/>
        <c:scaling>
          <c:orientation val="minMax"/>
        </c:scaling>
        <c:delete val="1"/>
        <c:axPos val="b"/>
        <c:majorTickMark val="out"/>
        <c:minorTickMark val="none"/>
        <c:tickLblPos val="nextTo"/>
        <c:crossAx val="1414917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[RETAIL_python_pivots.xlsx]BAR CHART PYMENT TYPE!PivotTable6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3"/>
          </a:solidFill>
          <a:ln>
            <a:noFill/>
          </a:ln>
          <a:effectLst/>
        </c:spPr>
        <c:dLbl>
          <c:idx val="0"/>
          <c:layout>
            <c:manualLayout>
              <c:x val="1.549529607083564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1.660210293303818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dLbl>
          <c:idx val="0"/>
          <c:layout>
            <c:manualLayout>
              <c:x val="5.534034311012708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3"/>
          </a:solidFill>
          <a:ln>
            <a:noFill/>
          </a:ln>
          <a:effectLst/>
        </c:spPr>
        <c:dLbl>
          <c:idx val="0"/>
          <c:layout>
            <c:manualLayout>
              <c:x val="6.6408411732152743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3"/>
          </a:solidFill>
          <a:ln>
            <a:noFill/>
          </a:ln>
          <a:effectLst/>
        </c:spPr>
        <c:dLbl>
          <c:idx val="0"/>
          <c:layout>
            <c:manualLayout>
              <c:x val="2.2136137244050912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dLbl>
          <c:idx val="0"/>
          <c:layout>
            <c:manualLayout>
              <c:x val="-1.1068068622025456E-3"/>
              <c:y val="-4.6296296296296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dLbl>
          <c:idx val="0"/>
          <c:layout>
            <c:manualLayout>
              <c:x val="7.747648035417819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 PYMENT TYPE'!$B$1:$B$2</c:f>
              <c:strCache>
                <c:ptCount val="1"/>
                <c:pt idx="0">
                  <c:v>Cash</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2C-F9A9-483C-A33F-3100B6C627D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2D-F9A9-483C-A33F-3100B6C627D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30-F9A9-483C-A33F-3100B6C627D2}"/>
              </c:ext>
            </c:extLst>
          </c:dPt>
          <c:dLbls>
            <c:dLbl>
              <c:idx val="0"/>
              <c:layout>
                <c:manualLayout>
                  <c:x val="-1.6602102933038189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F9A9-483C-A33F-3100B6C627D2}"/>
                </c:ext>
              </c:extLst>
            </c:dLbl>
            <c:dLbl>
              <c:idx val="1"/>
              <c:layout>
                <c:manualLayout>
                  <c:x val="5.534034311012708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F9A9-483C-A33F-3100B6C627D2}"/>
                </c:ext>
              </c:extLst>
            </c:dLbl>
            <c:dLbl>
              <c:idx val="2"/>
              <c:layout>
                <c:manualLayout>
                  <c:x val="-1.1068068622025456E-3"/>
                  <c:y val="-4.6296296296296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F9A9-483C-A33F-3100B6C627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 PYMENT TYPE'!$A$3:$A$15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'BAR CHART PYMENT TYPE'!$B$3:$B$15</c:f>
              <c:numCache>
                <c:formatCode>General</c:formatCode>
                <c:ptCount val="12"/>
                <c:pt idx="0">
                  <c:v>59766</c:v>
                </c:pt>
                <c:pt idx="1">
                  <c:v>41592.5</c:v>
                </c:pt>
                <c:pt idx="2">
                  <c:v>42248.5</c:v>
                </c:pt>
                <c:pt idx="3">
                  <c:v>38813.5</c:v>
                </c:pt>
                <c:pt idx="4">
                  <c:v>46761</c:v>
                </c:pt>
                <c:pt idx="5">
                  <c:v>47142.5</c:v>
                </c:pt>
                <c:pt idx="6">
                  <c:v>44831</c:v>
                </c:pt>
                <c:pt idx="7">
                  <c:v>41471</c:v>
                </c:pt>
                <c:pt idx="8">
                  <c:v>48672.5</c:v>
                </c:pt>
                <c:pt idx="9">
                  <c:v>39659</c:v>
                </c:pt>
                <c:pt idx="10">
                  <c:v>41935.5</c:v>
                </c:pt>
                <c:pt idx="11">
                  <c:v>44817</c:v>
                </c:pt>
              </c:numCache>
            </c:numRef>
          </c:val>
          <c:extLst>
            <c:ext xmlns:c16="http://schemas.microsoft.com/office/drawing/2014/chart" uri="{C3380CC4-5D6E-409C-BE32-E72D297353CC}">
              <c16:uniqueId val="{00000004-F9A9-483C-A33F-3100B6C627D2}"/>
            </c:ext>
          </c:extLst>
        </c:ser>
        <c:ser>
          <c:idx val="1"/>
          <c:order val="1"/>
          <c:tx>
            <c:strRef>
              <c:f>'BAR CHART PYMENT TYPE'!$C$1:$C$2</c:f>
              <c:strCache>
                <c:ptCount val="1"/>
                <c:pt idx="0">
                  <c:v>Credit Card</c:v>
                </c:pt>
              </c:strCache>
            </c:strRef>
          </c:tx>
          <c:spPr>
            <a:solidFill>
              <a:schemeClr val="accent2"/>
            </a:solidFill>
            <a:ln>
              <a:noFill/>
            </a:ln>
            <a:effectLst/>
          </c:spPr>
          <c:invertIfNegative val="0"/>
          <c:dPt>
            <c:idx val="5"/>
            <c:invertIfNegative val="0"/>
            <c:bubble3D val="0"/>
            <c:spPr>
              <a:solidFill>
                <a:schemeClr val="accent2"/>
              </a:solidFill>
              <a:ln>
                <a:noFill/>
              </a:ln>
              <a:effectLst/>
            </c:spPr>
            <c:extLst>
              <c:ext xmlns:c16="http://schemas.microsoft.com/office/drawing/2014/chart" uri="{C3380CC4-5D6E-409C-BE32-E72D297353CC}">
                <c16:uniqueId val="{00000031-F9A9-483C-A33F-3100B6C627D2}"/>
              </c:ext>
            </c:extLst>
          </c:dPt>
          <c:dLbls>
            <c:dLbl>
              <c:idx val="5"/>
              <c:layout>
                <c:manualLayout>
                  <c:x val="7.747648035417819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F9A9-483C-A33F-3100B6C627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 PYMENT TYPE'!$A$3:$A$15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'BAR CHART PYMENT TYPE'!$C$3:$C$15</c:f>
              <c:numCache>
                <c:formatCode>General</c:formatCode>
                <c:ptCount val="12"/>
                <c:pt idx="0">
                  <c:v>56768</c:v>
                </c:pt>
                <c:pt idx="1">
                  <c:v>38795</c:v>
                </c:pt>
                <c:pt idx="2">
                  <c:v>40249</c:v>
                </c:pt>
                <c:pt idx="3">
                  <c:v>46562</c:v>
                </c:pt>
                <c:pt idx="4">
                  <c:v>37736.5</c:v>
                </c:pt>
                <c:pt idx="5">
                  <c:v>40705.5</c:v>
                </c:pt>
                <c:pt idx="6">
                  <c:v>39895.5</c:v>
                </c:pt>
                <c:pt idx="7">
                  <c:v>44535</c:v>
                </c:pt>
                <c:pt idx="8">
                  <c:v>41539.5</c:v>
                </c:pt>
                <c:pt idx="9">
                  <c:v>40263</c:v>
                </c:pt>
                <c:pt idx="10">
                  <c:v>41101.5</c:v>
                </c:pt>
                <c:pt idx="11">
                  <c:v>38931.5</c:v>
                </c:pt>
              </c:numCache>
            </c:numRef>
          </c:val>
          <c:extLst>
            <c:ext xmlns:c16="http://schemas.microsoft.com/office/drawing/2014/chart" uri="{C3380CC4-5D6E-409C-BE32-E72D297353CC}">
              <c16:uniqueId val="{00000029-F9A9-483C-A33F-3100B6C627D2}"/>
            </c:ext>
          </c:extLst>
        </c:ser>
        <c:ser>
          <c:idx val="2"/>
          <c:order val="2"/>
          <c:tx>
            <c:strRef>
              <c:f>'BAR CHART PYMENT TYPE'!$D$1:$D$2</c:f>
              <c:strCache>
                <c:ptCount val="1"/>
                <c:pt idx="0">
                  <c:v>Digital Wallet</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2B-F9A9-483C-A33F-3100B6C627D2}"/>
              </c:ext>
            </c:extLst>
          </c:dPt>
          <c:dPt>
            <c:idx val="1"/>
            <c:invertIfNegative val="0"/>
            <c:bubble3D val="0"/>
            <c:spPr>
              <a:solidFill>
                <a:schemeClr val="accent3"/>
              </a:solidFill>
              <a:ln>
                <a:noFill/>
              </a:ln>
              <a:effectLst/>
            </c:spPr>
            <c:extLst>
              <c:ext xmlns:c16="http://schemas.microsoft.com/office/drawing/2014/chart" uri="{C3380CC4-5D6E-409C-BE32-E72D297353CC}">
                <c16:uniqueId val="{0000002E-F9A9-483C-A33F-3100B6C627D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2F-F9A9-483C-A33F-3100B6C627D2}"/>
              </c:ext>
            </c:extLst>
          </c:dPt>
          <c:dLbls>
            <c:dLbl>
              <c:idx val="0"/>
              <c:layout>
                <c:manualLayout>
                  <c:x val="1.549529607083564E-2"/>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F9A9-483C-A33F-3100B6C627D2}"/>
                </c:ext>
              </c:extLst>
            </c:dLbl>
            <c:dLbl>
              <c:idx val="1"/>
              <c:layout>
                <c:manualLayout>
                  <c:x val="6.6408411732152743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F9A9-483C-A33F-3100B6C627D2}"/>
                </c:ext>
              </c:extLst>
            </c:dLbl>
            <c:dLbl>
              <c:idx val="2"/>
              <c:layout>
                <c:manualLayout>
                  <c:x val="2.2136137244050912E-3"/>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F9A9-483C-A33F-3100B6C627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 PYMENT TYPE'!$A$3:$A$15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'BAR CHART PYMENT TYPE'!$D$3:$D$15</c:f>
              <c:numCache>
                <c:formatCode>General</c:formatCode>
                <c:ptCount val="12"/>
                <c:pt idx="0">
                  <c:v>57887</c:v>
                </c:pt>
                <c:pt idx="1">
                  <c:v>39297.5</c:v>
                </c:pt>
                <c:pt idx="2">
                  <c:v>39894.5</c:v>
                </c:pt>
                <c:pt idx="3">
                  <c:v>40243</c:v>
                </c:pt>
                <c:pt idx="4">
                  <c:v>40097</c:v>
                </c:pt>
                <c:pt idx="5">
                  <c:v>41923</c:v>
                </c:pt>
                <c:pt idx="6">
                  <c:v>46782.5</c:v>
                </c:pt>
                <c:pt idx="7">
                  <c:v>37281.5</c:v>
                </c:pt>
                <c:pt idx="8">
                  <c:v>39132</c:v>
                </c:pt>
                <c:pt idx="9">
                  <c:v>39491.5</c:v>
                </c:pt>
                <c:pt idx="10">
                  <c:v>39309.5</c:v>
                </c:pt>
                <c:pt idx="11">
                  <c:v>45940</c:v>
                </c:pt>
              </c:numCache>
            </c:numRef>
          </c:val>
          <c:extLst>
            <c:ext xmlns:c16="http://schemas.microsoft.com/office/drawing/2014/chart" uri="{C3380CC4-5D6E-409C-BE32-E72D297353CC}">
              <c16:uniqueId val="{0000002A-F9A9-483C-A33F-3100B6C627D2}"/>
            </c:ext>
          </c:extLst>
        </c:ser>
        <c:dLbls>
          <c:showLegendKey val="0"/>
          <c:showVal val="0"/>
          <c:showCatName val="0"/>
          <c:showSerName val="0"/>
          <c:showPercent val="0"/>
          <c:showBubbleSize val="0"/>
        </c:dLbls>
        <c:gapWidth val="219"/>
        <c:overlap val="-27"/>
        <c:axId val="450908879"/>
        <c:axId val="450907439"/>
      </c:barChart>
      <c:catAx>
        <c:axId val="45090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450907439"/>
        <c:crosses val="autoZero"/>
        <c:auto val="1"/>
        <c:lblAlgn val="ctr"/>
        <c:lblOffset val="100"/>
        <c:noMultiLvlLbl val="0"/>
      </c:catAx>
      <c:valAx>
        <c:axId val="45090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45090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[RETAIL_python_pivots.xlsx]BAR CHART LOCATION!PivotTable7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 LOCATION'!$B$1:$B$2</c:f>
              <c:strCache>
                <c:ptCount val="1"/>
                <c:pt idx="0">
                  <c:v>In-store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 LOCATION'!$A$3:$A$15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'BAR CHART LOCATION'!$B$3:$B$15</c:f>
              <c:numCache>
                <c:formatCode>General</c:formatCode>
                <c:ptCount val="12"/>
                <c:pt idx="0">
                  <c:v>93530.5</c:v>
                </c:pt>
                <c:pt idx="1">
                  <c:v>58850</c:v>
                </c:pt>
                <c:pt idx="2">
                  <c:v>63780.5</c:v>
                </c:pt>
                <c:pt idx="3">
                  <c:v>58480</c:v>
                </c:pt>
                <c:pt idx="4">
                  <c:v>60597</c:v>
                </c:pt>
                <c:pt idx="5">
                  <c:v>61721</c:v>
                </c:pt>
                <c:pt idx="6">
                  <c:v>64294.5</c:v>
                </c:pt>
                <c:pt idx="7">
                  <c:v>57776</c:v>
                </c:pt>
                <c:pt idx="8">
                  <c:v>57786.5</c:v>
                </c:pt>
                <c:pt idx="9">
                  <c:v>60566.5</c:v>
                </c:pt>
                <c:pt idx="10">
                  <c:v>58084.5</c:v>
                </c:pt>
                <c:pt idx="11">
                  <c:v>65203</c:v>
                </c:pt>
              </c:numCache>
            </c:numRef>
          </c:val>
          <c:extLst>
            <c:ext xmlns:c16="http://schemas.microsoft.com/office/drawing/2014/chart" uri="{C3380CC4-5D6E-409C-BE32-E72D297353CC}">
              <c16:uniqueId val="{00000000-23D2-4664-B995-C1DA4DCEAFB9}"/>
            </c:ext>
          </c:extLst>
        </c:ser>
        <c:ser>
          <c:idx val="1"/>
          <c:order val="1"/>
          <c:tx>
            <c:strRef>
              <c:f>'BAR CHART LOCATION'!$C$1:$C$2</c:f>
              <c:strCache>
                <c:ptCount val="1"/>
                <c:pt idx="0">
                  <c:v>Online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 LOCATION'!$A$3:$A$15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'BAR CHART LOCATION'!$C$3:$C$15</c:f>
              <c:numCache>
                <c:formatCode>General</c:formatCode>
                <c:ptCount val="12"/>
                <c:pt idx="0">
                  <c:v>80890.5</c:v>
                </c:pt>
                <c:pt idx="1">
                  <c:v>60835</c:v>
                </c:pt>
                <c:pt idx="2">
                  <c:v>58611.5</c:v>
                </c:pt>
                <c:pt idx="3">
                  <c:v>67138.5</c:v>
                </c:pt>
                <c:pt idx="4">
                  <c:v>63997.5</c:v>
                </c:pt>
                <c:pt idx="5">
                  <c:v>68050</c:v>
                </c:pt>
                <c:pt idx="6">
                  <c:v>67214.5</c:v>
                </c:pt>
                <c:pt idx="7">
                  <c:v>65511.5</c:v>
                </c:pt>
                <c:pt idx="8">
                  <c:v>71557.5</c:v>
                </c:pt>
                <c:pt idx="9">
                  <c:v>58847</c:v>
                </c:pt>
                <c:pt idx="10">
                  <c:v>64262</c:v>
                </c:pt>
                <c:pt idx="11">
                  <c:v>64485.5</c:v>
                </c:pt>
              </c:numCache>
            </c:numRef>
          </c:val>
          <c:extLst>
            <c:ext xmlns:c16="http://schemas.microsoft.com/office/drawing/2014/chart" uri="{C3380CC4-5D6E-409C-BE32-E72D297353CC}">
              <c16:uniqueId val="{00000002-23D2-4664-B995-C1DA4DCEAFB9}"/>
            </c:ext>
          </c:extLst>
        </c:ser>
        <c:dLbls>
          <c:showLegendKey val="0"/>
          <c:showVal val="0"/>
          <c:showCatName val="0"/>
          <c:showSerName val="0"/>
          <c:showPercent val="0"/>
          <c:showBubbleSize val="0"/>
        </c:dLbls>
        <c:gapWidth val="219"/>
        <c:overlap val="-27"/>
        <c:axId val="586529967"/>
        <c:axId val="586528527"/>
      </c:barChart>
      <c:catAx>
        <c:axId val="58652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586528527"/>
        <c:crosses val="autoZero"/>
        <c:auto val="1"/>
        <c:lblAlgn val="ctr"/>
        <c:lblOffset val="100"/>
        <c:noMultiLvlLbl val="0"/>
      </c:catAx>
      <c:valAx>
        <c:axId val="58652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58652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103531</xdr:colOff>
      <xdr:row>16</xdr:row>
      <xdr:rowOff>126447</xdr:rowOff>
    </xdr:from>
    <xdr:to>
      <xdr:col>0</xdr:col>
      <xdr:colOff>1932331</xdr:colOff>
      <xdr:row>30</xdr:row>
      <xdr:rowOff>99528</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0AE04102-029C-17D3-4D48-43A4A441440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3531" y="3041925"/>
              <a:ext cx="1828800" cy="2524125"/>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235777</xdr:colOff>
      <xdr:row>1</xdr:row>
      <xdr:rowOff>49972</xdr:rowOff>
    </xdr:from>
    <xdr:to>
      <xdr:col>9</xdr:col>
      <xdr:colOff>303143</xdr:colOff>
      <xdr:row>16</xdr:row>
      <xdr:rowOff>22087</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CB6237ED-06C2-3B6E-B82C-A7EA13D90B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12734" y="232189"/>
              <a:ext cx="1828800" cy="2705376"/>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57980</xdr:colOff>
      <xdr:row>16</xdr:row>
      <xdr:rowOff>174488</xdr:rowOff>
    </xdr:from>
    <xdr:to>
      <xdr:col>12</xdr:col>
      <xdr:colOff>165653</xdr:colOff>
      <xdr:row>32</xdr:row>
      <xdr:rowOff>2209</xdr:rowOff>
    </xdr:to>
    <xdr:graphicFrame macro="">
      <xdr:nvGraphicFramePr>
        <xdr:cNvPr id="3" name="Chart 2">
          <a:extLst>
            <a:ext uri="{FF2B5EF4-FFF2-40B4-BE49-F238E27FC236}">
              <a16:creationId xmlns:a16="http://schemas.microsoft.com/office/drawing/2014/main" id="{18BCAE58-0F08-F871-15CA-EF966174C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255868</xdr:colOff>
      <xdr:row>10</xdr:row>
      <xdr:rowOff>38100</xdr:rowOff>
    </xdr:from>
    <xdr:to>
      <xdr:col>17</xdr:col>
      <xdr:colOff>84418</xdr:colOff>
      <xdr:row>25</xdr:row>
      <xdr:rowOff>19050</xdr:rowOff>
    </xdr:to>
    <xdr:graphicFrame macro="">
      <xdr:nvGraphicFramePr>
        <xdr:cNvPr id="2" name="Chart 1">
          <a:extLst>
            <a:ext uri="{FF2B5EF4-FFF2-40B4-BE49-F238E27FC236}">
              <a16:creationId xmlns:a16="http://schemas.microsoft.com/office/drawing/2014/main" id="{CF4AEEAC-602C-536C-3BCB-19949DA9A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95250</xdr:colOff>
      <xdr:row>0</xdr:row>
      <xdr:rowOff>158751</xdr:rowOff>
    </xdr:from>
    <xdr:to>
      <xdr:col>9</xdr:col>
      <xdr:colOff>215900</xdr:colOff>
      <xdr:row>9</xdr:row>
      <xdr:rowOff>1</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1A936593-8C6A-5697-9489-59486323D86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242485" y="158751"/>
              <a:ext cx="1823944" cy="1522132"/>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158750</xdr:colOff>
      <xdr:row>8</xdr:row>
      <xdr:rowOff>101600</xdr:rowOff>
    </xdr:from>
    <xdr:to>
      <xdr:col>12</xdr:col>
      <xdr:colOff>330200</xdr:colOff>
      <xdr:row>23</xdr:row>
      <xdr:rowOff>82550</xdr:rowOff>
    </xdr:to>
    <xdr:graphicFrame macro="">
      <xdr:nvGraphicFramePr>
        <xdr:cNvPr id="2" name="Chart 1">
          <a:extLst>
            <a:ext uri="{FF2B5EF4-FFF2-40B4-BE49-F238E27FC236}">
              <a16:creationId xmlns:a16="http://schemas.microsoft.com/office/drawing/2014/main" id="{16375E7F-8966-FD4A-707F-E31C1A943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330200</xdr:colOff>
      <xdr:row>0</xdr:row>
      <xdr:rowOff>44451</xdr:rowOff>
    </xdr:from>
    <xdr:to>
      <xdr:col>8</xdr:col>
      <xdr:colOff>330200</xdr:colOff>
      <xdr:row>8</xdr:row>
      <xdr:rowOff>63501</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F76C1D43-614E-23ED-FECE-6E05C3F029B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470400" y="44451"/>
              <a:ext cx="1828800" cy="1492250"/>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5804.574864814815" createdVersion="8" refreshedVersion="8" minRefreshableVersion="3" recordCount="296" xr:uid="{4F9D549A-DA45-40D0-8A39-D632D3DA60F1}">
  <cacheSource type="worksheet">
    <worksheetSource ref="A1:G297" sheet="Pivot_Category"/>
  </cacheSource>
  <cacheFields count="7">
    <cacheField name="Category" numFmtId="0">
      <sharedItems count="8">
        <s v="Beverages"/>
        <s v="Butchers"/>
        <s v="Computers and electric accessories"/>
        <s v="Electric household essentials"/>
        <s v="Food"/>
        <s v="Furniture"/>
        <s v="Milk Products"/>
        <s v="Patisserie"/>
      </sharedItems>
    </cacheField>
    <cacheField name="Year" numFmtId="0">
      <sharedItems containsSemiMixedTypes="0" containsString="0" containsNumber="1" containsInteger="1" minValue="2022" maxValue="2025" count="4">
        <n v="2022"/>
        <n v="2023"/>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Customer ID" numFmtId="0">
      <sharedItems containsSemiMixedTypes="0" containsString="0" containsNumber="1" containsInteger="1" minValue="20" maxValue="60"/>
    </cacheField>
    <cacheField name="Price Per Unit" numFmtId="0">
      <sharedItems containsSemiMixedTypes="0" containsString="0" containsNumber="1" minValue="16.928571428571431" maxValue="30.81034482758621"/>
    </cacheField>
    <cacheField name="Quantity" numFmtId="0">
      <sharedItems containsSemiMixedTypes="0" containsString="0" containsNumber="1" containsInteger="1" minValue="87" maxValue="344"/>
    </cacheField>
    <cacheField name="Total Spent" numFmtId="0">
      <sharedItems containsSemiMixedTypes="0" containsString="0" containsNumber="1" minValue="1732.5" maxValue="8732"/>
    </cacheField>
  </cacheFields>
  <extLst>
    <ext xmlns:x14="http://schemas.microsoft.com/office/spreadsheetml/2009/9/main" uri="{725AE2AE-9491-48be-B2B4-4EB974FC3084}">
      <x14:pivotCacheDefinition pivotCacheId="16955605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5804.59510914352" createdVersion="8" refreshedVersion="8" minRefreshableVersion="3" recordCount="111" xr:uid="{29808FB4-75D2-45FA-96CD-C9568E165309}">
  <cacheSource type="worksheet">
    <worksheetSource ref="A1:G112" sheet="Pivot_Payment_Method"/>
  </cacheSource>
  <cacheFields count="7">
    <cacheField name="Payment Method" numFmtId="0">
      <sharedItems count="3">
        <s v="Cash"/>
        <s v="Credit Card"/>
        <s v="Digital Wallet"/>
      </sharedItems>
    </cacheField>
    <cacheField name="Year" numFmtId="0">
      <sharedItems containsSemiMixedTypes="0" containsString="0" containsNumber="1" containsInteger="1" minValue="2022" maxValue="2025" count="4">
        <n v="2022"/>
        <n v="2023"/>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Customer ID" numFmtId="0">
      <sharedItems containsSemiMixedTypes="0" containsString="0" containsNumber="1" containsInteger="1" minValue="60" maxValue="131"/>
    </cacheField>
    <cacheField name="Price Per Unit" numFmtId="0">
      <sharedItems containsSemiMixedTypes="0" containsString="0" containsNumber="1" minValue="21.287610619469032" maxValue="25.33009708737864"/>
    </cacheField>
    <cacheField name="Quantity" numFmtId="0">
      <sharedItems containsSemiMixedTypes="0" containsString="0" containsNumber="1" containsInteger="1" minValue="327" maxValue="796"/>
    </cacheField>
    <cacheField name="Total Spent" numFmtId="0">
      <sharedItems containsSemiMixedTypes="0" containsString="0" containsNumber="1" minValue="7669.5" maxValue="19568"/>
    </cacheField>
  </cacheFields>
  <extLst>
    <ext xmlns:x14="http://schemas.microsoft.com/office/spreadsheetml/2009/9/main" uri="{725AE2AE-9491-48be-B2B4-4EB974FC3084}">
      <x14:pivotCacheDefinition pivotCacheId="13407713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refreshedDate="45804.599436574077" createdVersion="8" refreshedVersion="8" minRefreshableVersion="3" recordCount="74" xr:uid="{7C33C95A-8CE9-4598-88F0-0B01EAC00BFD}">
  <cacheSource type="worksheet">
    <worksheetSource ref="A1:G75" sheet=" Pivot_Location"/>
  </cacheSource>
  <cacheFields count="7">
    <cacheField name="Location" numFmtId="0">
      <sharedItems count="2">
        <s v="In-store"/>
        <s v="Online"/>
      </sharedItems>
    </cacheField>
    <cacheField name="Year" numFmtId="0">
      <sharedItems containsSemiMixedTypes="0" containsString="0" containsNumber="1" containsInteger="1" minValue="2022" maxValue="2025" count="4">
        <n v="2022"/>
        <n v="2023"/>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Customer ID" numFmtId="0">
      <sharedItems containsSemiMixedTypes="0" containsString="0" containsNumber="1" containsInteger="1" minValue="92" maxValue="208"/>
    </cacheField>
    <cacheField name="Price Per Unit" numFmtId="0">
      <sharedItems containsSemiMixedTypes="0" containsString="0" containsNumber="1" minValue="20.75" maxValue="25.07692307692308"/>
    </cacheField>
    <cacheField name="Quantity" numFmtId="0">
      <sharedItems containsSemiMixedTypes="0" containsString="0" containsNumber="1" containsInteger="1" minValue="527" maxValue="1170"/>
    </cacheField>
    <cacheField name="Total Spent" numFmtId="0">
      <sharedItems containsSemiMixedTypes="0" containsString="0" containsNumber="1" minValue="12130" maxValue="27994.5"/>
    </cacheField>
  </cacheFields>
  <extLst>
    <ext xmlns:x14="http://schemas.microsoft.com/office/spreadsheetml/2009/9/main" uri="{725AE2AE-9491-48be-B2B4-4EB974FC3084}">
      <x14:pivotCacheDefinition pivotCacheId="779339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x v="0"/>
    <x v="0"/>
    <x v="0"/>
    <n v="39"/>
    <n v="26.92307692307692"/>
    <n v="222"/>
    <n v="5784"/>
  </r>
  <r>
    <x v="0"/>
    <x v="0"/>
    <x v="1"/>
    <n v="41"/>
    <n v="23.512195121951219"/>
    <n v="272"/>
    <n v="6457"/>
  </r>
  <r>
    <x v="0"/>
    <x v="0"/>
    <x v="2"/>
    <n v="39"/>
    <n v="22.03846153846154"/>
    <n v="205"/>
    <n v="4493"/>
  </r>
  <r>
    <x v="0"/>
    <x v="0"/>
    <x v="3"/>
    <n v="34"/>
    <n v="23.308823529411761"/>
    <n v="179"/>
    <n v="4096"/>
  </r>
  <r>
    <x v="0"/>
    <x v="0"/>
    <x v="4"/>
    <n v="37"/>
    <n v="25.22972972972973"/>
    <n v="229"/>
    <n v="5643.5"/>
  </r>
  <r>
    <x v="0"/>
    <x v="0"/>
    <x v="5"/>
    <n v="45"/>
    <n v="23.033333333333331"/>
    <n v="220"/>
    <n v="5088.5"/>
  </r>
  <r>
    <x v="0"/>
    <x v="0"/>
    <x v="6"/>
    <n v="52"/>
    <n v="23"/>
    <n v="286"/>
    <n v="6434"/>
  </r>
  <r>
    <x v="0"/>
    <x v="0"/>
    <x v="7"/>
    <n v="48"/>
    <n v="18.5"/>
    <n v="268"/>
    <n v="5118.5"/>
  </r>
  <r>
    <x v="0"/>
    <x v="0"/>
    <x v="8"/>
    <n v="33"/>
    <n v="22.18181818181818"/>
    <n v="220"/>
    <n v="5013.5"/>
  </r>
  <r>
    <x v="0"/>
    <x v="0"/>
    <x v="9"/>
    <n v="31"/>
    <n v="23.048387096774189"/>
    <n v="176"/>
    <n v="4279"/>
  </r>
  <r>
    <x v="0"/>
    <x v="0"/>
    <x v="10"/>
    <n v="37"/>
    <n v="27.621621621621621"/>
    <n v="213"/>
    <n v="5817"/>
  </r>
  <r>
    <x v="0"/>
    <x v="0"/>
    <x v="11"/>
    <n v="43"/>
    <n v="23"/>
    <n v="231"/>
    <n v="5331"/>
  </r>
  <r>
    <x v="0"/>
    <x v="1"/>
    <x v="0"/>
    <n v="46"/>
    <n v="24.565217391304351"/>
    <n v="255"/>
    <n v="6360"/>
  </r>
  <r>
    <x v="0"/>
    <x v="1"/>
    <x v="1"/>
    <n v="41"/>
    <n v="23"/>
    <n v="243"/>
    <n v="5806.5"/>
  </r>
  <r>
    <x v="0"/>
    <x v="1"/>
    <x v="2"/>
    <n v="36"/>
    <n v="19"/>
    <n v="219"/>
    <n v="4099.5"/>
  </r>
  <r>
    <x v="0"/>
    <x v="1"/>
    <x v="3"/>
    <n v="32"/>
    <n v="22.90625"/>
    <n v="153"/>
    <n v="3720"/>
  </r>
  <r>
    <x v="0"/>
    <x v="1"/>
    <x v="4"/>
    <n v="38"/>
    <n v="23.75"/>
    <n v="209"/>
    <n v="5123.5"/>
  </r>
  <r>
    <x v="0"/>
    <x v="1"/>
    <x v="5"/>
    <n v="34"/>
    <n v="20.22058823529412"/>
    <n v="183"/>
    <n v="3748.5"/>
  </r>
  <r>
    <x v="0"/>
    <x v="1"/>
    <x v="6"/>
    <n v="55"/>
    <n v="23.927272727272729"/>
    <n v="266"/>
    <n v="6187"/>
  </r>
  <r>
    <x v="0"/>
    <x v="1"/>
    <x v="7"/>
    <n v="28"/>
    <n v="21.875"/>
    <n v="149"/>
    <n v="3334"/>
  </r>
  <r>
    <x v="0"/>
    <x v="1"/>
    <x v="8"/>
    <n v="38"/>
    <n v="22.40789473684211"/>
    <n v="188"/>
    <n v="4156"/>
  </r>
  <r>
    <x v="0"/>
    <x v="1"/>
    <x v="9"/>
    <n v="38"/>
    <n v="24.34210526315789"/>
    <n v="235"/>
    <n v="5556.5"/>
  </r>
  <r>
    <x v="0"/>
    <x v="1"/>
    <x v="10"/>
    <n v="30"/>
    <n v="23.95"/>
    <n v="167"/>
    <n v="4037.5"/>
  </r>
  <r>
    <x v="0"/>
    <x v="1"/>
    <x v="11"/>
    <n v="33"/>
    <n v="23.18181818181818"/>
    <n v="163"/>
    <n v="3603.5"/>
  </r>
  <r>
    <x v="0"/>
    <x v="2"/>
    <x v="0"/>
    <n v="44"/>
    <n v="21.90909090909091"/>
    <n v="268"/>
    <n v="6135.5"/>
  </r>
  <r>
    <x v="0"/>
    <x v="2"/>
    <x v="1"/>
    <n v="36"/>
    <n v="23.125"/>
    <n v="206"/>
    <n v="4873"/>
  </r>
  <r>
    <x v="0"/>
    <x v="2"/>
    <x v="2"/>
    <n v="53"/>
    <n v="23.537735849056599"/>
    <n v="283"/>
    <n v="6534.5"/>
  </r>
  <r>
    <x v="0"/>
    <x v="2"/>
    <x v="3"/>
    <n v="34"/>
    <n v="22.691176470588239"/>
    <n v="202"/>
    <n v="5213"/>
  </r>
  <r>
    <x v="0"/>
    <x v="2"/>
    <x v="4"/>
    <n v="60"/>
    <n v="22.55"/>
    <n v="279"/>
    <n v="6402"/>
  </r>
  <r>
    <x v="0"/>
    <x v="2"/>
    <x v="5"/>
    <n v="56"/>
    <n v="23.428571428571431"/>
    <n v="298"/>
    <n v="7361"/>
  </r>
  <r>
    <x v="0"/>
    <x v="2"/>
    <x v="6"/>
    <n v="38"/>
    <n v="24.460526315789469"/>
    <n v="218"/>
    <n v="5341"/>
  </r>
  <r>
    <x v="0"/>
    <x v="2"/>
    <x v="7"/>
    <n v="54"/>
    <n v="23.083333333333329"/>
    <n v="322"/>
    <n v="7475"/>
  </r>
  <r>
    <x v="0"/>
    <x v="2"/>
    <x v="8"/>
    <n v="45"/>
    <n v="26.3"/>
    <n v="272"/>
    <n v="7423"/>
  </r>
  <r>
    <x v="0"/>
    <x v="2"/>
    <x v="9"/>
    <n v="42"/>
    <n v="23.714285714285719"/>
    <n v="258"/>
    <n v="6069"/>
  </r>
  <r>
    <x v="0"/>
    <x v="2"/>
    <x v="10"/>
    <n v="42"/>
    <n v="23.571428571428569"/>
    <n v="225"/>
    <n v="5647.5"/>
  </r>
  <r>
    <x v="0"/>
    <x v="2"/>
    <x v="11"/>
    <n v="39"/>
    <n v="25.30769230769231"/>
    <n v="233"/>
    <n v="5731"/>
  </r>
  <r>
    <x v="0"/>
    <x v="3"/>
    <x v="0"/>
    <n v="25"/>
    <n v="24.08"/>
    <n v="143"/>
    <n v="3554.5"/>
  </r>
  <r>
    <x v="1"/>
    <x v="0"/>
    <x v="0"/>
    <n v="56"/>
    <n v="24.473214285714281"/>
    <n v="340"/>
    <n v="8732"/>
  </r>
  <r>
    <x v="1"/>
    <x v="0"/>
    <x v="1"/>
    <n v="49"/>
    <n v="28.142857142857139"/>
    <n v="288"/>
    <n v="8122.5"/>
  </r>
  <r>
    <x v="1"/>
    <x v="0"/>
    <x v="2"/>
    <n v="34"/>
    <n v="23.264705882352938"/>
    <n v="169"/>
    <n v="4145"/>
  </r>
  <r>
    <x v="1"/>
    <x v="0"/>
    <x v="3"/>
    <n v="40"/>
    <n v="25.587499999999999"/>
    <n v="223"/>
    <n v="5828"/>
  </r>
  <r>
    <x v="1"/>
    <x v="0"/>
    <x v="4"/>
    <n v="39"/>
    <n v="27.73076923076923"/>
    <n v="212"/>
    <n v="6040"/>
  </r>
  <r>
    <x v="1"/>
    <x v="0"/>
    <x v="5"/>
    <n v="38"/>
    <n v="25.84210526315789"/>
    <n v="229"/>
    <n v="6012.5"/>
  </r>
  <r>
    <x v="1"/>
    <x v="0"/>
    <x v="6"/>
    <n v="56"/>
    <n v="24.178571428571431"/>
    <n v="269"/>
    <n v="6349"/>
  </r>
  <r>
    <x v="1"/>
    <x v="0"/>
    <x v="7"/>
    <n v="50"/>
    <n v="25.37"/>
    <n v="279"/>
    <n v="7468.5"/>
  </r>
  <r>
    <x v="1"/>
    <x v="0"/>
    <x v="8"/>
    <n v="48"/>
    <n v="24.34375"/>
    <n v="287"/>
    <n v="7169.5"/>
  </r>
  <r>
    <x v="1"/>
    <x v="0"/>
    <x v="9"/>
    <n v="52"/>
    <n v="26"/>
    <n v="274"/>
    <n v="7170.5"/>
  </r>
  <r>
    <x v="1"/>
    <x v="0"/>
    <x v="10"/>
    <n v="49"/>
    <n v="25.020408163265309"/>
    <n v="249"/>
    <n v="6271.5"/>
  </r>
  <r>
    <x v="1"/>
    <x v="0"/>
    <x v="11"/>
    <n v="38"/>
    <n v="23.276315789473681"/>
    <n v="260"/>
    <n v="6086.5"/>
  </r>
  <r>
    <x v="1"/>
    <x v="1"/>
    <x v="0"/>
    <n v="43"/>
    <n v="22.302325581395351"/>
    <n v="216"/>
    <n v="4410"/>
  </r>
  <r>
    <x v="1"/>
    <x v="1"/>
    <x v="1"/>
    <n v="37"/>
    <n v="23.202702702702702"/>
    <n v="199"/>
    <n v="4749.5"/>
  </r>
  <r>
    <x v="1"/>
    <x v="1"/>
    <x v="2"/>
    <n v="34"/>
    <n v="26.57352941176471"/>
    <n v="185"/>
    <n v="4975"/>
  </r>
  <r>
    <x v="1"/>
    <x v="1"/>
    <x v="3"/>
    <n v="33"/>
    <n v="25.22727272727273"/>
    <n v="199"/>
    <n v="4889"/>
  </r>
  <r>
    <x v="1"/>
    <x v="1"/>
    <x v="4"/>
    <n v="38"/>
    <n v="23.868421052631579"/>
    <n v="196"/>
    <n v="4562"/>
  </r>
  <r>
    <x v="1"/>
    <x v="1"/>
    <x v="5"/>
    <n v="55"/>
    <n v="23.081818181818178"/>
    <n v="305"/>
    <n v="7111"/>
  </r>
  <r>
    <x v="1"/>
    <x v="1"/>
    <x v="6"/>
    <n v="35"/>
    <n v="24.37142857142857"/>
    <n v="183"/>
    <n v="4575"/>
  </r>
  <r>
    <x v="1"/>
    <x v="1"/>
    <x v="7"/>
    <n v="28"/>
    <n v="24.553571428571431"/>
    <n v="135"/>
    <n v="3282"/>
  </r>
  <r>
    <x v="1"/>
    <x v="1"/>
    <x v="8"/>
    <n v="37"/>
    <n v="23.77027027027027"/>
    <n v="208"/>
    <n v="5195"/>
  </r>
  <r>
    <x v="1"/>
    <x v="1"/>
    <x v="9"/>
    <n v="34"/>
    <n v="24.985294117647062"/>
    <n v="201"/>
    <n v="4761"/>
  </r>
  <r>
    <x v="1"/>
    <x v="1"/>
    <x v="10"/>
    <n v="40"/>
    <n v="24.725000000000001"/>
    <n v="203"/>
    <n v="5351.5"/>
  </r>
  <r>
    <x v="1"/>
    <x v="1"/>
    <x v="11"/>
    <n v="29"/>
    <n v="30.81034482758621"/>
    <n v="157"/>
    <n v="4944.5"/>
  </r>
  <r>
    <x v="1"/>
    <x v="2"/>
    <x v="0"/>
    <n v="48"/>
    <n v="26.75"/>
    <n v="263"/>
    <n v="7093"/>
  </r>
  <r>
    <x v="1"/>
    <x v="2"/>
    <x v="1"/>
    <n v="42"/>
    <n v="23"/>
    <n v="228"/>
    <n v="4960.5"/>
  </r>
  <r>
    <x v="1"/>
    <x v="2"/>
    <x v="2"/>
    <n v="33"/>
    <n v="25.86363636363636"/>
    <n v="173"/>
    <n v="4292.5"/>
  </r>
  <r>
    <x v="1"/>
    <x v="2"/>
    <x v="3"/>
    <n v="40"/>
    <n v="27.8"/>
    <n v="204"/>
    <n v="6027"/>
  </r>
  <r>
    <x v="1"/>
    <x v="2"/>
    <x v="4"/>
    <n v="35"/>
    <n v="28.957142857142859"/>
    <n v="210"/>
    <n v="5950.5"/>
  </r>
  <r>
    <x v="1"/>
    <x v="2"/>
    <x v="5"/>
    <n v="40"/>
    <n v="22.887499999999999"/>
    <n v="234"/>
    <n v="5209.5"/>
  </r>
  <r>
    <x v="1"/>
    <x v="2"/>
    <x v="6"/>
    <n v="50"/>
    <n v="24.32"/>
    <n v="294"/>
    <n v="7069.5"/>
  </r>
  <r>
    <x v="1"/>
    <x v="2"/>
    <x v="7"/>
    <n v="48"/>
    <n v="24.65625"/>
    <n v="233"/>
    <n v="5848"/>
  </r>
  <r>
    <x v="1"/>
    <x v="2"/>
    <x v="8"/>
    <n v="35"/>
    <n v="26.428571428571431"/>
    <n v="176"/>
    <n v="4333"/>
  </r>
  <r>
    <x v="1"/>
    <x v="2"/>
    <x v="9"/>
    <n v="47"/>
    <n v="26.638297872340431"/>
    <n v="228"/>
    <n v="6202.5"/>
  </r>
  <r>
    <x v="1"/>
    <x v="2"/>
    <x v="10"/>
    <n v="30"/>
    <n v="23.85"/>
    <n v="180"/>
    <n v="4417.5"/>
  </r>
  <r>
    <x v="1"/>
    <x v="2"/>
    <x v="11"/>
    <n v="31"/>
    <n v="25.951612903225811"/>
    <n v="175"/>
    <n v="4664"/>
  </r>
  <r>
    <x v="1"/>
    <x v="3"/>
    <x v="0"/>
    <n v="25"/>
    <n v="27.68"/>
    <n v="142"/>
    <n v="3849.5"/>
  </r>
  <r>
    <x v="2"/>
    <x v="0"/>
    <x v="0"/>
    <n v="50"/>
    <n v="25.01"/>
    <n v="296"/>
    <n v="7265.5"/>
  </r>
  <r>
    <x v="2"/>
    <x v="0"/>
    <x v="1"/>
    <n v="25"/>
    <n v="20.239999999999998"/>
    <n v="159"/>
    <n v="3297"/>
  </r>
  <r>
    <x v="2"/>
    <x v="0"/>
    <x v="2"/>
    <n v="40"/>
    <n v="23.524999999999999"/>
    <n v="227"/>
    <n v="5029"/>
  </r>
  <r>
    <x v="2"/>
    <x v="0"/>
    <x v="3"/>
    <n v="39"/>
    <n v="23.53846153846154"/>
    <n v="211"/>
    <n v="4845.5"/>
  </r>
  <r>
    <x v="2"/>
    <x v="0"/>
    <x v="4"/>
    <n v="42"/>
    <n v="22.821428571428569"/>
    <n v="211"/>
    <n v="4541"/>
  </r>
  <r>
    <x v="2"/>
    <x v="0"/>
    <x v="5"/>
    <n v="48"/>
    <n v="22.75"/>
    <n v="262"/>
    <n v="5885"/>
  </r>
  <r>
    <x v="2"/>
    <x v="0"/>
    <x v="6"/>
    <n v="32"/>
    <n v="24.21875"/>
    <n v="175"/>
    <n v="4305.5"/>
  </r>
  <r>
    <x v="2"/>
    <x v="0"/>
    <x v="7"/>
    <n v="29"/>
    <n v="22.637931034482762"/>
    <n v="162"/>
    <n v="3676.5"/>
  </r>
  <r>
    <x v="2"/>
    <x v="0"/>
    <x v="8"/>
    <n v="37"/>
    <n v="21.986486486486491"/>
    <n v="216"/>
    <n v="4918.5"/>
  </r>
  <r>
    <x v="2"/>
    <x v="0"/>
    <x v="9"/>
    <n v="30"/>
    <n v="20.6"/>
    <n v="185"/>
    <n v="3862"/>
  </r>
  <r>
    <x v="2"/>
    <x v="0"/>
    <x v="10"/>
    <n v="40"/>
    <n v="23.15"/>
    <n v="189"/>
    <n v="4360.5"/>
  </r>
  <r>
    <x v="2"/>
    <x v="0"/>
    <x v="11"/>
    <n v="39"/>
    <n v="22"/>
    <n v="226"/>
    <n v="5127.5"/>
  </r>
  <r>
    <x v="2"/>
    <x v="1"/>
    <x v="0"/>
    <n v="51"/>
    <n v="23.441176470588239"/>
    <n v="323"/>
    <n v="7366"/>
  </r>
  <r>
    <x v="2"/>
    <x v="1"/>
    <x v="1"/>
    <n v="35"/>
    <n v="22.785714285714281"/>
    <n v="187"/>
    <n v="4494.5"/>
  </r>
  <r>
    <x v="2"/>
    <x v="1"/>
    <x v="2"/>
    <n v="36"/>
    <n v="24.458333333333329"/>
    <n v="207"/>
    <n v="5134.5"/>
  </r>
  <r>
    <x v="2"/>
    <x v="1"/>
    <x v="3"/>
    <n v="44"/>
    <n v="24.5"/>
    <n v="242"/>
    <n v="6104.5"/>
  </r>
  <r>
    <x v="2"/>
    <x v="1"/>
    <x v="4"/>
    <n v="33"/>
    <n v="20.09090909090909"/>
    <n v="196"/>
    <n v="4146.5"/>
  </r>
  <r>
    <x v="2"/>
    <x v="1"/>
    <x v="5"/>
    <n v="46"/>
    <n v="23.913043478260871"/>
    <n v="256"/>
    <n v="5946.5"/>
  </r>
  <r>
    <x v="2"/>
    <x v="1"/>
    <x v="6"/>
    <n v="46"/>
    <n v="21.826086956521738"/>
    <n v="248"/>
    <n v="5276.5"/>
  </r>
  <r>
    <x v="2"/>
    <x v="1"/>
    <x v="7"/>
    <n v="41"/>
    <n v="23.54878048780488"/>
    <n v="216"/>
    <n v="5029.5"/>
  </r>
  <r>
    <x v="2"/>
    <x v="1"/>
    <x v="8"/>
    <n v="40"/>
    <n v="22.962499999999999"/>
    <n v="236"/>
    <n v="5267.5"/>
  </r>
  <r>
    <x v="2"/>
    <x v="1"/>
    <x v="9"/>
    <n v="35"/>
    <n v="20.085714285714289"/>
    <n v="190"/>
    <n v="3782"/>
  </r>
  <r>
    <x v="2"/>
    <x v="1"/>
    <x v="10"/>
    <n v="34"/>
    <n v="22.338235294117649"/>
    <n v="203"/>
    <n v="4483"/>
  </r>
  <r>
    <x v="2"/>
    <x v="1"/>
    <x v="11"/>
    <n v="47"/>
    <n v="23.702127659574469"/>
    <n v="256"/>
    <n v="5856.5"/>
  </r>
  <r>
    <x v="2"/>
    <x v="2"/>
    <x v="0"/>
    <n v="45"/>
    <n v="22.633333333333329"/>
    <n v="275"/>
    <n v="6110.5"/>
  </r>
  <r>
    <x v="2"/>
    <x v="2"/>
    <x v="1"/>
    <n v="35"/>
    <n v="22.4"/>
    <n v="194"/>
    <n v="4369"/>
  </r>
  <r>
    <x v="2"/>
    <x v="2"/>
    <x v="2"/>
    <n v="40"/>
    <n v="22.887499999999999"/>
    <n v="197"/>
    <n v="4523.5"/>
  </r>
  <r>
    <x v="2"/>
    <x v="2"/>
    <x v="3"/>
    <n v="49"/>
    <n v="23.367346938775508"/>
    <n v="301"/>
    <n v="7173.5"/>
  </r>
  <r>
    <x v="2"/>
    <x v="2"/>
    <x v="4"/>
    <n v="29"/>
    <n v="24.086206896551719"/>
    <n v="158"/>
    <n v="3793"/>
  </r>
  <r>
    <x v="2"/>
    <x v="2"/>
    <x v="5"/>
    <n v="46"/>
    <n v="24.271739130434781"/>
    <n v="282"/>
    <n v="7029"/>
  </r>
  <r>
    <x v="2"/>
    <x v="2"/>
    <x v="6"/>
    <n v="41"/>
    <n v="23.439024390243901"/>
    <n v="247"/>
    <n v="5895.5"/>
  </r>
  <r>
    <x v="2"/>
    <x v="2"/>
    <x v="7"/>
    <n v="45"/>
    <n v="22.166666666666671"/>
    <n v="219"/>
    <n v="4848"/>
  </r>
  <r>
    <x v="2"/>
    <x v="2"/>
    <x v="8"/>
    <n v="47"/>
    <n v="24.308510638297872"/>
    <n v="250"/>
    <n v="6015.5"/>
  </r>
  <r>
    <x v="2"/>
    <x v="2"/>
    <x v="9"/>
    <n v="36"/>
    <n v="20.541666666666671"/>
    <n v="162"/>
    <n v="3502.5"/>
  </r>
  <r>
    <x v="2"/>
    <x v="2"/>
    <x v="10"/>
    <n v="45"/>
    <n v="25.6"/>
    <n v="242"/>
    <n v="6226"/>
  </r>
  <r>
    <x v="2"/>
    <x v="2"/>
    <x v="11"/>
    <n v="50"/>
    <n v="23.03"/>
    <n v="294"/>
    <n v="6817.5"/>
  </r>
  <r>
    <x v="2"/>
    <x v="3"/>
    <x v="0"/>
    <n v="30"/>
    <n v="27"/>
    <n v="172"/>
    <n v="4388"/>
  </r>
  <r>
    <x v="3"/>
    <x v="0"/>
    <x v="0"/>
    <n v="39"/>
    <n v="27.57692307692308"/>
    <n v="224"/>
    <n v="6013"/>
  </r>
  <r>
    <x v="3"/>
    <x v="0"/>
    <x v="1"/>
    <n v="34"/>
    <n v="27.588235294117649"/>
    <n v="198"/>
    <n v="5902.5"/>
  </r>
  <r>
    <x v="3"/>
    <x v="0"/>
    <x v="2"/>
    <n v="49"/>
    <n v="23.551020408163261"/>
    <n v="273"/>
    <n v="6724.5"/>
  </r>
  <r>
    <x v="3"/>
    <x v="0"/>
    <x v="3"/>
    <n v="50"/>
    <n v="23.15"/>
    <n v="277"/>
    <n v="6437"/>
  </r>
  <r>
    <x v="3"/>
    <x v="0"/>
    <x v="4"/>
    <n v="43"/>
    <n v="20.90697674418605"/>
    <n v="259"/>
    <n v="5490.5"/>
  </r>
  <r>
    <x v="3"/>
    <x v="0"/>
    <x v="5"/>
    <n v="42"/>
    <n v="25.5"/>
    <n v="268"/>
    <n v="6858.5"/>
  </r>
  <r>
    <x v="3"/>
    <x v="0"/>
    <x v="6"/>
    <n v="41"/>
    <n v="23.621951219512191"/>
    <n v="251"/>
    <n v="6332.5"/>
  </r>
  <r>
    <x v="3"/>
    <x v="0"/>
    <x v="7"/>
    <n v="46"/>
    <n v="23.586956521739129"/>
    <n v="270"/>
    <n v="6246"/>
  </r>
  <r>
    <x v="3"/>
    <x v="0"/>
    <x v="8"/>
    <n v="47"/>
    <n v="25.329787234042549"/>
    <n v="253"/>
    <n v="6330.5"/>
  </r>
  <r>
    <x v="3"/>
    <x v="0"/>
    <x v="9"/>
    <n v="34"/>
    <n v="24.32352941176471"/>
    <n v="178"/>
    <n v="4119.5"/>
  </r>
  <r>
    <x v="3"/>
    <x v="0"/>
    <x v="10"/>
    <n v="52"/>
    <n v="22.36538461538462"/>
    <n v="290"/>
    <n v="6374.5"/>
  </r>
  <r>
    <x v="3"/>
    <x v="0"/>
    <x v="11"/>
    <n v="35"/>
    <n v="26.3"/>
    <n v="180"/>
    <n v="4651.5"/>
  </r>
  <r>
    <x v="3"/>
    <x v="1"/>
    <x v="0"/>
    <n v="39"/>
    <n v="25.07692307692308"/>
    <n v="201"/>
    <n v="5235"/>
  </r>
  <r>
    <x v="3"/>
    <x v="1"/>
    <x v="1"/>
    <n v="37"/>
    <n v="25.513513513513509"/>
    <n v="219"/>
    <n v="5830.5"/>
  </r>
  <r>
    <x v="3"/>
    <x v="1"/>
    <x v="2"/>
    <n v="34"/>
    <n v="23.308823529411761"/>
    <n v="194"/>
    <n v="4429"/>
  </r>
  <r>
    <x v="3"/>
    <x v="1"/>
    <x v="3"/>
    <n v="42"/>
    <n v="24.678571428571431"/>
    <n v="217"/>
    <n v="5211.5"/>
  </r>
  <r>
    <x v="3"/>
    <x v="1"/>
    <x v="4"/>
    <n v="42"/>
    <n v="25.321428571428569"/>
    <n v="241"/>
    <n v="5949.5"/>
  </r>
  <r>
    <x v="3"/>
    <x v="1"/>
    <x v="5"/>
    <n v="42"/>
    <n v="22.25"/>
    <n v="247"/>
    <n v="5387"/>
  </r>
  <r>
    <x v="3"/>
    <x v="1"/>
    <x v="6"/>
    <n v="43"/>
    <n v="26.45348837209302"/>
    <n v="231"/>
    <n v="6009"/>
  </r>
  <r>
    <x v="3"/>
    <x v="1"/>
    <x v="7"/>
    <n v="39"/>
    <n v="25.15384615384615"/>
    <n v="168"/>
    <n v="4191"/>
  </r>
  <r>
    <x v="3"/>
    <x v="1"/>
    <x v="8"/>
    <n v="46"/>
    <n v="25.217391304347821"/>
    <n v="242"/>
    <n v="6313"/>
  </r>
  <r>
    <x v="3"/>
    <x v="1"/>
    <x v="9"/>
    <n v="29"/>
    <n v="24.758620689655171"/>
    <n v="146"/>
    <n v="3568"/>
  </r>
  <r>
    <x v="3"/>
    <x v="1"/>
    <x v="10"/>
    <n v="37"/>
    <n v="21.945945945945951"/>
    <n v="199"/>
    <n v="4131.5"/>
  </r>
  <r>
    <x v="3"/>
    <x v="1"/>
    <x v="11"/>
    <n v="51"/>
    <n v="25.82352941176471"/>
    <n v="289"/>
    <n v="7607"/>
  </r>
  <r>
    <x v="3"/>
    <x v="2"/>
    <x v="0"/>
    <n v="51"/>
    <n v="25.67647058823529"/>
    <n v="272"/>
    <n v="7040.5"/>
  </r>
  <r>
    <x v="3"/>
    <x v="2"/>
    <x v="1"/>
    <n v="40"/>
    <n v="25.737500000000001"/>
    <n v="203"/>
    <n v="5231.5"/>
  </r>
  <r>
    <x v="3"/>
    <x v="2"/>
    <x v="2"/>
    <n v="32"/>
    <n v="23.75"/>
    <n v="193"/>
    <n v="4427"/>
  </r>
  <r>
    <x v="3"/>
    <x v="2"/>
    <x v="3"/>
    <n v="39"/>
    <n v="23.69230769230769"/>
    <n v="220"/>
    <n v="5403.5"/>
  </r>
  <r>
    <x v="3"/>
    <x v="2"/>
    <x v="4"/>
    <n v="46"/>
    <n v="24.369565217391301"/>
    <n v="248"/>
    <n v="5798.5"/>
  </r>
  <r>
    <x v="3"/>
    <x v="2"/>
    <x v="5"/>
    <n v="40"/>
    <n v="23.9"/>
    <n v="206"/>
    <n v="5197"/>
  </r>
  <r>
    <x v="3"/>
    <x v="2"/>
    <x v="6"/>
    <n v="35"/>
    <n v="26.428571428571431"/>
    <n v="176"/>
    <n v="4877.5"/>
  </r>
  <r>
    <x v="3"/>
    <x v="2"/>
    <x v="7"/>
    <n v="46"/>
    <n v="24.95652173913043"/>
    <n v="236"/>
    <n v="6080.5"/>
  </r>
  <r>
    <x v="3"/>
    <x v="2"/>
    <x v="8"/>
    <n v="42"/>
    <n v="23.928571428571431"/>
    <n v="206"/>
    <n v="4852"/>
  </r>
  <r>
    <x v="3"/>
    <x v="2"/>
    <x v="9"/>
    <n v="37"/>
    <n v="25.351351351351351"/>
    <n v="208"/>
    <n v="5045"/>
  </r>
  <r>
    <x v="3"/>
    <x v="2"/>
    <x v="10"/>
    <n v="51"/>
    <n v="24.147058823529409"/>
    <n v="268"/>
    <n v="6336.5"/>
  </r>
  <r>
    <x v="3"/>
    <x v="2"/>
    <x v="11"/>
    <n v="39"/>
    <n v="21.5"/>
    <n v="230"/>
    <n v="5197"/>
  </r>
  <r>
    <x v="3"/>
    <x v="3"/>
    <x v="0"/>
    <n v="25"/>
    <n v="24.62"/>
    <n v="128"/>
    <n v="2984.5"/>
  </r>
  <r>
    <x v="4"/>
    <x v="0"/>
    <x v="0"/>
    <n v="38"/>
    <n v="22.368421052631579"/>
    <n v="231"/>
    <n v="5119.5"/>
  </r>
  <r>
    <x v="4"/>
    <x v="0"/>
    <x v="1"/>
    <n v="38"/>
    <n v="21.934210526315791"/>
    <n v="200"/>
    <n v="4532.5"/>
  </r>
  <r>
    <x v="4"/>
    <x v="0"/>
    <x v="2"/>
    <n v="38"/>
    <n v="21.065789473684209"/>
    <n v="200"/>
    <n v="4181.5"/>
  </r>
  <r>
    <x v="4"/>
    <x v="0"/>
    <x v="3"/>
    <n v="36"/>
    <n v="20.125"/>
    <n v="156"/>
    <n v="3144"/>
  </r>
  <r>
    <x v="4"/>
    <x v="0"/>
    <x v="4"/>
    <n v="30"/>
    <n v="22.85"/>
    <n v="193"/>
    <n v="4556"/>
  </r>
  <r>
    <x v="4"/>
    <x v="0"/>
    <x v="5"/>
    <n v="30"/>
    <n v="20.25"/>
    <n v="178"/>
    <n v="3438.5"/>
  </r>
  <r>
    <x v="4"/>
    <x v="0"/>
    <x v="6"/>
    <n v="50"/>
    <n v="21.38"/>
    <n v="284"/>
    <n v="6238"/>
  </r>
  <r>
    <x v="4"/>
    <x v="0"/>
    <x v="7"/>
    <n v="37"/>
    <n v="22.27027027027027"/>
    <n v="196"/>
    <n v="4319"/>
  </r>
  <r>
    <x v="4"/>
    <x v="0"/>
    <x v="8"/>
    <n v="40"/>
    <n v="25.475000000000001"/>
    <n v="224"/>
    <n v="5863"/>
  </r>
  <r>
    <x v="4"/>
    <x v="0"/>
    <x v="9"/>
    <n v="42"/>
    <n v="23.321428571428569"/>
    <n v="248"/>
    <n v="5461"/>
  </r>
  <r>
    <x v="4"/>
    <x v="0"/>
    <x v="10"/>
    <n v="44"/>
    <n v="23.20454545454545"/>
    <n v="253"/>
    <n v="6135.5"/>
  </r>
  <r>
    <x v="4"/>
    <x v="0"/>
    <x v="11"/>
    <n v="30"/>
    <n v="23.95"/>
    <n v="167"/>
    <n v="4037.5"/>
  </r>
  <r>
    <x v="4"/>
    <x v="1"/>
    <x v="0"/>
    <n v="45"/>
    <n v="23.4"/>
    <n v="290"/>
    <n v="6775"/>
  </r>
  <r>
    <x v="4"/>
    <x v="1"/>
    <x v="1"/>
    <n v="43"/>
    <n v="22.267441860465119"/>
    <n v="229"/>
    <n v="5300"/>
  </r>
  <r>
    <x v="4"/>
    <x v="1"/>
    <x v="2"/>
    <n v="46"/>
    <n v="25.478260869565219"/>
    <n v="258"/>
    <n v="6355.5"/>
  </r>
  <r>
    <x v="4"/>
    <x v="1"/>
    <x v="3"/>
    <n v="33"/>
    <n v="25.09090909090909"/>
    <n v="174"/>
    <n v="4132.5"/>
  </r>
  <r>
    <x v="4"/>
    <x v="1"/>
    <x v="4"/>
    <n v="46"/>
    <n v="20.84782608695652"/>
    <n v="251"/>
    <n v="5368"/>
  </r>
  <r>
    <x v="4"/>
    <x v="1"/>
    <x v="5"/>
    <n v="43"/>
    <n v="24.151162790697679"/>
    <n v="218"/>
    <n v="5096.5"/>
  </r>
  <r>
    <x v="4"/>
    <x v="1"/>
    <x v="6"/>
    <n v="50"/>
    <n v="25.52"/>
    <n v="308"/>
    <n v="7625.5"/>
  </r>
  <r>
    <x v="4"/>
    <x v="1"/>
    <x v="7"/>
    <n v="44"/>
    <n v="23.68181818181818"/>
    <n v="217"/>
    <n v="4934"/>
  </r>
  <r>
    <x v="4"/>
    <x v="1"/>
    <x v="8"/>
    <n v="43"/>
    <n v="24.255813953488371"/>
    <n v="262"/>
    <n v="6228.5"/>
  </r>
  <r>
    <x v="4"/>
    <x v="1"/>
    <x v="9"/>
    <n v="38"/>
    <n v="27.934210526315791"/>
    <n v="208"/>
    <n v="6011"/>
  </r>
  <r>
    <x v="4"/>
    <x v="1"/>
    <x v="10"/>
    <n v="38"/>
    <n v="23.789473684210531"/>
    <n v="210"/>
    <n v="5217"/>
  </r>
  <r>
    <x v="4"/>
    <x v="1"/>
    <x v="11"/>
    <n v="35"/>
    <n v="22.31428571428571"/>
    <n v="205"/>
    <n v="4560.5"/>
  </r>
  <r>
    <x v="4"/>
    <x v="2"/>
    <x v="0"/>
    <n v="54"/>
    <n v="22.305555555555561"/>
    <n v="306"/>
    <n v="6616.5"/>
  </r>
  <r>
    <x v="4"/>
    <x v="2"/>
    <x v="1"/>
    <n v="33"/>
    <n v="22.59090909090909"/>
    <n v="172"/>
    <n v="3956"/>
  </r>
  <r>
    <x v="4"/>
    <x v="2"/>
    <x v="2"/>
    <n v="44"/>
    <n v="23.95454545454545"/>
    <n v="222"/>
    <n v="5172"/>
  </r>
  <r>
    <x v="4"/>
    <x v="2"/>
    <x v="3"/>
    <n v="36"/>
    <n v="21.208333333333329"/>
    <n v="225"/>
    <n v="4755"/>
  </r>
  <r>
    <x v="4"/>
    <x v="2"/>
    <x v="4"/>
    <n v="45"/>
    <n v="21.2"/>
    <n v="270"/>
    <n v="6097.5"/>
  </r>
  <r>
    <x v="4"/>
    <x v="2"/>
    <x v="5"/>
    <n v="39"/>
    <n v="22.53846153846154"/>
    <n v="203"/>
    <n v="4937.5"/>
  </r>
  <r>
    <x v="4"/>
    <x v="2"/>
    <x v="6"/>
    <n v="45"/>
    <n v="23.8"/>
    <n v="232"/>
    <n v="5405"/>
  </r>
  <r>
    <x v="4"/>
    <x v="2"/>
    <x v="7"/>
    <n v="37"/>
    <n v="23.202702702702702"/>
    <n v="218"/>
    <n v="5099.5"/>
  </r>
  <r>
    <x v="4"/>
    <x v="2"/>
    <x v="8"/>
    <n v="43"/>
    <n v="23.348837209302321"/>
    <n v="210"/>
    <n v="5071.5"/>
  </r>
  <r>
    <x v="4"/>
    <x v="2"/>
    <x v="9"/>
    <n v="49"/>
    <n v="23.76530612244898"/>
    <n v="285"/>
    <n v="6768"/>
  </r>
  <r>
    <x v="4"/>
    <x v="2"/>
    <x v="10"/>
    <n v="41"/>
    <n v="25.560975609756099"/>
    <n v="242"/>
    <n v="6296.5"/>
  </r>
  <r>
    <x v="4"/>
    <x v="2"/>
    <x v="11"/>
    <n v="48"/>
    <n v="22.0625"/>
    <n v="262"/>
    <n v="5739.5"/>
  </r>
  <r>
    <x v="4"/>
    <x v="3"/>
    <x v="0"/>
    <n v="36"/>
    <n v="23.75"/>
    <n v="180"/>
    <n v="4267.5"/>
  </r>
  <r>
    <x v="5"/>
    <x v="0"/>
    <x v="0"/>
    <n v="49"/>
    <n v="25.051020408163261"/>
    <n v="289"/>
    <n v="7017.5"/>
  </r>
  <r>
    <x v="5"/>
    <x v="0"/>
    <x v="1"/>
    <n v="51"/>
    <n v="21.058823529411761"/>
    <n v="283"/>
    <n v="6029"/>
  </r>
  <r>
    <x v="5"/>
    <x v="0"/>
    <x v="2"/>
    <n v="43"/>
    <n v="22.61627906976744"/>
    <n v="215"/>
    <n v="4975"/>
  </r>
  <r>
    <x v="5"/>
    <x v="0"/>
    <x v="3"/>
    <n v="49"/>
    <n v="20.887755102040821"/>
    <n v="280"/>
    <n v="5484.5"/>
  </r>
  <r>
    <x v="5"/>
    <x v="0"/>
    <x v="4"/>
    <n v="43"/>
    <n v="21.779069767441861"/>
    <n v="236"/>
    <n v="5069.5"/>
  </r>
  <r>
    <x v="5"/>
    <x v="0"/>
    <x v="5"/>
    <n v="39"/>
    <n v="22.30769230769231"/>
    <n v="222"/>
    <n v="4923"/>
  </r>
  <r>
    <x v="5"/>
    <x v="0"/>
    <x v="6"/>
    <n v="38"/>
    <n v="25.013157894736839"/>
    <n v="187"/>
    <n v="4829"/>
  </r>
  <r>
    <x v="5"/>
    <x v="0"/>
    <x v="7"/>
    <n v="36"/>
    <n v="21.25"/>
    <n v="222"/>
    <n v="4884"/>
  </r>
  <r>
    <x v="5"/>
    <x v="0"/>
    <x v="8"/>
    <n v="40"/>
    <n v="27.837499999999999"/>
    <n v="185"/>
    <n v="5224"/>
  </r>
  <r>
    <x v="5"/>
    <x v="0"/>
    <x v="9"/>
    <n v="27"/>
    <n v="23.333333333333329"/>
    <n v="136"/>
    <n v="3252.5"/>
  </r>
  <r>
    <x v="5"/>
    <x v="0"/>
    <x v="10"/>
    <n v="36"/>
    <n v="20.416666666666671"/>
    <n v="187"/>
    <n v="3953"/>
  </r>
  <r>
    <x v="5"/>
    <x v="0"/>
    <x v="11"/>
    <n v="35"/>
    <n v="23.042857142857141"/>
    <n v="206"/>
    <n v="4933"/>
  </r>
  <r>
    <x v="5"/>
    <x v="1"/>
    <x v="0"/>
    <n v="37"/>
    <n v="21.743243243243239"/>
    <n v="235"/>
    <n v="5079.5"/>
  </r>
  <r>
    <x v="5"/>
    <x v="1"/>
    <x v="1"/>
    <n v="41"/>
    <n v="23.36585365853659"/>
    <n v="214"/>
    <n v="4700"/>
  </r>
  <r>
    <x v="5"/>
    <x v="1"/>
    <x v="2"/>
    <n v="30"/>
    <n v="23.35"/>
    <n v="183"/>
    <n v="4291.5"/>
  </r>
  <r>
    <x v="5"/>
    <x v="1"/>
    <x v="3"/>
    <n v="52"/>
    <n v="23.49038461538462"/>
    <n v="280"/>
    <n v="6410"/>
  </r>
  <r>
    <x v="5"/>
    <x v="1"/>
    <x v="4"/>
    <n v="39"/>
    <n v="24.73076923076923"/>
    <n v="219"/>
    <n v="5136"/>
  </r>
  <r>
    <x v="5"/>
    <x v="1"/>
    <x v="5"/>
    <n v="39"/>
    <n v="22.65384615384615"/>
    <n v="221"/>
    <n v="5029"/>
  </r>
  <r>
    <x v="5"/>
    <x v="1"/>
    <x v="6"/>
    <n v="39"/>
    <n v="22"/>
    <n v="240"/>
    <n v="5236.5"/>
  </r>
  <r>
    <x v="5"/>
    <x v="1"/>
    <x v="7"/>
    <n v="50"/>
    <n v="24.08"/>
    <n v="315"/>
    <n v="7290"/>
  </r>
  <r>
    <x v="5"/>
    <x v="1"/>
    <x v="8"/>
    <n v="33"/>
    <n v="21.09090909090909"/>
    <n v="182"/>
    <n v="3983.5"/>
  </r>
  <r>
    <x v="5"/>
    <x v="1"/>
    <x v="9"/>
    <n v="42"/>
    <n v="21.714285714285719"/>
    <n v="246"/>
    <n v="5212.5"/>
  </r>
  <r>
    <x v="5"/>
    <x v="1"/>
    <x v="10"/>
    <n v="36"/>
    <n v="23.291666666666671"/>
    <n v="198"/>
    <n v="4569"/>
  </r>
  <r>
    <x v="5"/>
    <x v="1"/>
    <x v="11"/>
    <n v="45"/>
    <n v="25.866666666666671"/>
    <n v="237"/>
    <n v="6493.5"/>
  </r>
  <r>
    <x v="5"/>
    <x v="2"/>
    <x v="0"/>
    <n v="49"/>
    <n v="26.795918367346939"/>
    <n v="251"/>
    <n v="6529"/>
  </r>
  <r>
    <x v="5"/>
    <x v="2"/>
    <x v="1"/>
    <n v="44"/>
    <n v="18.5"/>
    <n v="238"/>
    <n v="4461.5"/>
  </r>
  <r>
    <x v="5"/>
    <x v="2"/>
    <x v="2"/>
    <n v="53"/>
    <n v="24.188679245283019"/>
    <n v="286"/>
    <n v="6981.5"/>
  </r>
  <r>
    <x v="5"/>
    <x v="2"/>
    <x v="3"/>
    <n v="47"/>
    <n v="26.957446808510639"/>
    <n v="292"/>
    <n v="7892"/>
  </r>
  <r>
    <x v="5"/>
    <x v="2"/>
    <x v="4"/>
    <n v="45"/>
    <n v="22.7"/>
    <n v="229"/>
    <n v="5229.5"/>
  </r>
  <r>
    <x v="5"/>
    <x v="2"/>
    <x v="5"/>
    <n v="39"/>
    <n v="25.84615384615385"/>
    <n v="241"/>
    <n v="5978"/>
  </r>
  <r>
    <x v="5"/>
    <x v="2"/>
    <x v="6"/>
    <n v="44"/>
    <n v="22.25"/>
    <n v="238"/>
    <n v="5103.5"/>
  </r>
  <r>
    <x v="5"/>
    <x v="2"/>
    <x v="7"/>
    <n v="54"/>
    <n v="21.416666666666671"/>
    <n v="268"/>
    <n v="6042.5"/>
  </r>
  <r>
    <x v="5"/>
    <x v="2"/>
    <x v="8"/>
    <n v="35"/>
    <n v="23.857142857142861"/>
    <n v="204"/>
    <n v="4822.5"/>
  </r>
  <r>
    <x v="5"/>
    <x v="2"/>
    <x v="9"/>
    <n v="38"/>
    <n v="23.94736842105263"/>
    <n v="206"/>
    <n v="4585"/>
  </r>
  <r>
    <x v="5"/>
    <x v="2"/>
    <x v="10"/>
    <n v="45"/>
    <n v="25.233333333333331"/>
    <n v="201"/>
    <n v="5043"/>
  </r>
  <r>
    <x v="5"/>
    <x v="2"/>
    <x v="11"/>
    <n v="43"/>
    <n v="21.88372093023256"/>
    <n v="280"/>
    <n v="5951"/>
  </r>
  <r>
    <x v="5"/>
    <x v="3"/>
    <x v="0"/>
    <n v="20"/>
    <n v="24.274999999999999"/>
    <n v="110"/>
    <n v="2686"/>
  </r>
  <r>
    <x v="6"/>
    <x v="0"/>
    <x v="0"/>
    <n v="56"/>
    <n v="21.928571428571431"/>
    <n v="309"/>
    <n v="6580.5"/>
  </r>
  <r>
    <x v="6"/>
    <x v="0"/>
    <x v="1"/>
    <n v="37"/>
    <n v="19.918918918918919"/>
    <n v="213"/>
    <n v="4209"/>
  </r>
  <r>
    <x v="6"/>
    <x v="0"/>
    <x v="2"/>
    <n v="53"/>
    <n v="21.245283018867919"/>
    <n v="287"/>
    <n v="6215.5"/>
  </r>
  <r>
    <x v="6"/>
    <x v="0"/>
    <x v="3"/>
    <n v="41"/>
    <n v="19.04878048780488"/>
    <n v="230"/>
    <n v="4796.5"/>
  </r>
  <r>
    <x v="6"/>
    <x v="0"/>
    <x v="4"/>
    <n v="40"/>
    <n v="21.5"/>
    <n v="212"/>
    <n v="4700.5"/>
  </r>
  <r>
    <x v="6"/>
    <x v="0"/>
    <x v="5"/>
    <n v="39"/>
    <n v="20.80769230769231"/>
    <n v="192"/>
    <n v="3895.5"/>
  </r>
  <r>
    <x v="6"/>
    <x v="0"/>
    <x v="6"/>
    <n v="45"/>
    <n v="21.233333333333331"/>
    <n v="261"/>
    <n v="5406"/>
  </r>
  <r>
    <x v="6"/>
    <x v="0"/>
    <x v="7"/>
    <n v="36"/>
    <n v="22"/>
    <n v="176"/>
    <n v="4043.5"/>
  </r>
  <r>
    <x v="6"/>
    <x v="0"/>
    <x v="8"/>
    <n v="44"/>
    <n v="23.98863636363636"/>
    <n v="227"/>
    <n v="5638"/>
  </r>
  <r>
    <x v="6"/>
    <x v="0"/>
    <x v="9"/>
    <n v="44"/>
    <n v="18.73863636363636"/>
    <n v="262"/>
    <n v="5039"/>
  </r>
  <r>
    <x v="6"/>
    <x v="0"/>
    <x v="10"/>
    <n v="43"/>
    <n v="18.779069767441861"/>
    <n v="238"/>
    <n v="4794.5"/>
  </r>
  <r>
    <x v="6"/>
    <x v="0"/>
    <x v="11"/>
    <n v="28"/>
    <n v="20.642857142857139"/>
    <n v="154"/>
    <n v="3191"/>
  </r>
  <r>
    <x v="6"/>
    <x v="1"/>
    <x v="0"/>
    <n v="51"/>
    <n v="22.794117647058819"/>
    <n v="304"/>
    <n v="7005.5"/>
  </r>
  <r>
    <x v="6"/>
    <x v="1"/>
    <x v="1"/>
    <n v="32"/>
    <n v="23.328125"/>
    <n v="195"/>
    <n v="4515"/>
  </r>
  <r>
    <x v="6"/>
    <x v="1"/>
    <x v="2"/>
    <n v="35"/>
    <n v="20.857142857142861"/>
    <n v="191"/>
    <n v="3880"/>
  </r>
  <r>
    <x v="6"/>
    <x v="1"/>
    <x v="3"/>
    <n v="40"/>
    <n v="21.8"/>
    <n v="211"/>
    <n v="4962.5"/>
  </r>
  <r>
    <x v="6"/>
    <x v="1"/>
    <x v="4"/>
    <n v="41"/>
    <n v="20.439024390243901"/>
    <n v="194"/>
    <n v="4135"/>
  </r>
  <r>
    <x v="6"/>
    <x v="1"/>
    <x v="5"/>
    <n v="33"/>
    <n v="23.13636363636364"/>
    <n v="186"/>
    <n v="4446"/>
  </r>
  <r>
    <x v="6"/>
    <x v="1"/>
    <x v="6"/>
    <n v="53"/>
    <n v="21.330188679245278"/>
    <n v="270"/>
    <n v="5914.5"/>
  </r>
  <r>
    <x v="6"/>
    <x v="1"/>
    <x v="7"/>
    <n v="44"/>
    <n v="23.44318181818182"/>
    <n v="238"/>
    <n v="5457.5"/>
  </r>
  <r>
    <x v="6"/>
    <x v="1"/>
    <x v="8"/>
    <n v="49"/>
    <n v="22.938775510204081"/>
    <n v="277"/>
    <n v="6197"/>
  </r>
  <r>
    <x v="6"/>
    <x v="1"/>
    <x v="9"/>
    <n v="42"/>
    <n v="22.535714285714281"/>
    <n v="233"/>
    <n v="5359"/>
  </r>
  <r>
    <x v="6"/>
    <x v="1"/>
    <x v="10"/>
    <n v="43"/>
    <n v="21.255813953488371"/>
    <n v="241"/>
    <n v="5072"/>
  </r>
  <r>
    <x v="6"/>
    <x v="1"/>
    <x v="11"/>
    <n v="52"/>
    <n v="19.74038461538462"/>
    <n v="303"/>
    <n v="5821.5"/>
  </r>
  <r>
    <x v="6"/>
    <x v="2"/>
    <x v="0"/>
    <n v="38"/>
    <n v="22.131578947368421"/>
    <n v="182"/>
    <n v="3916"/>
  </r>
  <r>
    <x v="6"/>
    <x v="2"/>
    <x v="1"/>
    <n v="33"/>
    <n v="24.45454545454545"/>
    <n v="170"/>
    <n v="4312"/>
  </r>
  <r>
    <x v="6"/>
    <x v="2"/>
    <x v="2"/>
    <n v="37"/>
    <n v="22.756756756756761"/>
    <n v="245"/>
    <n v="5776"/>
  </r>
  <r>
    <x v="6"/>
    <x v="2"/>
    <x v="3"/>
    <n v="28"/>
    <n v="19.785714285714281"/>
    <n v="178"/>
    <n v="3488"/>
  </r>
  <r>
    <x v="6"/>
    <x v="2"/>
    <x v="4"/>
    <n v="42"/>
    <n v="22.464285714285719"/>
    <n v="229"/>
    <n v="5019.5"/>
  </r>
  <r>
    <x v="6"/>
    <x v="2"/>
    <x v="5"/>
    <n v="32"/>
    <n v="21.171875"/>
    <n v="180"/>
    <n v="3940.5"/>
  </r>
  <r>
    <x v="6"/>
    <x v="2"/>
    <x v="6"/>
    <n v="44"/>
    <n v="17.10227272727273"/>
    <n v="250"/>
    <n v="4062.5"/>
  </r>
  <r>
    <x v="6"/>
    <x v="2"/>
    <x v="7"/>
    <n v="34"/>
    <n v="21.235294117647062"/>
    <n v="175"/>
    <n v="3744.5"/>
  </r>
  <r>
    <x v="6"/>
    <x v="2"/>
    <x v="8"/>
    <n v="39"/>
    <n v="23.42307692307692"/>
    <n v="207"/>
    <n v="4894.5"/>
  </r>
  <r>
    <x v="6"/>
    <x v="2"/>
    <x v="9"/>
    <n v="43"/>
    <n v="20.244186046511629"/>
    <n v="227"/>
    <n v="4595.5"/>
  </r>
  <r>
    <x v="6"/>
    <x v="2"/>
    <x v="10"/>
    <n v="42"/>
    <n v="21.892857142857139"/>
    <n v="220"/>
    <n v="5105"/>
  </r>
  <r>
    <x v="6"/>
    <x v="2"/>
    <x v="11"/>
    <n v="59"/>
    <n v="21.118644067796609"/>
    <n v="344"/>
    <n v="7897"/>
  </r>
  <r>
    <x v="6"/>
    <x v="3"/>
    <x v="0"/>
    <n v="21"/>
    <n v="16.928571428571431"/>
    <n v="128"/>
    <n v="2086"/>
  </r>
  <r>
    <x v="7"/>
    <x v="0"/>
    <x v="0"/>
    <n v="41"/>
    <n v="24.756097560975611"/>
    <n v="247"/>
    <n v="6399.5"/>
  </r>
  <r>
    <x v="7"/>
    <x v="0"/>
    <x v="1"/>
    <n v="38"/>
    <n v="23.631578947368421"/>
    <n v="204"/>
    <n v="4776"/>
  </r>
  <r>
    <x v="7"/>
    <x v="0"/>
    <x v="2"/>
    <n v="43"/>
    <n v="23.767441860465119"/>
    <n v="232"/>
    <n v="5232.5"/>
  </r>
  <r>
    <x v="7"/>
    <x v="0"/>
    <x v="3"/>
    <n v="45"/>
    <n v="22.533333333333331"/>
    <n v="251"/>
    <n v="5810.5"/>
  </r>
  <r>
    <x v="7"/>
    <x v="0"/>
    <x v="4"/>
    <n v="41"/>
    <n v="24.609756097560979"/>
    <n v="174"/>
    <n v="4306.5"/>
  </r>
  <r>
    <x v="7"/>
    <x v="0"/>
    <x v="5"/>
    <n v="40"/>
    <n v="26.15"/>
    <n v="247"/>
    <n v="6474.5"/>
  </r>
  <r>
    <x v="7"/>
    <x v="0"/>
    <x v="6"/>
    <n v="35"/>
    <n v="22.74285714285714"/>
    <n v="200"/>
    <n v="4577.5"/>
  </r>
  <r>
    <x v="7"/>
    <x v="0"/>
    <x v="7"/>
    <n v="49"/>
    <n v="21.132653061224492"/>
    <n v="277"/>
    <n v="5577.5"/>
  </r>
  <r>
    <x v="7"/>
    <x v="0"/>
    <x v="8"/>
    <n v="48"/>
    <n v="22"/>
    <n v="270"/>
    <n v="5956.5"/>
  </r>
  <r>
    <x v="7"/>
    <x v="0"/>
    <x v="9"/>
    <n v="43"/>
    <n v="22.337209302325579"/>
    <n v="248"/>
    <n v="5171.5"/>
  </r>
  <r>
    <x v="7"/>
    <x v="0"/>
    <x v="10"/>
    <n v="27"/>
    <n v="23.055555555555561"/>
    <n v="152"/>
    <n v="3550"/>
  </r>
  <r>
    <x v="7"/>
    <x v="0"/>
    <x v="11"/>
    <n v="39"/>
    <n v="21.61538461538462"/>
    <n v="215"/>
    <n v="4843"/>
  </r>
  <r>
    <x v="7"/>
    <x v="1"/>
    <x v="0"/>
    <n v="50"/>
    <n v="21.32"/>
    <n v="276"/>
    <n v="5821.5"/>
  </r>
  <r>
    <x v="7"/>
    <x v="1"/>
    <x v="1"/>
    <n v="33"/>
    <n v="22.04545454545455"/>
    <n v="182"/>
    <n v="3818.5"/>
  </r>
  <r>
    <x v="7"/>
    <x v="1"/>
    <x v="2"/>
    <n v="39"/>
    <n v="23.88461538461538"/>
    <n v="224"/>
    <n v="5369.5"/>
  </r>
  <r>
    <x v="7"/>
    <x v="1"/>
    <x v="3"/>
    <n v="32"/>
    <n v="23"/>
    <n v="159"/>
    <n v="3475.5"/>
  </r>
  <r>
    <x v="7"/>
    <x v="1"/>
    <x v="4"/>
    <n v="41"/>
    <n v="24.646341463414629"/>
    <n v="243"/>
    <n v="6060"/>
  </r>
  <r>
    <x v="7"/>
    <x v="1"/>
    <x v="5"/>
    <n v="44"/>
    <n v="22.48863636363636"/>
    <n v="247"/>
    <n v="5709.5"/>
  </r>
  <r>
    <x v="7"/>
    <x v="1"/>
    <x v="6"/>
    <n v="35"/>
    <n v="25.31428571428571"/>
    <n v="194"/>
    <n v="4808.5"/>
  </r>
  <r>
    <x v="7"/>
    <x v="1"/>
    <x v="7"/>
    <n v="33"/>
    <n v="23.18181818181818"/>
    <n v="209"/>
    <n v="5074"/>
  </r>
  <r>
    <x v="7"/>
    <x v="1"/>
    <x v="8"/>
    <n v="33"/>
    <n v="23.45454545454545"/>
    <n v="158"/>
    <n v="3728.5"/>
  </r>
  <r>
    <x v="7"/>
    <x v="1"/>
    <x v="9"/>
    <n v="35"/>
    <n v="22.957142857142859"/>
    <n v="182"/>
    <n v="4072"/>
  </r>
  <r>
    <x v="7"/>
    <x v="1"/>
    <x v="10"/>
    <n v="32"/>
    <n v="21.875"/>
    <n v="178"/>
    <n v="4152.5"/>
  </r>
  <r>
    <x v="7"/>
    <x v="1"/>
    <x v="11"/>
    <n v="38"/>
    <n v="22.881578947368421"/>
    <n v="180"/>
    <n v="4134"/>
  </r>
  <r>
    <x v="7"/>
    <x v="2"/>
    <x v="0"/>
    <n v="34"/>
    <n v="24.32352941176471"/>
    <n v="190"/>
    <n v="4467.5"/>
  </r>
  <r>
    <x v="7"/>
    <x v="2"/>
    <x v="1"/>
    <n v="41"/>
    <n v="23.585365853658541"/>
    <n v="219"/>
    <n v="4981.5"/>
  </r>
  <r>
    <x v="7"/>
    <x v="2"/>
    <x v="2"/>
    <n v="44"/>
    <n v="21.39772727272727"/>
    <n v="238"/>
    <n v="5154.5"/>
  </r>
  <r>
    <x v="7"/>
    <x v="2"/>
    <x v="3"/>
    <n v="38"/>
    <n v="25.210526315789469"/>
    <n v="245"/>
    <n v="6319"/>
  </r>
  <r>
    <x v="7"/>
    <x v="2"/>
    <x v="4"/>
    <n v="43"/>
    <n v="23.034883720930232"/>
    <n v="251"/>
    <n v="5476"/>
  </r>
  <r>
    <x v="7"/>
    <x v="2"/>
    <x v="5"/>
    <n v="42"/>
    <n v="23.178571428571431"/>
    <n v="231"/>
    <n v="5068.5"/>
  </r>
  <r>
    <x v="7"/>
    <x v="2"/>
    <x v="6"/>
    <n v="37"/>
    <n v="18.5"/>
    <n v="200"/>
    <n v="3650.5"/>
  </r>
  <r>
    <x v="7"/>
    <x v="2"/>
    <x v="7"/>
    <n v="36"/>
    <n v="23.458333333333329"/>
    <n v="183"/>
    <n v="4224"/>
  </r>
  <r>
    <x v="7"/>
    <x v="2"/>
    <x v="8"/>
    <n v="42"/>
    <n v="21.964285714285719"/>
    <n v="214"/>
    <n v="4749.5"/>
  </r>
  <r>
    <x v="7"/>
    <x v="2"/>
    <x v="9"/>
    <n v="46"/>
    <n v="25.34782608695652"/>
    <n v="241"/>
    <n v="5969"/>
  </r>
  <r>
    <x v="7"/>
    <x v="2"/>
    <x v="10"/>
    <n v="36"/>
    <n v="22.791666666666671"/>
    <n v="219"/>
    <n v="5004"/>
  </r>
  <r>
    <x v="7"/>
    <x v="2"/>
    <x v="11"/>
    <n v="48"/>
    <n v="23.125"/>
    <n v="276"/>
    <n v="6469.5"/>
  </r>
  <r>
    <x v="7"/>
    <x v="3"/>
    <x v="0"/>
    <n v="20"/>
    <n v="20.6"/>
    <n v="87"/>
    <n v="173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x v="0"/>
    <x v="0"/>
    <n v="128"/>
    <n v="25.05078125"/>
    <n v="796"/>
    <n v="19568"/>
  </r>
  <r>
    <x v="0"/>
    <x v="0"/>
    <x v="1"/>
    <n v="98"/>
    <n v="24.591836734693882"/>
    <n v="538"/>
    <n v="13325"/>
  </r>
  <r>
    <x v="0"/>
    <x v="0"/>
    <x v="2"/>
    <n v="115"/>
    <n v="22.30869565217391"/>
    <n v="685"/>
    <n v="15317"/>
  </r>
  <r>
    <x v="0"/>
    <x v="0"/>
    <x v="3"/>
    <n v="113"/>
    <n v="21.380530973451329"/>
    <n v="550"/>
    <n v="11684"/>
  </r>
  <r>
    <x v="0"/>
    <x v="0"/>
    <x v="4"/>
    <n v="115"/>
    <n v="24.265217391304351"/>
    <n v="616"/>
    <n v="14895.5"/>
  </r>
  <r>
    <x v="0"/>
    <x v="0"/>
    <x v="5"/>
    <n v="101"/>
    <n v="24.17326732673267"/>
    <n v="577"/>
    <n v="14220.5"/>
  </r>
  <r>
    <x v="0"/>
    <x v="0"/>
    <x v="6"/>
    <n v="117"/>
    <n v="22.064102564102569"/>
    <n v="639"/>
    <n v="14403"/>
  </r>
  <r>
    <x v="0"/>
    <x v="0"/>
    <x v="7"/>
    <n v="113"/>
    <n v="21.287610619469032"/>
    <n v="612"/>
    <n v="13162.5"/>
  </r>
  <r>
    <x v="0"/>
    <x v="0"/>
    <x v="8"/>
    <n v="121"/>
    <n v="25.144628099173548"/>
    <n v="725"/>
    <n v="18353.5"/>
  </r>
  <r>
    <x v="0"/>
    <x v="0"/>
    <x v="9"/>
    <n v="94"/>
    <n v="22.904255319148941"/>
    <n v="531"/>
    <n v="11995.5"/>
  </r>
  <r>
    <x v="0"/>
    <x v="0"/>
    <x v="10"/>
    <n v="116"/>
    <n v="22.961206896551719"/>
    <n v="627"/>
    <n v="14626.5"/>
  </r>
  <r>
    <x v="0"/>
    <x v="0"/>
    <x v="11"/>
    <n v="92"/>
    <n v="23.39130434782609"/>
    <n v="533"/>
    <n v="12670"/>
  </r>
  <r>
    <x v="0"/>
    <x v="1"/>
    <x v="0"/>
    <n v="124"/>
    <n v="22.16532258064516"/>
    <n v="689"/>
    <n v="15727"/>
  </r>
  <r>
    <x v="0"/>
    <x v="1"/>
    <x v="1"/>
    <n v="123"/>
    <n v="23.426829268292678"/>
    <n v="659"/>
    <n v="15530.5"/>
  </r>
  <r>
    <x v="0"/>
    <x v="1"/>
    <x v="2"/>
    <n v="105"/>
    <n v="22.528571428571428"/>
    <n v="604"/>
    <n v="13350.5"/>
  </r>
  <r>
    <x v="0"/>
    <x v="1"/>
    <x v="3"/>
    <n v="93"/>
    <n v="24.20967741935484"/>
    <n v="489"/>
    <n v="11754"/>
  </r>
  <r>
    <x v="0"/>
    <x v="1"/>
    <x v="4"/>
    <n v="123"/>
    <n v="22.975609756097558"/>
    <n v="690"/>
    <n v="16179"/>
  </r>
  <r>
    <x v="0"/>
    <x v="1"/>
    <x v="5"/>
    <n v="113"/>
    <n v="23.17256637168142"/>
    <n v="621"/>
    <n v="14106"/>
  </r>
  <r>
    <x v="0"/>
    <x v="1"/>
    <x v="6"/>
    <n v="123"/>
    <n v="22.81707317073171"/>
    <n v="685"/>
    <n v="15453.5"/>
  </r>
  <r>
    <x v="0"/>
    <x v="1"/>
    <x v="7"/>
    <n v="100"/>
    <n v="24.17"/>
    <n v="515"/>
    <n v="12188.5"/>
  </r>
  <r>
    <x v="0"/>
    <x v="1"/>
    <x v="8"/>
    <n v="109"/>
    <n v="24.155963302752291"/>
    <n v="604"/>
    <n v="14486"/>
  </r>
  <r>
    <x v="0"/>
    <x v="1"/>
    <x v="9"/>
    <n v="92"/>
    <n v="24.288043478260871"/>
    <n v="485"/>
    <n v="11647"/>
  </r>
  <r>
    <x v="0"/>
    <x v="1"/>
    <x v="10"/>
    <n v="98"/>
    <n v="24.33163265306122"/>
    <n v="530"/>
    <n v="13010.5"/>
  </r>
  <r>
    <x v="0"/>
    <x v="1"/>
    <x v="11"/>
    <n v="115"/>
    <n v="24.395652173913039"/>
    <n v="611"/>
    <n v="14929"/>
  </r>
  <r>
    <x v="0"/>
    <x v="2"/>
    <x v="0"/>
    <n v="129"/>
    <n v="24.174418604651159"/>
    <n v="681"/>
    <n v="16801.5"/>
  </r>
  <r>
    <x v="0"/>
    <x v="2"/>
    <x v="1"/>
    <n v="101"/>
    <n v="23.311881188118811"/>
    <n v="556"/>
    <n v="12737"/>
  </r>
  <r>
    <x v="0"/>
    <x v="2"/>
    <x v="2"/>
    <n v="107"/>
    <n v="24.303738317757009"/>
    <n v="567"/>
    <n v="13581"/>
  </r>
  <r>
    <x v="0"/>
    <x v="2"/>
    <x v="3"/>
    <n v="96"/>
    <n v="24.390625"/>
    <n v="619"/>
    <n v="15375.5"/>
  </r>
  <r>
    <x v="0"/>
    <x v="2"/>
    <x v="4"/>
    <n v="123"/>
    <n v="22.792682926829269"/>
    <n v="668"/>
    <n v="15686.5"/>
  </r>
  <r>
    <x v="0"/>
    <x v="2"/>
    <x v="5"/>
    <n v="129"/>
    <n v="24.151162790697679"/>
    <n v="771"/>
    <n v="18816"/>
  </r>
  <r>
    <x v="0"/>
    <x v="2"/>
    <x v="6"/>
    <n v="116"/>
    <n v="23.297413793103448"/>
    <n v="660"/>
    <n v="14974.5"/>
  </r>
  <r>
    <x v="0"/>
    <x v="2"/>
    <x v="7"/>
    <n v="121"/>
    <n v="24.028925619834709"/>
    <n v="653"/>
    <n v="16120"/>
  </r>
  <r>
    <x v="0"/>
    <x v="2"/>
    <x v="8"/>
    <n v="118"/>
    <n v="24.372881355932201"/>
    <n v="661"/>
    <n v="15833"/>
  </r>
  <r>
    <x v="0"/>
    <x v="2"/>
    <x v="9"/>
    <n v="131"/>
    <n v="23.423664122137399"/>
    <n v="692"/>
    <n v="16016.5"/>
  </r>
  <r>
    <x v="0"/>
    <x v="2"/>
    <x v="10"/>
    <n v="106"/>
    <n v="24.188679245283019"/>
    <n v="580"/>
    <n v="14298.5"/>
  </r>
  <r>
    <x v="0"/>
    <x v="2"/>
    <x v="11"/>
    <n v="125"/>
    <n v="23.324000000000002"/>
    <n v="734"/>
    <n v="17218"/>
  </r>
  <r>
    <x v="0"/>
    <x v="3"/>
    <x v="0"/>
    <n v="60"/>
    <n v="24.324999999999999"/>
    <n v="327"/>
    <n v="7669.5"/>
  </r>
  <r>
    <x v="1"/>
    <x v="0"/>
    <x v="0"/>
    <n v="125"/>
    <n v="24.103999999999999"/>
    <n v="681"/>
    <n v="16684.5"/>
  </r>
  <r>
    <x v="1"/>
    <x v="0"/>
    <x v="1"/>
    <n v="104"/>
    <n v="22.94230769230769"/>
    <n v="629"/>
    <n v="14474.5"/>
  </r>
  <r>
    <x v="1"/>
    <x v="0"/>
    <x v="2"/>
    <n v="104"/>
    <n v="23.20192307692308"/>
    <n v="511"/>
    <n v="11847.5"/>
  </r>
  <r>
    <x v="1"/>
    <x v="0"/>
    <x v="3"/>
    <n v="117"/>
    <n v="22.76923076923077"/>
    <n v="660"/>
    <n v="15160.5"/>
  </r>
  <r>
    <x v="1"/>
    <x v="0"/>
    <x v="4"/>
    <n v="100"/>
    <n v="22.324999999999999"/>
    <n v="578"/>
    <n v="13040.5"/>
  </r>
  <r>
    <x v="1"/>
    <x v="0"/>
    <x v="5"/>
    <n v="112"/>
    <n v="23.522321428571431"/>
    <n v="648"/>
    <n v="15457.5"/>
  </r>
  <r>
    <x v="1"/>
    <x v="0"/>
    <x v="6"/>
    <n v="101"/>
    <n v="22.881188118811881"/>
    <n v="577"/>
    <n v="13203.5"/>
  </r>
  <r>
    <x v="1"/>
    <x v="0"/>
    <x v="7"/>
    <n v="125"/>
    <n v="22.712"/>
    <n v="715"/>
    <n v="16055"/>
  </r>
  <r>
    <x v="1"/>
    <x v="0"/>
    <x v="8"/>
    <n v="103"/>
    <n v="25.33009708737864"/>
    <n v="546"/>
    <n v="14005.5"/>
  </r>
  <r>
    <x v="1"/>
    <x v="0"/>
    <x v="9"/>
    <n v="104"/>
    <n v="22.45192307692308"/>
    <n v="602"/>
    <n v="13561"/>
  </r>
  <r>
    <x v="1"/>
    <x v="0"/>
    <x v="10"/>
    <n v="103"/>
    <n v="23.49514563106796"/>
    <n v="535"/>
    <n v="13061"/>
  </r>
  <r>
    <x v="1"/>
    <x v="0"/>
    <x v="11"/>
    <n v="99"/>
    <n v="21.36363636363636"/>
    <n v="591"/>
    <n v="12900"/>
  </r>
  <r>
    <x v="1"/>
    <x v="1"/>
    <x v="0"/>
    <n v="122"/>
    <n v="23.04918032786885"/>
    <n v="716"/>
    <n v="16223.5"/>
  </r>
  <r>
    <x v="1"/>
    <x v="1"/>
    <x v="1"/>
    <n v="92"/>
    <n v="22.934782608695649"/>
    <n v="521"/>
    <n v="12250"/>
  </r>
  <r>
    <x v="1"/>
    <x v="1"/>
    <x v="2"/>
    <n v="90"/>
    <n v="24.9"/>
    <n v="529"/>
    <n v="13113.5"/>
  </r>
  <r>
    <x v="1"/>
    <x v="1"/>
    <x v="3"/>
    <n v="111"/>
    <n v="24.418918918918919"/>
    <n v="614"/>
    <n v="14860"/>
  </r>
  <r>
    <x v="1"/>
    <x v="1"/>
    <x v="4"/>
    <n v="89"/>
    <n v="22.662921348314612"/>
    <n v="497"/>
    <n v="11512"/>
  </r>
  <r>
    <x v="1"/>
    <x v="1"/>
    <x v="5"/>
    <n v="110"/>
    <n v="22.686363636363641"/>
    <n v="636"/>
    <n v="14694"/>
  </r>
  <r>
    <x v="1"/>
    <x v="1"/>
    <x v="6"/>
    <n v="111"/>
    <n v="23.527027027027032"/>
    <n v="592"/>
    <n v="13655"/>
  </r>
  <r>
    <x v="1"/>
    <x v="1"/>
    <x v="7"/>
    <n v="112"/>
    <n v="23.575892857142861"/>
    <n v="627"/>
    <n v="14331"/>
  </r>
  <r>
    <x v="1"/>
    <x v="1"/>
    <x v="8"/>
    <n v="115"/>
    <n v="22.556521739130439"/>
    <n v="629"/>
    <n v="14315.5"/>
  </r>
  <r>
    <x v="1"/>
    <x v="1"/>
    <x v="9"/>
    <n v="97"/>
    <n v="24.592783505154639"/>
    <n v="608"/>
    <n v="14695"/>
  </r>
  <r>
    <x v="1"/>
    <x v="1"/>
    <x v="10"/>
    <n v="107"/>
    <n v="22.66355140186916"/>
    <n v="587"/>
    <n v="13735"/>
  </r>
  <r>
    <x v="1"/>
    <x v="1"/>
    <x v="11"/>
    <n v="96"/>
    <n v="22.40625"/>
    <n v="484"/>
    <n v="10895"/>
  </r>
  <r>
    <x v="1"/>
    <x v="2"/>
    <x v="0"/>
    <n v="115"/>
    <n v="24.8"/>
    <n v="638"/>
    <n v="15592"/>
  </r>
  <r>
    <x v="1"/>
    <x v="2"/>
    <x v="1"/>
    <n v="114"/>
    <n v="22.671052631578949"/>
    <n v="531"/>
    <n v="12070.5"/>
  </r>
  <r>
    <x v="1"/>
    <x v="2"/>
    <x v="2"/>
    <n v="111"/>
    <n v="23.36486486486486"/>
    <n v="651"/>
    <n v="15288"/>
  </r>
  <r>
    <x v="1"/>
    <x v="2"/>
    <x v="3"/>
    <n v="114"/>
    <n v="24.289473684210531"/>
    <n v="653"/>
    <n v="16541.5"/>
  </r>
  <r>
    <x v="1"/>
    <x v="2"/>
    <x v="4"/>
    <n v="102"/>
    <n v="23.191176470588239"/>
    <n v="580"/>
    <n v="13184"/>
  </r>
  <r>
    <x v="1"/>
    <x v="2"/>
    <x v="5"/>
    <n v="95"/>
    <n v="21.65789473684211"/>
    <n v="486"/>
    <n v="10554"/>
  </r>
  <r>
    <x v="1"/>
    <x v="2"/>
    <x v="6"/>
    <n v="102"/>
    <n v="23"/>
    <n v="568"/>
    <n v="13037"/>
  </r>
  <r>
    <x v="1"/>
    <x v="2"/>
    <x v="7"/>
    <n v="119"/>
    <n v="21.966386554621849"/>
    <n v="635"/>
    <n v="14149"/>
  </r>
  <r>
    <x v="1"/>
    <x v="2"/>
    <x v="8"/>
    <n v="105"/>
    <n v="23.142857142857139"/>
    <n v="556"/>
    <n v="13218.5"/>
  </r>
  <r>
    <x v="1"/>
    <x v="2"/>
    <x v="9"/>
    <n v="108"/>
    <n v="22.791666666666671"/>
    <n v="542"/>
    <n v="12007"/>
  </r>
  <r>
    <x v="1"/>
    <x v="2"/>
    <x v="10"/>
    <n v="111"/>
    <n v="23.716216216216221"/>
    <n v="579"/>
    <n v="14305.5"/>
  </r>
  <r>
    <x v="1"/>
    <x v="2"/>
    <x v="11"/>
    <n v="116"/>
    <n v="23.633620689655171"/>
    <n v="633"/>
    <n v="15136.5"/>
  </r>
  <r>
    <x v="1"/>
    <x v="3"/>
    <x v="0"/>
    <n v="66"/>
    <n v="23.61363636363636"/>
    <n v="354"/>
    <n v="8268"/>
  </r>
  <r>
    <x v="2"/>
    <x v="0"/>
    <x v="0"/>
    <n v="115"/>
    <n v="24.760869565217391"/>
    <n v="681"/>
    <n v="16659"/>
  </r>
  <r>
    <x v="2"/>
    <x v="0"/>
    <x v="1"/>
    <n v="111"/>
    <n v="22.824324324324319"/>
    <n v="650"/>
    <n v="15526"/>
  </r>
  <r>
    <x v="2"/>
    <x v="0"/>
    <x v="2"/>
    <n v="120"/>
    <n v="22.4"/>
    <n v="612"/>
    <n v="13831.5"/>
  </r>
  <r>
    <x v="2"/>
    <x v="0"/>
    <x v="3"/>
    <n v="104"/>
    <n v="22.63942307692308"/>
    <n v="597"/>
    <n v="13597.5"/>
  </r>
  <r>
    <x v="2"/>
    <x v="0"/>
    <x v="4"/>
    <n v="100"/>
    <n v="23.405000000000001"/>
    <n v="532"/>
    <n v="12411.5"/>
  </r>
  <r>
    <x v="2"/>
    <x v="0"/>
    <x v="5"/>
    <n v="108"/>
    <n v="22.597222222222221"/>
    <n v="593"/>
    <n v="12898"/>
  </r>
  <r>
    <x v="2"/>
    <x v="0"/>
    <x v="6"/>
    <n v="131"/>
    <n v="24.21374045801527"/>
    <n v="697"/>
    <n v="16865"/>
  </r>
  <r>
    <x v="2"/>
    <x v="0"/>
    <x v="7"/>
    <n v="93"/>
    <n v="22.258064516129028"/>
    <n v="523"/>
    <n v="12116"/>
  </r>
  <r>
    <x v="2"/>
    <x v="0"/>
    <x v="8"/>
    <n v="113"/>
    <n v="22.09734513274336"/>
    <n v="611"/>
    <n v="13754.5"/>
  </r>
  <r>
    <x v="2"/>
    <x v="0"/>
    <x v="9"/>
    <n v="105"/>
    <n v="23.028571428571428"/>
    <n v="574"/>
    <n v="12798.5"/>
  </r>
  <r>
    <x v="2"/>
    <x v="0"/>
    <x v="10"/>
    <n v="109"/>
    <n v="22.38073394495413"/>
    <n v="609"/>
    <n v="13569"/>
  </r>
  <r>
    <x v="2"/>
    <x v="0"/>
    <x v="11"/>
    <n v="96"/>
    <n v="24.28125"/>
    <n v="515"/>
    <n v="12631"/>
  </r>
  <r>
    <x v="2"/>
    <x v="1"/>
    <x v="0"/>
    <n v="116"/>
    <n v="24.03448275862069"/>
    <n v="695"/>
    <n v="16102"/>
  </r>
  <r>
    <x v="2"/>
    <x v="1"/>
    <x v="1"/>
    <n v="84"/>
    <n v="23.107142857142861"/>
    <n v="488"/>
    <n v="11434"/>
  </r>
  <r>
    <x v="2"/>
    <x v="1"/>
    <x v="2"/>
    <n v="95"/>
    <n v="23.03157894736842"/>
    <n v="528"/>
    <n v="12070.5"/>
  </r>
  <r>
    <x v="2"/>
    <x v="1"/>
    <x v="3"/>
    <n v="104"/>
    <n v="22.84134615384615"/>
    <n v="532"/>
    <n v="12291.5"/>
  </r>
  <r>
    <x v="2"/>
    <x v="1"/>
    <x v="4"/>
    <n v="106"/>
    <n v="23.254716981132081"/>
    <n v="562"/>
    <n v="12789.5"/>
  </r>
  <r>
    <x v="2"/>
    <x v="1"/>
    <x v="5"/>
    <n v="113"/>
    <n v="22.588495575221241"/>
    <n v="606"/>
    <n v="13674"/>
  </r>
  <r>
    <x v="2"/>
    <x v="1"/>
    <x v="6"/>
    <n v="122"/>
    <n v="24.942622950819668"/>
    <n v="663"/>
    <n v="16524"/>
  </r>
  <r>
    <x v="2"/>
    <x v="1"/>
    <x v="7"/>
    <n v="95"/>
    <n v="23.48947368421053"/>
    <n v="505"/>
    <n v="12072.5"/>
  </r>
  <r>
    <x v="2"/>
    <x v="1"/>
    <x v="8"/>
    <n v="95"/>
    <n v="23.36315789473684"/>
    <n v="520"/>
    <n v="12267.5"/>
  </r>
  <r>
    <x v="2"/>
    <x v="1"/>
    <x v="9"/>
    <n v="104"/>
    <n v="22.10576923076923"/>
    <n v="548"/>
    <n v="11980"/>
  </r>
  <r>
    <x v="2"/>
    <x v="1"/>
    <x v="10"/>
    <n v="85"/>
    <n v="21.482352941176469"/>
    <n v="482"/>
    <n v="10268.5"/>
  </r>
  <r>
    <x v="2"/>
    <x v="1"/>
    <x v="11"/>
    <n v="119"/>
    <n v="24.991596638655459"/>
    <n v="695"/>
    <n v="17197"/>
  </r>
  <r>
    <x v="2"/>
    <x v="2"/>
    <x v="0"/>
    <n v="119"/>
    <n v="23.45378151260504"/>
    <n v="688"/>
    <n v="15515"/>
  </r>
  <r>
    <x v="2"/>
    <x v="2"/>
    <x v="1"/>
    <n v="89"/>
    <n v="22.54494382022472"/>
    <n v="543"/>
    <n v="12337.5"/>
  </r>
  <r>
    <x v="2"/>
    <x v="2"/>
    <x v="2"/>
    <n v="118"/>
    <n v="22.898305084745761"/>
    <n v="619"/>
    <n v="13992.5"/>
  </r>
  <r>
    <x v="2"/>
    <x v="2"/>
    <x v="3"/>
    <n v="101"/>
    <n v="23.60891089108911"/>
    <n v="595"/>
    <n v="14354"/>
  </r>
  <r>
    <x v="2"/>
    <x v="2"/>
    <x v="4"/>
    <n v="120"/>
    <n v="24.387499999999999"/>
    <n v="626"/>
    <n v="14896"/>
  </r>
  <r>
    <x v="2"/>
    <x v="2"/>
    <x v="5"/>
    <n v="110"/>
    <n v="24.22727272727273"/>
    <n v="618"/>
    <n v="15351"/>
  </r>
  <r>
    <x v="2"/>
    <x v="2"/>
    <x v="6"/>
    <n v="116"/>
    <n v="21.293103448275861"/>
    <n v="627"/>
    <n v="13393.5"/>
  </r>
  <r>
    <x v="2"/>
    <x v="2"/>
    <x v="7"/>
    <n v="114"/>
    <n v="23.118421052631579"/>
    <n v="566"/>
    <n v="13093"/>
  </r>
  <r>
    <x v="2"/>
    <x v="2"/>
    <x v="8"/>
    <n v="105"/>
    <n v="25"/>
    <n v="522"/>
    <n v="13110"/>
  </r>
  <r>
    <x v="2"/>
    <x v="2"/>
    <x v="9"/>
    <n v="99"/>
    <n v="25.31818181818182"/>
    <n v="581"/>
    <n v="14713"/>
  </r>
  <r>
    <x v="2"/>
    <x v="2"/>
    <x v="10"/>
    <n v="115"/>
    <n v="24.486956521739131"/>
    <n v="638"/>
    <n v="15472"/>
  </r>
  <r>
    <x v="2"/>
    <x v="2"/>
    <x v="11"/>
    <n v="116"/>
    <n v="21.383620689655171"/>
    <n v="727"/>
    <n v="16112"/>
  </r>
  <r>
    <x v="2"/>
    <x v="3"/>
    <x v="0"/>
    <n v="76"/>
    <n v="23.809210526315791"/>
    <n v="409"/>
    <n v="96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x v="0"/>
    <x v="0"/>
    <x v="0"/>
    <n v="178"/>
    <n v="24.963483146067411"/>
    <n v="1016"/>
    <n v="25294"/>
  </r>
  <r>
    <x v="0"/>
    <x v="0"/>
    <x v="1"/>
    <n v="152"/>
    <n v="24.026315789473681"/>
    <n v="871"/>
    <n v="21581"/>
  </r>
  <r>
    <x v="0"/>
    <x v="0"/>
    <x v="2"/>
    <n v="161"/>
    <n v="23.493788819875771"/>
    <n v="887"/>
    <n v="20998"/>
  </r>
  <r>
    <x v="0"/>
    <x v="0"/>
    <x v="3"/>
    <n v="166"/>
    <n v="21.743975903614459"/>
    <n v="861"/>
    <n v="18703.5"/>
  </r>
  <r>
    <x v="0"/>
    <x v="0"/>
    <x v="4"/>
    <n v="138"/>
    <n v="23.695652173913039"/>
    <n v="741"/>
    <n v="17683.5"/>
  </r>
  <r>
    <x v="0"/>
    <x v="0"/>
    <x v="5"/>
    <n v="147"/>
    <n v="22.18367346938776"/>
    <n v="850"/>
    <n v="19199"/>
  </r>
  <r>
    <x v="0"/>
    <x v="0"/>
    <x v="6"/>
    <n v="160"/>
    <n v="24.190625000000001"/>
    <n v="874"/>
    <n v="21404"/>
  </r>
  <r>
    <x v="0"/>
    <x v="0"/>
    <x v="7"/>
    <n v="162"/>
    <n v="20.75"/>
    <n v="908"/>
    <n v="18932.5"/>
  </r>
  <r>
    <x v="0"/>
    <x v="0"/>
    <x v="8"/>
    <n v="155"/>
    <n v="23.125806451612899"/>
    <n v="823"/>
    <n v="19029.5"/>
  </r>
  <r>
    <x v="0"/>
    <x v="0"/>
    <x v="9"/>
    <n v="158"/>
    <n v="22.829113924050631"/>
    <n v="858"/>
    <n v="19296"/>
  </r>
  <r>
    <x v="0"/>
    <x v="0"/>
    <x v="10"/>
    <n v="172"/>
    <n v="22.345930232558139"/>
    <n v="920"/>
    <n v="20576.5"/>
  </r>
  <r>
    <x v="0"/>
    <x v="0"/>
    <x v="11"/>
    <n v="148"/>
    <n v="22.20945945945946"/>
    <n v="828"/>
    <n v="18717"/>
  </r>
  <r>
    <x v="0"/>
    <x v="1"/>
    <x v="0"/>
    <n v="198"/>
    <n v="24.106060606060609"/>
    <n v="1170"/>
    <n v="27994.5"/>
  </r>
  <r>
    <x v="0"/>
    <x v="1"/>
    <x v="1"/>
    <n v="135"/>
    <n v="23.344444444444441"/>
    <n v="765"/>
    <n v="18202.5"/>
  </r>
  <r>
    <x v="0"/>
    <x v="1"/>
    <x v="2"/>
    <n v="158"/>
    <n v="24.319620253164562"/>
    <n v="919"/>
    <n v="22439"/>
  </r>
  <r>
    <x v="0"/>
    <x v="1"/>
    <x v="3"/>
    <n v="159"/>
    <n v="23.433962264150939"/>
    <n v="860"/>
    <n v="19990"/>
  </r>
  <r>
    <x v="0"/>
    <x v="1"/>
    <x v="4"/>
    <n v="154"/>
    <n v="21.373376623376618"/>
    <n v="871"/>
    <n v="18545"/>
  </r>
  <r>
    <x v="0"/>
    <x v="1"/>
    <x v="5"/>
    <n v="171"/>
    <n v="22.263157894736839"/>
    <n v="949"/>
    <n v="21035"/>
  </r>
  <r>
    <x v="0"/>
    <x v="1"/>
    <x v="6"/>
    <n v="176"/>
    <n v="22.94034090909091"/>
    <n v="961"/>
    <n v="21702.5"/>
  </r>
  <r>
    <x v="0"/>
    <x v="1"/>
    <x v="7"/>
    <n v="145"/>
    <n v="24.086206896551719"/>
    <n v="779"/>
    <n v="18983.5"/>
  </r>
  <r>
    <x v="0"/>
    <x v="1"/>
    <x v="8"/>
    <n v="146"/>
    <n v="23.041095890410961"/>
    <n v="810"/>
    <n v="18669"/>
  </r>
  <r>
    <x v="0"/>
    <x v="1"/>
    <x v="9"/>
    <n v="148"/>
    <n v="22.98986486486486"/>
    <n v="841"/>
    <n v="19256"/>
  </r>
  <r>
    <x v="0"/>
    <x v="1"/>
    <x v="10"/>
    <n v="141"/>
    <n v="24.340425531914889"/>
    <n v="776"/>
    <n v="19030"/>
  </r>
  <r>
    <x v="0"/>
    <x v="1"/>
    <x v="11"/>
    <n v="163"/>
    <n v="24.361963190184049"/>
    <n v="838"/>
    <n v="20355.5"/>
  </r>
  <r>
    <x v="0"/>
    <x v="2"/>
    <x v="0"/>
    <n v="208"/>
    <n v="23.47596153846154"/>
    <n v="1153"/>
    <n v="26823.5"/>
  </r>
  <r>
    <x v="0"/>
    <x v="2"/>
    <x v="1"/>
    <n v="157"/>
    <n v="22.226114649681531"/>
    <n v="837"/>
    <n v="19066.5"/>
  </r>
  <r>
    <x v="0"/>
    <x v="2"/>
    <x v="2"/>
    <n v="159"/>
    <n v="23.933962264150939"/>
    <n v="865"/>
    <n v="20343.5"/>
  </r>
  <r>
    <x v="0"/>
    <x v="2"/>
    <x v="3"/>
    <n v="146"/>
    <n v="23.585616438356169"/>
    <n v="822"/>
    <n v="19786.5"/>
  </r>
  <r>
    <x v="0"/>
    <x v="2"/>
    <x v="4"/>
    <n v="185"/>
    <n v="23.640540540540542"/>
    <n v="1037"/>
    <n v="24368.5"/>
  </r>
  <r>
    <x v="0"/>
    <x v="2"/>
    <x v="5"/>
    <n v="164"/>
    <n v="23.17378048780488"/>
    <n v="926"/>
    <n v="21487"/>
  </r>
  <r>
    <x v="0"/>
    <x v="2"/>
    <x v="6"/>
    <n v="170"/>
    <n v="23.06176470588235"/>
    <n v="934"/>
    <n v="21188"/>
  </r>
  <r>
    <x v="0"/>
    <x v="2"/>
    <x v="7"/>
    <n v="161"/>
    <n v="22.94409937888199"/>
    <n v="858"/>
    <n v="19860"/>
  </r>
  <r>
    <x v="0"/>
    <x v="2"/>
    <x v="8"/>
    <n v="158"/>
    <n v="23.97784810126582"/>
    <n v="849"/>
    <n v="20088"/>
  </r>
  <r>
    <x v="0"/>
    <x v="2"/>
    <x v="9"/>
    <n v="174"/>
    <n v="23.508620689655171"/>
    <n v="928"/>
    <n v="22014.5"/>
  </r>
  <r>
    <x v="0"/>
    <x v="2"/>
    <x v="10"/>
    <n v="138"/>
    <n v="24.010869565217391"/>
    <n v="740"/>
    <n v="18478"/>
  </r>
  <r>
    <x v="0"/>
    <x v="2"/>
    <x v="11"/>
    <n v="182"/>
    <n v="24.15384615384615"/>
    <n v="1057"/>
    <n v="26130.5"/>
  </r>
  <r>
    <x v="0"/>
    <x v="3"/>
    <x v="0"/>
    <n v="110"/>
    <n v="24.02272727272727"/>
    <n v="563"/>
    <n v="13418.5"/>
  </r>
  <r>
    <x v="1"/>
    <x v="0"/>
    <x v="0"/>
    <n v="190"/>
    <n v="24.33421052631579"/>
    <n v="1142"/>
    <n v="27617.5"/>
  </r>
  <r>
    <x v="1"/>
    <x v="0"/>
    <x v="1"/>
    <n v="161"/>
    <n v="22.841614906832302"/>
    <n v="946"/>
    <n v="21744.5"/>
  </r>
  <r>
    <x v="1"/>
    <x v="0"/>
    <x v="2"/>
    <n v="178"/>
    <n v="21.82022471910112"/>
    <n v="921"/>
    <n v="19998"/>
  </r>
  <r>
    <x v="1"/>
    <x v="0"/>
    <x v="3"/>
    <n v="168"/>
    <n v="22.767857142857139"/>
    <n v="946"/>
    <n v="21738.5"/>
  </r>
  <r>
    <x v="1"/>
    <x v="0"/>
    <x v="4"/>
    <n v="177"/>
    <n v="23.127118644067799"/>
    <n v="985"/>
    <n v="22664"/>
  </r>
  <r>
    <x v="1"/>
    <x v="0"/>
    <x v="5"/>
    <n v="174"/>
    <n v="24.456896551724139"/>
    <n v="968"/>
    <n v="23377"/>
  </r>
  <r>
    <x v="1"/>
    <x v="0"/>
    <x v="6"/>
    <n v="189"/>
    <n v="22.19047619047619"/>
    <n v="1039"/>
    <n v="23067.5"/>
  </r>
  <r>
    <x v="1"/>
    <x v="0"/>
    <x v="7"/>
    <n v="169"/>
    <n v="23.390532544378701"/>
    <n v="942"/>
    <n v="22401"/>
  </r>
  <r>
    <x v="1"/>
    <x v="0"/>
    <x v="8"/>
    <n v="182"/>
    <n v="25.07692307692308"/>
    <n v="1059"/>
    <n v="27084"/>
  </r>
  <r>
    <x v="1"/>
    <x v="0"/>
    <x v="9"/>
    <n v="145"/>
    <n v="22.751724137931031"/>
    <n v="849"/>
    <n v="19059"/>
  </r>
  <r>
    <x v="1"/>
    <x v="0"/>
    <x v="10"/>
    <n v="156"/>
    <n v="23.58653846153846"/>
    <n v="851"/>
    <n v="20680"/>
  </r>
  <r>
    <x v="1"/>
    <x v="0"/>
    <x v="11"/>
    <n v="139"/>
    <n v="23.82014388489209"/>
    <n v="811"/>
    <n v="19484"/>
  </r>
  <r>
    <x v="1"/>
    <x v="1"/>
    <x v="0"/>
    <n v="164"/>
    <n v="21.801829268292678"/>
    <n v="930"/>
    <n v="20058"/>
  </r>
  <r>
    <x v="1"/>
    <x v="1"/>
    <x v="1"/>
    <n v="164"/>
    <n v="23.054878048780491"/>
    <n v="903"/>
    <n v="21012"/>
  </r>
  <r>
    <x v="1"/>
    <x v="1"/>
    <x v="2"/>
    <n v="132"/>
    <n v="22.36363636363636"/>
    <n v="742"/>
    <n v="16095.5"/>
  </r>
  <r>
    <x v="1"/>
    <x v="1"/>
    <x v="3"/>
    <n v="149"/>
    <n v="24.238255033557049"/>
    <n v="775"/>
    <n v="18915.5"/>
  </r>
  <r>
    <x v="1"/>
    <x v="1"/>
    <x v="4"/>
    <n v="164"/>
    <n v="24.49085365853659"/>
    <n v="878"/>
    <n v="21935.5"/>
  </r>
  <r>
    <x v="1"/>
    <x v="1"/>
    <x v="5"/>
    <n v="165"/>
    <n v="23.390909090909091"/>
    <n v="914"/>
    <n v="21439"/>
  </r>
  <r>
    <x v="1"/>
    <x v="1"/>
    <x v="6"/>
    <n v="180"/>
    <n v="24.574999999999999"/>
    <n v="979"/>
    <n v="23930"/>
  </r>
  <r>
    <x v="1"/>
    <x v="1"/>
    <x v="7"/>
    <n v="162"/>
    <n v="23.43518518518519"/>
    <n v="868"/>
    <n v="19608.5"/>
  </r>
  <r>
    <x v="1"/>
    <x v="1"/>
    <x v="8"/>
    <n v="173"/>
    <n v="23.598265895953759"/>
    <n v="943"/>
    <n v="22400"/>
  </r>
  <r>
    <x v="1"/>
    <x v="1"/>
    <x v="9"/>
    <n v="145"/>
    <n v="24.251724137931031"/>
    <n v="800"/>
    <n v="19066"/>
  </r>
  <r>
    <x v="1"/>
    <x v="1"/>
    <x v="10"/>
    <n v="149"/>
    <n v="21.5"/>
    <n v="823"/>
    <n v="17984"/>
  </r>
  <r>
    <x v="1"/>
    <x v="1"/>
    <x v="11"/>
    <n v="167"/>
    <n v="23.709580838323351"/>
    <n v="952"/>
    <n v="22665.5"/>
  </r>
  <r>
    <x v="1"/>
    <x v="2"/>
    <x v="0"/>
    <n v="155"/>
    <n v="25.022580645161291"/>
    <n v="854"/>
    <n v="21085"/>
  </r>
  <r>
    <x v="1"/>
    <x v="2"/>
    <x v="1"/>
    <n v="147"/>
    <n v="23.510204081632651"/>
    <n v="793"/>
    <n v="18078.5"/>
  </r>
  <r>
    <x v="1"/>
    <x v="2"/>
    <x v="2"/>
    <n v="177"/>
    <n v="23.110169491525419"/>
    <n v="972"/>
    <n v="22518"/>
  </r>
  <r>
    <x v="1"/>
    <x v="2"/>
    <x v="3"/>
    <n v="165"/>
    <n v="24.554545454545451"/>
    <n v="1045"/>
    <n v="26484.5"/>
  </r>
  <r>
    <x v="1"/>
    <x v="2"/>
    <x v="4"/>
    <n v="160"/>
    <n v="23.262499999999999"/>
    <n v="837"/>
    <n v="19398"/>
  </r>
  <r>
    <x v="1"/>
    <x v="2"/>
    <x v="5"/>
    <n v="170"/>
    <n v="23.75"/>
    <n v="949"/>
    <n v="23234"/>
  </r>
  <r>
    <x v="1"/>
    <x v="2"/>
    <x v="6"/>
    <n v="164"/>
    <n v="21.939024390243901"/>
    <n v="921"/>
    <n v="20217"/>
  </r>
  <r>
    <x v="1"/>
    <x v="2"/>
    <x v="7"/>
    <n v="193"/>
    <n v="23.124352331606222"/>
    <n v="996"/>
    <n v="23502"/>
  </r>
  <r>
    <x v="1"/>
    <x v="2"/>
    <x v="8"/>
    <n v="170"/>
    <n v="24.367647058823529"/>
    <n v="890"/>
    <n v="22073.5"/>
  </r>
  <r>
    <x v="1"/>
    <x v="2"/>
    <x v="9"/>
    <n v="164"/>
    <n v="24.060975609756099"/>
    <n v="887"/>
    <n v="20722"/>
  </r>
  <r>
    <x v="1"/>
    <x v="2"/>
    <x v="10"/>
    <n v="194"/>
    <n v="24.22164948453608"/>
    <n v="1057"/>
    <n v="25598"/>
  </r>
  <r>
    <x v="1"/>
    <x v="2"/>
    <x v="11"/>
    <n v="175"/>
    <n v="21.38"/>
    <n v="1037"/>
    <n v="22336"/>
  </r>
  <r>
    <x v="1"/>
    <x v="3"/>
    <x v="0"/>
    <n v="92"/>
    <n v="23.75"/>
    <n v="527"/>
    <n v="121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6F0E9E-71D3-4F26-97B5-BC83AFCC18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N50" firstHeaderRow="1" firstDataRow="2" firstDataCol="1"/>
  <pivotFields count="7">
    <pivotField axis="axisRow" showAll="0">
      <items count="9">
        <item x="0"/>
        <item x="1"/>
        <item x="2"/>
        <item x="3"/>
        <item x="4"/>
        <item x="5"/>
        <item x="6"/>
        <item x="7"/>
        <item t="default"/>
      </items>
    </pivotField>
    <pivotField showAll="0">
      <items count="5">
        <item x="0"/>
        <item x="1"/>
        <item x="2"/>
        <item x="3"/>
        <item t="default"/>
      </items>
    </pivotField>
    <pivotField axis="axisCol" showAll="0">
      <items count="13">
        <item x="0"/>
        <item x="1"/>
        <item x="2"/>
        <item x="3"/>
        <item x="4"/>
        <item x="5"/>
        <item x="6"/>
        <item x="7"/>
        <item x="8"/>
        <item x="9"/>
        <item x="10"/>
        <item x="11"/>
        <item t="default"/>
      </items>
    </pivotField>
    <pivotField showAll="0"/>
    <pivotField showAll="0"/>
    <pivotField showAll="0"/>
    <pivotField dataField="1" showAll="0"/>
  </pivotFields>
  <rowFields count="1">
    <field x="0"/>
  </rowFields>
  <rowItems count="9">
    <i>
      <x/>
    </i>
    <i>
      <x v="1"/>
    </i>
    <i>
      <x v="2"/>
    </i>
    <i>
      <x v="3"/>
    </i>
    <i>
      <x v="4"/>
    </i>
    <i>
      <x v="5"/>
    </i>
    <i>
      <x v="6"/>
    </i>
    <i>
      <x v="7"/>
    </i>
    <i t="grand">
      <x/>
    </i>
  </rowItems>
  <colFields count="1">
    <field x="2"/>
  </colFields>
  <colItems count="13">
    <i>
      <x/>
    </i>
    <i>
      <x v="1"/>
    </i>
    <i>
      <x v="2"/>
    </i>
    <i>
      <x v="3"/>
    </i>
    <i>
      <x v="4"/>
    </i>
    <i>
      <x v="5"/>
    </i>
    <i>
      <x v="6"/>
    </i>
    <i>
      <x v="7"/>
    </i>
    <i>
      <x v="8"/>
    </i>
    <i>
      <x v="9"/>
    </i>
    <i>
      <x v="10"/>
    </i>
    <i>
      <x v="11"/>
    </i>
    <i t="grand">
      <x/>
    </i>
  </colItems>
  <dataFields count="1">
    <dataField name="Sum of Total Spe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AD6B5E-E04E-47FB-BC03-C44ABF7AD2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7">
    <pivotField showAll="0">
      <items count="9">
        <item x="0"/>
        <item x="1"/>
        <item x="2"/>
        <item x="3"/>
        <item x="4"/>
        <item x="5"/>
        <item x="6"/>
        <item x="7"/>
        <item t="default"/>
      </items>
    </pivotField>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 Spent" fld="6"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81E90E-DCA7-4AD5-8808-DC65FDBEF22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15" firstHeaderRow="1" firstDataRow="2" firstDataCol="1"/>
  <pivotFields count="7">
    <pivotField axis="axisCol" showAll="0">
      <items count="4">
        <item x="0"/>
        <item x="1"/>
        <item x="2"/>
        <item t="default"/>
      </items>
    </pivotField>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Fields count="1">
    <field x="0"/>
  </colFields>
  <colItems count="4">
    <i>
      <x/>
    </i>
    <i>
      <x v="1"/>
    </i>
    <i>
      <x v="2"/>
    </i>
    <i t="grand">
      <x/>
    </i>
  </colItems>
  <dataFields count="1">
    <dataField name="Sum of Total Spent" fld="6" baseField="0" baseItem="0"/>
  </dataFields>
  <chartFormats count="26">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41" series="1">
      <pivotArea type="data" outline="0" fieldPosition="0">
        <references count="2">
          <reference field="4294967294" count="1" selected="0">
            <x v="0"/>
          </reference>
          <reference field="2" count="1" selected="0">
            <x v="0"/>
          </reference>
        </references>
      </pivotArea>
    </chartFormat>
    <chartFormat chart="0" format="42" series="1">
      <pivotArea type="data" outline="0" fieldPosition="0">
        <references count="2">
          <reference field="4294967294" count="1" selected="0">
            <x v="0"/>
          </reference>
          <reference field="2" count="1" selected="0">
            <x v="1"/>
          </reference>
        </references>
      </pivotArea>
    </chartFormat>
    <chartFormat chart="0" format="43" series="1">
      <pivotArea type="data" outline="0" fieldPosition="0">
        <references count="2">
          <reference field="4294967294" count="1" selected="0">
            <x v="0"/>
          </reference>
          <reference field="2" count="1" selected="0">
            <x v="2"/>
          </reference>
        </references>
      </pivotArea>
    </chartFormat>
    <chartFormat chart="0" format="44" series="1">
      <pivotArea type="data" outline="0" fieldPosition="0">
        <references count="2">
          <reference field="4294967294" count="1" selected="0">
            <x v="0"/>
          </reference>
          <reference field="2" count="1" selected="0">
            <x v="3"/>
          </reference>
        </references>
      </pivotArea>
    </chartFormat>
    <chartFormat chart="0" format="45" series="1">
      <pivotArea type="data" outline="0" fieldPosition="0">
        <references count="2">
          <reference field="4294967294" count="1" selected="0">
            <x v="0"/>
          </reference>
          <reference field="2" count="1" selected="0">
            <x v="4"/>
          </reference>
        </references>
      </pivotArea>
    </chartFormat>
    <chartFormat chart="0" format="46" series="1">
      <pivotArea type="data" outline="0" fieldPosition="0">
        <references count="2">
          <reference field="4294967294" count="1" selected="0">
            <x v="0"/>
          </reference>
          <reference field="2" count="1" selected="0">
            <x v="5"/>
          </reference>
        </references>
      </pivotArea>
    </chartFormat>
    <chartFormat chart="0" format="47" series="1">
      <pivotArea type="data" outline="0" fieldPosition="0">
        <references count="2">
          <reference field="4294967294" count="1" selected="0">
            <x v="0"/>
          </reference>
          <reference field="2" count="1" selected="0">
            <x v="6"/>
          </reference>
        </references>
      </pivotArea>
    </chartFormat>
    <chartFormat chart="0" format="48" series="1">
      <pivotArea type="data" outline="0" fieldPosition="0">
        <references count="2">
          <reference field="4294967294" count="1" selected="0">
            <x v="0"/>
          </reference>
          <reference field="2" count="1" selected="0">
            <x v="7"/>
          </reference>
        </references>
      </pivotArea>
    </chartFormat>
    <chartFormat chart="0" format="49" series="1">
      <pivotArea type="data" outline="0" fieldPosition="0">
        <references count="2">
          <reference field="4294967294" count="1" selected="0">
            <x v="0"/>
          </reference>
          <reference field="2" count="1" selected="0">
            <x v="8"/>
          </reference>
        </references>
      </pivotArea>
    </chartFormat>
    <chartFormat chart="0" format="50" series="1">
      <pivotArea type="data" outline="0" fieldPosition="0">
        <references count="2">
          <reference field="4294967294" count="1" selected="0">
            <x v="0"/>
          </reference>
          <reference field="2" count="1" selected="0">
            <x v="9"/>
          </reference>
        </references>
      </pivotArea>
    </chartFormat>
    <chartFormat chart="0" format="51" series="1">
      <pivotArea type="data" outline="0" fieldPosition="0">
        <references count="2">
          <reference field="4294967294" count="1" selected="0">
            <x v="0"/>
          </reference>
          <reference field="2" count="1" selected="0">
            <x v="10"/>
          </reference>
        </references>
      </pivotArea>
    </chartFormat>
    <chartFormat chart="0" format="52" series="1">
      <pivotArea type="data" outline="0" fieldPosition="0">
        <references count="2">
          <reference field="4294967294" count="1" selected="0">
            <x v="0"/>
          </reference>
          <reference field="2" count="1" selected="0">
            <x v="11"/>
          </reference>
        </references>
      </pivotArea>
    </chartFormat>
    <chartFormat chart="0" format="53" series="1">
      <pivotArea type="data" outline="0" fieldPosition="0">
        <references count="1">
          <reference field="4294967294" count="1" selected="0">
            <x v="0"/>
          </reference>
        </references>
      </pivotArea>
    </chartFormat>
    <chartFormat chart="0" format="54" series="1">
      <pivotArea type="data" outline="0" fieldPosition="0">
        <references count="2">
          <reference field="4294967294" count="1" selected="0">
            <x v="0"/>
          </reference>
          <reference field="0" count="1" selected="0">
            <x v="1"/>
          </reference>
        </references>
      </pivotArea>
    </chartFormat>
    <chartFormat chart="0" format="55" series="1">
      <pivotArea type="data" outline="0" fieldPosition="0">
        <references count="2">
          <reference field="4294967294" count="1" selected="0">
            <x v="0"/>
          </reference>
          <reference field="0" count="1" selected="0">
            <x v="2"/>
          </reference>
        </references>
      </pivotArea>
    </chartFormat>
    <chartFormat chart="0" format="56" series="1">
      <pivotArea type="data" outline="0" fieldPosition="0">
        <references count="2">
          <reference field="4294967294" count="1" selected="0">
            <x v="0"/>
          </reference>
          <reference field="0" count="1" selected="0">
            <x v="0"/>
          </reference>
        </references>
      </pivotArea>
    </chartFormat>
    <chartFormat chart="0" format="57">
      <pivotArea type="data" outline="0" fieldPosition="0">
        <references count="3">
          <reference field="4294967294" count="1" selected="0">
            <x v="0"/>
          </reference>
          <reference field="0" count="1" selected="0">
            <x v="2"/>
          </reference>
          <reference field="2" count="1" selected="0">
            <x v="0"/>
          </reference>
        </references>
      </pivotArea>
    </chartFormat>
    <chartFormat chart="0" format="58">
      <pivotArea type="data" outline="0" fieldPosition="0">
        <references count="3">
          <reference field="4294967294" count="1" selected="0">
            <x v="0"/>
          </reference>
          <reference field="0" count="1" selected="0">
            <x v="0"/>
          </reference>
          <reference field="2" count="1" selected="0">
            <x v="0"/>
          </reference>
        </references>
      </pivotArea>
    </chartFormat>
    <chartFormat chart="0" format="59">
      <pivotArea type="data" outline="0" fieldPosition="0">
        <references count="3">
          <reference field="4294967294" count="1" selected="0">
            <x v="0"/>
          </reference>
          <reference field="0" count="1" selected="0">
            <x v="0"/>
          </reference>
          <reference field="2" count="1" selected="0">
            <x v="1"/>
          </reference>
        </references>
      </pivotArea>
    </chartFormat>
    <chartFormat chart="0" format="60">
      <pivotArea type="data" outline="0" fieldPosition="0">
        <references count="3">
          <reference field="4294967294" count="1" selected="0">
            <x v="0"/>
          </reference>
          <reference field="0" count="1" selected="0">
            <x v="2"/>
          </reference>
          <reference field="2" count="1" selected="0">
            <x v="1"/>
          </reference>
        </references>
      </pivotArea>
    </chartFormat>
    <chartFormat chart="0" format="61">
      <pivotArea type="data" outline="0" fieldPosition="0">
        <references count="3">
          <reference field="4294967294" count="1" selected="0">
            <x v="0"/>
          </reference>
          <reference field="0" count="1" selected="0">
            <x v="2"/>
          </reference>
          <reference field="2" count="1" selected="0">
            <x v="2"/>
          </reference>
        </references>
      </pivotArea>
    </chartFormat>
    <chartFormat chart="0" format="62">
      <pivotArea type="data" outline="0" fieldPosition="0">
        <references count="3">
          <reference field="4294967294" count="1" selected="0">
            <x v="0"/>
          </reference>
          <reference field="0" count="1" selected="0">
            <x v="0"/>
          </reference>
          <reference field="2" count="1" selected="0">
            <x v="2"/>
          </reference>
        </references>
      </pivotArea>
    </chartFormat>
    <chartFormat chart="0" format="63">
      <pivotArea type="data" outline="0" fieldPosition="0">
        <references count="3">
          <reference field="4294967294" count="1" selected="0">
            <x v="0"/>
          </reference>
          <reference field="0"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748AFB-2567-49CD-9A7B-9F768E9739D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15" firstHeaderRow="1" firstDataRow="2" firstDataCol="1"/>
  <pivotFields count="7">
    <pivotField axis="axisCol" showAll="0">
      <items count="3">
        <item x="0"/>
        <item x="1"/>
        <item t="default"/>
      </items>
    </pivotField>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Fields count="1">
    <field x="0"/>
  </colFields>
  <colItems count="3">
    <i>
      <x/>
    </i>
    <i>
      <x v="1"/>
    </i>
    <i t="grand">
      <x/>
    </i>
  </colItems>
  <dataFields count="1">
    <dataField name="Sum of Total Spent" fld="6"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584820-1D53-4E10-B473-D03A1D78B7A8}" sourceName="Year">
  <pivotTables>
    <pivotTable tabId="5" name="PivotTable2"/>
    <pivotTable tabId="5" name="PivotTable1"/>
  </pivotTables>
  <data>
    <tabular pivotCacheId="169556053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B20118-9C4E-43FA-A06D-D9203286E8C4}" sourceName="Category">
  <pivotTables>
    <pivotTable tabId="5" name="PivotTable2"/>
    <pivotTable tabId="5" name="PivotTable1"/>
  </pivotTables>
  <data>
    <tabular pivotCacheId="1695560536">
      <items count="8">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C48A551-7D4C-4927-86C6-D3104A6195E1}" sourceName="Year">
  <pivotTables>
    <pivotTable tabId="6" name="PivotTable6"/>
  </pivotTables>
  <data>
    <tabular pivotCacheId="134077139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D3653AC8-5E41-4A19-8D75-5416C0C33B52}" sourceName="Year">
  <pivotTables>
    <pivotTable tabId="7" name="PivotTable7"/>
  </pivotTables>
  <data>
    <tabular pivotCacheId="77933959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09F681B-955D-438B-BF7D-538F1794EC96}" cache="Slicer_Year" caption="Year" rowHeight="241300"/>
  <slicer name="Category" xr10:uid="{35751A5F-7DC2-44F1-A143-BC2945E97672}"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B6032C0-43E6-4D4E-8A2D-5AB512406A29}" cache="Slicer_Year1"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0162A8C-DE7F-43C5-854D-618AF844A169}" cache="Slicer_Year2"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3D7A-6B3C-4C56-AED0-4A4FA7A1E952}">
  <dimension ref="A3:N63"/>
  <sheetViews>
    <sheetView topLeftCell="A7" zoomScale="115" zoomScaleNormal="115" workbookViewId="0">
      <selection activeCell="J36" sqref="J36"/>
    </sheetView>
  </sheetViews>
  <sheetFormatPr defaultRowHeight="14.5" x14ac:dyDescent="0.35"/>
  <cols>
    <col min="1" max="1" width="30.26953125" bestFit="1" customWidth="1"/>
    <col min="2" max="2" width="15.26953125" bestFit="1" customWidth="1"/>
    <col min="3" max="4" width="8.08984375" bestFit="1" customWidth="1"/>
    <col min="5" max="6" width="9.08984375" bestFit="1" customWidth="1"/>
    <col min="7" max="8" width="8.08984375" bestFit="1" customWidth="1"/>
    <col min="9" max="9" width="9.08984375" bestFit="1" customWidth="1"/>
    <col min="10" max="10" width="8.08984375" bestFit="1" customWidth="1"/>
    <col min="11" max="13" width="9.08984375" bestFit="1" customWidth="1"/>
    <col min="14" max="14" width="10.7265625" bestFit="1" customWidth="1"/>
    <col min="15" max="19" width="8.08984375" bestFit="1" customWidth="1"/>
    <col min="20" max="20" width="7.08984375" bestFit="1" customWidth="1"/>
    <col min="21" max="21" width="8.08984375" bestFit="1" customWidth="1"/>
    <col min="22" max="26" width="7.08984375" bestFit="1" customWidth="1"/>
    <col min="27" max="27" width="9.54296875" bestFit="1" customWidth="1"/>
    <col min="28" max="28" width="8.08984375" bestFit="1" customWidth="1"/>
    <col min="29" max="29" width="7.08984375" bestFit="1" customWidth="1"/>
    <col min="30" max="30" width="8.08984375" bestFit="1" customWidth="1"/>
    <col min="31" max="31" width="7.08984375" bestFit="1" customWidth="1"/>
    <col min="32" max="32" width="8.08984375" bestFit="1" customWidth="1"/>
    <col min="33" max="35" width="7.08984375" bestFit="1" customWidth="1"/>
    <col min="36" max="37" width="8.08984375" bestFit="1" customWidth="1"/>
    <col min="38" max="38" width="7.08984375" bestFit="1" customWidth="1"/>
    <col min="39" max="39" width="8.08984375" bestFit="1" customWidth="1"/>
    <col min="40" max="40" width="9.54296875" bestFit="1" customWidth="1"/>
    <col min="41" max="41" width="8.08984375" bestFit="1" customWidth="1"/>
    <col min="42" max="42" width="9.54296875" bestFit="1" customWidth="1"/>
    <col min="43" max="43" width="10.7265625" bestFit="1" customWidth="1"/>
  </cols>
  <sheetData>
    <row r="3" spans="1:2" x14ac:dyDescent="0.35">
      <c r="A3" s="2" t="s">
        <v>22</v>
      </c>
      <c r="B3" t="s">
        <v>24</v>
      </c>
    </row>
    <row r="4" spans="1:2" x14ac:dyDescent="0.35">
      <c r="A4" s="3">
        <v>1</v>
      </c>
      <c r="B4" s="5">
        <v>174421</v>
      </c>
    </row>
    <row r="5" spans="1:2" x14ac:dyDescent="0.35">
      <c r="A5" s="3">
        <v>2</v>
      </c>
      <c r="B5" s="5">
        <v>119685</v>
      </c>
    </row>
    <row r="6" spans="1:2" x14ac:dyDescent="0.35">
      <c r="A6" s="3">
        <v>3</v>
      </c>
      <c r="B6" s="5">
        <v>122392</v>
      </c>
    </row>
    <row r="7" spans="1:2" x14ac:dyDescent="0.35">
      <c r="A7" s="3">
        <v>4</v>
      </c>
      <c r="B7" s="5">
        <v>125618.5</v>
      </c>
    </row>
    <row r="8" spans="1:2" x14ac:dyDescent="0.35">
      <c r="A8" s="3">
        <v>5</v>
      </c>
      <c r="B8" s="5">
        <v>124594.5</v>
      </c>
    </row>
    <row r="9" spans="1:2" x14ac:dyDescent="0.35">
      <c r="A9" s="3">
        <v>6</v>
      </c>
      <c r="B9" s="5">
        <v>129771</v>
      </c>
    </row>
    <row r="10" spans="1:2" x14ac:dyDescent="0.35">
      <c r="A10" s="3">
        <v>7</v>
      </c>
      <c r="B10" s="5">
        <v>131509</v>
      </c>
    </row>
    <row r="11" spans="1:2" x14ac:dyDescent="0.35">
      <c r="A11" s="3">
        <v>8</v>
      </c>
      <c r="B11" s="5">
        <v>123287.5</v>
      </c>
    </row>
    <row r="12" spans="1:2" x14ac:dyDescent="0.35">
      <c r="A12" s="3">
        <v>9</v>
      </c>
      <c r="B12" s="5">
        <v>129344</v>
      </c>
    </row>
    <row r="13" spans="1:2" x14ac:dyDescent="0.35">
      <c r="A13" s="3">
        <v>10</v>
      </c>
      <c r="B13" s="5">
        <v>119413.5</v>
      </c>
    </row>
    <row r="14" spans="1:2" x14ac:dyDescent="0.35">
      <c r="A14" s="3">
        <v>11</v>
      </c>
      <c r="B14" s="5">
        <v>122346.5</v>
      </c>
    </row>
    <row r="15" spans="1:2" x14ac:dyDescent="0.35">
      <c r="A15" s="3">
        <v>12</v>
      </c>
      <c r="B15" s="5">
        <v>129688.5</v>
      </c>
    </row>
    <row r="16" spans="1:2" x14ac:dyDescent="0.35">
      <c r="A16" s="3" t="s">
        <v>23</v>
      </c>
      <c r="B16" s="5">
        <v>1552071</v>
      </c>
    </row>
    <row r="40" spans="1:14" x14ac:dyDescent="0.35">
      <c r="A40" s="2" t="s">
        <v>24</v>
      </c>
      <c r="B40" s="2" t="s">
        <v>25</v>
      </c>
    </row>
    <row r="41" spans="1:14" x14ac:dyDescent="0.35">
      <c r="A41" s="2" t="s">
        <v>22</v>
      </c>
      <c r="B41">
        <v>1</v>
      </c>
      <c r="C41">
        <v>2</v>
      </c>
      <c r="D41">
        <v>3</v>
      </c>
      <c r="E41">
        <v>4</v>
      </c>
      <c r="F41">
        <v>5</v>
      </c>
      <c r="G41">
        <v>6</v>
      </c>
      <c r="H41">
        <v>7</v>
      </c>
      <c r="I41">
        <v>8</v>
      </c>
      <c r="J41">
        <v>9</v>
      </c>
      <c r="K41">
        <v>10</v>
      </c>
      <c r="L41">
        <v>11</v>
      </c>
      <c r="M41">
        <v>12</v>
      </c>
      <c r="N41" t="s">
        <v>23</v>
      </c>
    </row>
    <row r="42" spans="1:14" x14ac:dyDescent="0.35">
      <c r="A42" s="3" t="s">
        <v>7</v>
      </c>
      <c r="B42" s="5">
        <v>21834</v>
      </c>
      <c r="C42" s="5">
        <v>17136.5</v>
      </c>
      <c r="D42" s="5">
        <v>15127</v>
      </c>
      <c r="E42" s="5">
        <v>13029</v>
      </c>
      <c r="F42" s="5">
        <v>17169</v>
      </c>
      <c r="G42" s="5">
        <v>16198</v>
      </c>
      <c r="H42" s="5">
        <v>17962</v>
      </c>
      <c r="I42" s="5">
        <v>15927.5</v>
      </c>
      <c r="J42" s="5">
        <v>16592.5</v>
      </c>
      <c r="K42" s="5">
        <v>15904.5</v>
      </c>
      <c r="L42" s="5">
        <v>15502</v>
      </c>
      <c r="M42" s="5">
        <v>14665.5</v>
      </c>
      <c r="N42" s="5">
        <v>197047.5</v>
      </c>
    </row>
    <row r="43" spans="1:14" x14ac:dyDescent="0.35">
      <c r="A43" s="3" t="s">
        <v>8</v>
      </c>
      <c r="B43" s="5">
        <v>24084.5</v>
      </c>
      <c r="C43" s="5">
        <v>17832.5</v>
      </c>
      <c r="D43" s="5">
        <v>13412.5</v>
      </c>
      <c r="E43" s="5">
        <v>16744</v>
      </c>
      <c r="F43" s="5">
        <v>16552.5</v>
      </c>
      <c r="G43" s="5">
        <v>18333</v>
      </c>
      <c r="H43" s="5">
        <v>17993.5</v>
      </c>
      <c r="I43" s="5">
        <v>16598.5</v>
      </c>
      <c r="J43" s="5">
        <v>16697.5</v>
      </c>
      <c r="K43" s="5">
        <v>18134</v>
      </c>
      <c r="L43" s="5">
        <v>16040.5</v>
      </c>
      <c r="M43" s="5">
        <v>15695</v>
      </c>
      <c r="N43" s="5">
        <v>208118</v>
      </c>
    </row>
    <row r="44" spans="1:14" x14ac:dyDescent="0.35">
      <c r="A44" s="3" t="s">
        <v>9</v>
      </c>
      <c r="B44" s="5">
        <v>25130</v>
      </c>
      <c r="C44" s="5">
        <v>12160.5</v>
      </c>
      <c r="D44" s="5">
        <v>14687</v>
      </c>
      <c r="E44" s="5">
        <v>18123.5</v>
      </c>
      <c r="F44" s="5">
        <v>12480.5</v>
      </c>
      <c r="G44" s="5">
        <v>18860.5</v>
      </c>
      <c r="H44" s="5">
        <v>15477.5</v>
      </c>
      <c r="I44" s="5">
        <v>13554</v>
      </c>
      <c r="J44" s="5">
        <v>16201.5</v>
      </c>
      <c r="K44" s="5">
        <v>11146.5</v>
      </c>
      <c r="L44" s="5">
        <v>15069.5</v>
      </c>
      <c r="M44" s="5">
        <v>17801.5</v>
      </c>
      <c r="N44" s="5">
        <v>190692.5</v>
      </c>
    </row>
    <row r="45" spans="1:14" x14ac:dyDescent="0.35">
      <c r="A45" s="3" t="s">
        <v>10</v>
      </c>
      <c r="B45" s="5">
        <v>21273</v>
      </c>
      <c r="C45" s="5">
        <v>16964.5</v>
      </c>
      <c r="D45" s="5">
        <v>15580.5</v>
      </c>
      <c r="E45" s="5">
        <v>17052</v>
      </c>
      <c r="F45" s="5">
        <v>17238.5</v>
      </c>
      <c r="G45" s="5">
        <v>17442.5</v>
      </c>
      <c r="H45" s="5">
        <v>17219</v>
      </c>
      <c r="I45" s="5">
        <v>16517.5</v>
      </c>
      <c r="J45" s="5">
        <v>17495.5</v>
      </c>
      <c r="K45" s="5">
        <v>12732.5</v>
      </c>
      <c r="L45" s="5">
        <v>16842.5</v>
      </c>
      <c r="M45" s="5">
        <v>17455.5</v>
      </c>
      <c r="N45" s="5">
        <v>203813.5</v>
      </c>
    </row>
    <row r="46" spans="1:14" x14ac:dyDescent="0.35">
      <c r="A46" s="3" t="s">
        <v>11</v>
      </c>
      <c r="B46" s="5">
        <v>22778.5</v>
      </c>
      <c r="C46" s="5">
        <v>13788.5</v>
      </c>
      <c r="D46" s="5">
        <v>15709</v>
      </c>
      <c r="E46" s="5">
        <v>12031.5</v>
      </c>
      <c r="F46" s="5">
        <v>16021.5</v>
      </c>
      <c r="G46" s="5">
        <v>13472.5</v>
      </c>
      <c r="H46" s="5">
        <v>19268.5</v>
      </c>
      <c r="I46" s="5">
        <v>14352.5</v>
      </c>
      <c r="J46" s="5">
        <v>17163</v>
      </c>
      <c r="K46" s="5">
        <v>18240</v>
      </c>
      <c r="L46" s="5">
        <v>17649</v>
      </c>
      <c r="M46" s="5">
        <v>14337.5</v>
      </c>
      <c r="N46" s="5">
        <v>194812</v>
      </c>
    </row>
    <row r="47" spans="1:14" x14ac:dyDescent="0.35">
      <c r="A47" s="3" t="s">
        <v>12</v>
      </c>
      <c r="B47" s="5">
        <v>21312</v>
      </c>
      <c r="C47" s="5">
        <v>15190.5</v>
      </c>
      <c r="D47" s="5">
        <v>16248</v>
      </c>
      <c r="E47" s="5">
        <v>19786.5</v>
      </c>
      <c r="F47" s="5">
        <v>15435</v>
      </c>
      <c r="G47" s="5">
        <v>15930</v>
      </c>
      <c r="H47" s="5">
        <v>15169</v>
      </c>
      <c r="I47" s="5">
        <v>18216.5</v>
      </c>
      <c r="J47" s="5">
        <v>14030</v>
      </c>
      <c r="K47" s="5">
        <v>13050</v>
      </c>
      <c r="L47" s="5">
        <v>13565</v>
      </c>
      <c r="M47" s="5">
        <v>17377.5</v>
      </c>
      <c r="N47" s="5">
        <v>195310</v>
      </c>
    </row>
    <row r="48" spans="1:14" x14ac:dyDescent="0.35">
      <c r="A48" s="3" t="s">
        <v>13</v>
      </c>
      <c r="B48" s="5">
        <v>19588</v>
      </c>
      <c r="C48" s="5">
        <v>13036</v>
      </c>
      <c r="D48" s="5">
        <v>15871.5</v>
      </c>
      <c r="E48" s="5">
        <v>13247</v>
      </c>
      <c r="F48" s="5">
        <v>13855</v>
      </c>
      <c r="G48" s="5">
        <v>12282</v>
      </c>
      <c r="H48" s="5">
        <v>15383</v>
      </c>
      <c r="I48" s="5">
        <v>13245.5</v>
      </c>
      <c r="J48" s="5">
        <v>16729.5</v>
      </c>
      <c r="K48" s="5">
        <v>14993.5</v>
      </c>
      <c r="L48" s="5">
        <v>14971.5</v>
      </c>
      <c r="M48" s="5">
        <v>16909.5</v>
      </c>
      <c r="N48" s="5">
        <v>180112</v>
      </c>
    </row>
    <row r="49" spans="1:14" x14ac:dyDescent="0.35">
      <c r="A49" s="3" t="s">
        <v>14</v>
      </c>
      <c r="B49" s="5">
        <v>18421</v>
      </c>
      <c r="C49" s="5">
        <v>13576</v>
      </c>
      <c r="D49" s="5">
        <v>15756.5</v>
      </c>
      <c r="E49" s="5">
        <v>15605</v>
      </c>
      <c r="F49" s="5">
        <v>15842.5</v>
      </c>
      <c r="G49" s="5">
        <v>17252.5</v>
      </c>
      <c r="H49" s="5">
        <v>13036.5</v>
      </c>
      <c r="I49" s="5">
        <v>14875.5</v>
      </c>
      <c r="J49" s="5">
        <v>14434.5</v>
      </c>
      <c r="K49" s="5">
        <v>15212.5</v>
      </c>
      <c r="L49" s="5">
        <v>12706.5</v>
      </c>
      <c r="M49" s="5">
        <v>15446.5</v>
      </c>
      <c r="N49" s="5">
        <v>182165.5</v>
      </c>
    </row>
    <row r="50" spans="1:14" x14ac:dyDescent="0.35">
      <c r="A50" s="3" t="s">
        <v>23</v>
      </c>
      <c r="B50" s="5">
        <v>174421</v>
      </c>
      <c r="C50" s="5">
        <v>119685</v>
      </c>
      <c r="D50" s="5">
        <v>122392</v>
      </c>
      <c r="E50" s="5">
        <v>125618.5</v>
      </c>
      <c r="F50" s="5">
        <v>124594.5</v>
      </c>
      <c r="G50" s="5">
        <v>129771</v>
      </c>
      <c r="H50" s="5">
        <v>131509</v>
      </c>
      <c r="I50" s="5">
        <v>123287.5</v>
      </c>
      <c r="J50" s="5">
        <v>129344</v>
      </c>
      <c r="K50" s="5">
        <v>119413.5</v>
      </c>
      <c r="L50" s="5">
        <v>122346.5</v>
      </c>
      <c r="M50" s="5">
        <v>129688.5</v>
      </c>
      <c r="N50" s="5">
        <v>1552071</v>
      </c>
    </row>
    <row r="54" spans="1:14" x14ac:dyDescent="0.35">
      <c r="A54" s="4" t="s">
        <v>0</v>
      </c>
      <c r="B54" s="4">
        <v>1</v>
      </c>
      <c r="C54" s="4">
        <v>2</v>
      </c>
      <c r="D54" s="4">
        <v>3</v>
      </c>
      <c r="E54" s="4">
        <v>4</v>
      </c>
      <c r="F54" s="4">
        <v>5</v>
      </c>
      <c r="G54" s="4">
        <v>6</v>
      </c>
      <c r="H54" s="4">
        <v>7</v>
      </c>
      <c r="I54" s="4">
        <v>8</v>
      </c>
      <c r="J54" s="4">
        <v>9</v>
      </c>
      <c r="K54" s="4">
        <v>10</v>
      </c>
      <c r="L54" s="4">
        <v>11</v>
      </c>
      <c r="M54" s="4">
        <v>12</v>
      </c>
      <c r="N54" s="4"/>
    </row>
    <row r="55" spans="1:14" x14ac:dyDescent="0.35">
      <c r="A55" t="str">
        <f t="shared" ref="A55:M55" si="0">A42</f>
        <v>Beverages</v>
      </c>
      <c r="B55">
        <f t="shared" si="0"/>
        <v>21834</v>
      </c>
      <c r="C55">
        <f t="shared" si="0"/>
        <v>17136.5</v>
      </c>
      <c r="D55">
        <f t="shared" si="0"/>
        <v>15127</v>
      </c>
      <c r="E55">
        <f t="shared" si="0"/>
        <v>13029</v>
      </c>
      <c r="F55">
        <f t="shared" si="0"/>
        <v>17169</v>
      </c>
      <c r="G55">
        <f t="shared" si="0"/>
        <v>16198</v>
      </c>
      <c r="H55">
        <f t="shared" si="0"/>
        <v>17962</v>
      </c>
      <c r="I55">
        <f t="shared" si="0"/>
        <v>15927.5</v>
      </c>
      <c r="J55">
        <f t="shared" si="0"/>
        <v>16592.5</v>
      </c>
      <c r="K55">
        <f t="shared" si="0"/>
        <v>15904.5</v>
      </c>
      <c r="L55">
        <f t="shared" si="0"/>
        <v>15502</v>
      </c>
      <c r="M55">
        <f t="shared" si="0"/>
        <v>14665.5</v>
      </c>
    </row>
    <row r="56" spans="1:14" x14ac:dyDescent="0.35">
      <c r="A56" t="str">
        <f t="shared" ref="A56:M56" si="1">A43</f>
        <v>Butchers</v>
      </c>
      <c r="B56">
        <f t="shared" si="1"/>
        <v>24084.5</v>
      </c>
      <c r="C56">
        <f t="shared" si="1"/>
        <v>17832.5</v>
      </c>
      <c r="D56">
        <f t="shared" si="1"/>
        <v>13412.5</v>
      </c>
      <c r="E56">
        <f t="shared" si="1"/>
        <v>16744</v>
      </c>
      <c r="F56">
        <f t="shared" si="1"/>
        <v>16552.5</v>
      </c>
      <c r="G56">
        <f t="shared" si="1"/>
        <v>18333</v>
      </c>
      <c r="H56">
        <f t="shared" si="1"/>
        <v>17993.5</v>
      </c>
      <c r="I56">
        <f t="shared" si="1"/>
        <v>16598.5</v>
      </c>
      <c r="J56">
        <f t="shared" si="1"/>
        <v>16697.5</v>
      </c>
      <c r="K56">
        <f t="shared" si="1"/>
        <v>18134</v>
      </c>
      <c r="L56">
        <f t="shared" si="1"/>
        <v>16040.5</v>
      </c>
      <c r="M56">
        <f t="shared" si="1"/>
        <v>15695</v>
      </c>
    </row>
    <row r="57" spans="1:14" x14ac:dyDescent="0.35">
      <c r="A57" t="str">
        <f t="shared" ref="A57:M57" si="2">A44</f>
        <v>Computers and electric accessories</v>
      </c>
      <c r="B57">
        <f t="shared" si="2"/>
        <v>25130</v>
      </c>
      <c r="C57">
        <f t="shared" si="2"/>
        <v>12160.5</v>
      </c>
      <c r="D57">
        <f t="shared" si="2"/>
        <v>14687</v>
      </c>
      <c r="E57">
        <f t="shared" si="2"/>
        <v>18123.5</v>
      </c>
      <c r="F57">
        <f t="shared" si="2"/>
        <v>12480.5</v>
      </c>
      <c r="G57">
        <f t="shared" si="2"/>
        <v>18860.5</v>
      </c>
      <c r="H57">
        <f t="shared" si="2"/>
        <v>15477.5</v>
      </c>
      <c r="I57">
        <f t="shared" si="2"/>
        <v>13554</v>
      </c>
      <c r="J57">
        <f t="shared" si="2"/>
        <v>16201.5</v>
      </c>
      <c r="K57">
        <f t="shared" si="2"/>
        <v>11146.5</v>
      </c>
      <c r="L57">
        <f t="shared" si="2"/>
        <v>15069.5</v>
      </c>
      <c r="M57">
        <f t="shared" si="2"/>
        <v>17801.5</v>
      </c>
    </row>
    <row r="58" spans="1:14" x14ac:dyDescent="0.35">
      <c r="A58" t="str">
        <f t="shared" ref="A58:M58" si="3">A45</f>
        <v>Electric household essentials</v>
      </c>
      <c r="B58">
        <f t="shared" si="3"/>
        <v>21273</v>
      </c>
      <c r="C58">
        <f t="shared" si="3"/>
        <v>16964.5</v>
      </c>
      <c r="D58">
        <f t="shared" si="3"/>
        <v>15580.5</v>
      </c>
      <c r="E58">
        <f t="shared" si="3"/>
        <v>17052</v>
      </c>
      <c r="F58">
        <f t="shared" si="3"/>
        <v>17238.5</v>
      </c>
      <c r="G58">
        <f t="shared" si="3"/>
        <v>17442.5</v>
      </c>
      <c r="H58">
        <f t="shared" si="3"/>
        <v>17219</v>
      </c>
      <c r="I58">
        <f t="shared" si="3"/>
        <v>16517.5</v>
      </c>
      <c r="J58">
        <f t="shared" si="3"/>
        <v>17495.5</v>
      </c>
      <c r="K58">
        <f t="shared" si="3"/>
        <v>12732.5</v>
      </c>
      <c r="L58">
        <f t="shared" si="3"/>
        <v>16842.5</v>
      </c>
      <c r="M58">
        <f t="shared" si="3"/>
        <v>17455.5</v>
      </c>
    </row>
    <row r="59" spans="1:14" x14ac:dyDescent="0.35">
      <c r="A59" t="str">
        <f t="shared" ref="A59:M59" si="4">A46</f>
        <v>Food</v>
      </c>
      <c r="B59">
        <f t="shared" si="4"/>
        <v>22778.5</v>
      </c>
      <c r="C59">
        <f t="shared" si="4"/>
        <v>13788.5</v>
      </c>
      <c r="D59">
        <f t="shared" si="4"/>
        <v>15709</v>
      </c>
      <c r="E59">
        <f t="shared" si="4"/>
        <v>12031.5</v>
      </c>
      <c r="F59">
        <f t="shared" si="4"/>
        <v>16021.5</v>
      </c>
      <c r="G59">
        <f t="shared" si="4"/>
        <v>13472.5</v>
      </c>
      <c r="H59">
        <f t="shared" si="4"/>
        <v>19268.5</v>
      </c>
      <c r="I59">
        <f t="shared" si="4"/>
        <v>14352.5</v>
      </c>
      <c r="J59">
        <f t="shared" si="4"/>
        <v>17163</v>
      </c>
      <c r="K59">
        <f t="shared" si="4"/>
        <v>18240</v>
      </c>
      <c r="L59">
        <f t="shared" si="4"/>
        <v>17649</v>
      </c>
      <c r="M59">
        <f t="shared" si="4"/>
        <v>14337.5</v>
      </c>
    </row>
    <row r="60" spans="1:14" x14ac:dyDescent="0.35">
      <c r="A60" t="str">
        <f t="shared" ref="A60:M60" si="5">A47</f>
        <v>Furniture</v>
      </c>
      <c r="B60">
        <f t="shared" si="5"/>
        <v>21312</v>
      </c>
      <c r="C60">
        <f t="shared" si="5"/>
        <v>15190.5</v>
      </c>
      <c r="D60">
        <f t="shared" si="5"/>
        <v>16248</v>
      </c>
      <c r="E60">
        <f t="shared" si="5"/>
        <v>19786.5</v>
      </c>
      <c r="F60">
        <f t="shared" si="5"/>
        <v>15435</v>
      </c>
      <c r="G60">
        <f t="shared" si="5"/>
        <v>15930</v>
      </c>
      <c r="H60">
        <f t="shared" si="5"/>
        <v>15169</v>
      </c>
      <c r="I60">
        <f t="shared" si="5"/>
        <v>18216.5</v>
      </c>
      <c r="J60">
        <f t="shared" si="5"/>
        <v>14030</v>
      </c>
      <c r="K60">
        <f t="shared" si="5"/>
        <v>13050</v>
      </c>
      <c r="L60">
        <f t="shared" si="5"/>
        <v>13565</v>
      </c>
      <c r="M60">
        <f t="shared" si="5"/>
        <v>17377.5</v>
      </c>
    </row>
    <row r="61" spans="1:14" x14ac:dyDescent="0.35">
      <c r="A61" t="str">
        <f t="shared" ref="A61:M61" si="6">A48</f>
        <v>Milk Products</v>
      </c>
      <c r="B61">
        <f t="shared" si="6"/>
        <v>19588</v>
      </c>
      <c r="C61">
        <f t="shared" si="6"/>
        <v>13036</v>
      </c>
      <c r="D61">
        <f t="shared" si="6"/>
        <v>15871.5</v>
      </c>
      <c r="E61">
        <f t="shared" si="6"/>
        <v>13247</v>
      </c>
      <c r="F61">
        <f t="shared" si="6"/>
        <v>13855</v>
      </c>
      <c r="G61">
        <f t="shared" si="6"/>
        <v>12282</v>
      </c>
      <c r="H61">
        <f t="shared" si="6"/>
        <v>15383</v>
      </c>
      <c r="I61">
        <f t="shared" si="6"/>
        <v>13245.5</v>
      </c>
      <c r="J61">
        <f t="shared" si="6"/>
        <v>16729.5</v>
      </c>
      <c r="K61">
        <f t="shared" si="6"/>
        <v>14993.5</v>
      </c>
      <c r="L61">
        <f t="shared" si="6"/>
        <v>14971.5</v>
      </c>
      <c r="M61">
        <f t="shared" si="6"/>
        <v>16909.5</v>
      </c>
    </row>
    <row r="62" spans="1:14" x14ac:dyDescent="0.35">
      <c r="A62" t="str">
        <f t="shared" ref="A62:M62" si="7">A49</f>
        <v>Patisserie</v>
      </c>
      <c r="B62">
        <f t="shared" si="7"/>
        <v>18421</v>
      </c>
      <c r="C62">
        <f t="shared" si="7"/>
        <v>13576</v>
      </c>
      <c r="D62">
        <f t="shared" si="7"/>
        <v>15756.5</v>
      </c>
      <c r="E62">
        <f t="shared" si="7"/>
        <v>15605</v>
      </c>
      <c r="F62">
        <f t="shared" si="7"/>
        <v>15842.5</v>
      </c>
      <c r="G62">
        <f t="shared" si="7"/>
        <v>17252.5</v>
      </c>
      <c r="H62">
        <f t="shared" si="7"/>
        <v>13036.5</v>
      </c>
      <c r="I62">
        <f t="shared" si="7"/>
        <v>14875.5</v>
      </c>
      <c r="J62">
        <f t="shared" si="7"/>
        <v>14434.5</v>
      </c>
      <c r="K62">
        <f t="shared" si="7"/>
        <v>15212.5</v>
      </c>
      <c r="L62">
        <f t="shared" si="7"/>
        <v>12706.5</v>
      </c>
      <c r="M62">
        <f t="shared" si="7"/>
        <v>15446.5</v>
      </c>
    </row>
    <row r="63" spans="1:14" x14ac:dyDescent="0.35">
      <c r="A63" t="str">
        <f t="shared" ref="A63:M63" si="8">A50</f>
        <v>Grand Total</v>
      </c>
      <c r="B63">
        <f t="shared" si="8"/>
        <v>174421</v>
      </c>
      <c r="C63">
        <f t="shared" si="8"/>
        <v>119685</v>
      </c>
      <c r="D63">
        <f t="shared" si="8"/>
        <v>122392</v>
      </c>
      <c r="E63">
        <f t="shared" si="8"/>
        <v>125618.5</v>
      </c>
      <c r="F63">
        <f t="shared" si="8"/>
        <v>124594.5</v>
      </c>
      <c r="G63">
        <f t="shared" si="8"/>
        <v>129771</v>
      </c>
      <c r="H63">
        <f t="shared" si="8"/>
        <v>131509</v>
      </c>
      <c r="I63">
        <f t="shared" si="8"/>
        <v>123287.5</v>
      </c>
      <c r="J63">
        <f t="shared" si="8"/>
        <v>129344</v>
      </c>
      <c r="K63">
        <f t="shared" si="8"/>
        <v>119413.5</v>
      </c>
      <c r="L63">
        <f t="shared" si="8"/>
        <v>122346.5</v>
      </c>
      <c r="M63">
        <f t="shared" si="8"/>
        <v>129688.5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A25C-0510-4E4E-9F8B-04DFFCF3FB19}">
  <dimension ref="A1:E15"/>
  <sheetViews>
    <sheetView topLeftCell="A7" zoomScale="85" zoomScaleNormal="85" workbookViewId="0">
      <selection activeCell="A30" sqref="A30"/>
    </sheetView>
  </sheetViews>
  <sheetFormatPr defaultRowHeight="14.5" x14ac:dyDescent="0.35"/>
  <cols>
    <col min="1" max="1" width="16.90625" bestFit="1" customWidth="1"/>
    <col min="2" max="2" width="15.81640625" bestFit="1" customWidth="1"/>
    <col min="3" max="3" width="10.453125" bestFit="1" customWidth="1"/>
    <col min="4" max="4" width="12.6328125" bestFit="1" customWidth="1"/>
    <col min="5" max="5" width="10.81640625" bestFit="1" customWidth="1"/>
    <col min="6" max="6" width="8.81640625" bestFit="1" customWidth="1"/>
    <col min="7" max="8" width="7.81640625" bestFit="1" customWidth="1"/>
    <col min="9" max="9" width="8.81640625" bestFit="1" customWidth="1"/>
    <col min="10" max="10" width="7.81640625" bestFit="1" customWidth="1"/>
    <col min="11" max="13" width="8.81640625" bestFit="1" customWidth="1"/>
    <col min="14" max="14" width="10.7265625" bestFit="1" customWidth="1"/>
    <col min="15" max="19" width="7.81640625" bestFit="1" customWidth="1"/>
    <col min="20" max="20" width="5.81640625" bestFit="1" customWidth="1"/>
    <col min="21" max="23" width="7.81640625" bestFit="1" customWidth="1"/>
    <col min="24" max="24" width="5.81640625" bestFit="1" customWidth="1"/>
    <col min="25" max="25" width="7.81640625" bestFit="1" customWidth="1"/>
    <col min="26" max="26" width="5.81640625" bestFit="1" customWidth="1"/>
    <col min="27" max="27" width="9.54296875" bestFit="1" customWidth="1"/>
    <col min="28" max="32" width="7.81640625" bestFit="1" customWidth="1"/>
    <col min="33" max="33" width="5.81640625" bestFit="1" customWidth="1"/>
    <col min="34" max="34" width="7.81640625" bestFit="1" customWidth="1"/>
    <col min="35" max="35" width="5.81640625" bestFit="1" customWidth="1"/>
    <col min="36" max="39" width="7.81640625" bestFit="1" customWidth="1"/>
    <col min="40" max="40" width="9.54296875" bestFit="1" customWidth="1"/>
    <col min="41" max="41" width="7.81640625" bestFit="1" customWidth="1"/>
    <col min="42" max="42" width="9.54296875" bestFit="1" customWidth="1"/>
    <col min="43" max="43" width="10.7265625" bestFit="1" customWidth="1"/>
  </cols>
  <sheetData>
    <row r="1" spans="1:5" x14ac:dyDescent="0.35">
      <c r="A1" s="2" t="s">
        <v>24</v>
      </c>
      <c r="B1" s="2" t="s">
        <v>25</v>
      </c>
    </row>
    <row r="2" spans="1:5" x14ac:dyDescent="0.35">
      <c r="A2" s="2" t="s">
        <v>22</v>
      </c>
      <c r="B2" t="s">
        <v>16</v>
      </c>
      <c r="C2" t="s">
        <v>17</v>
      </c>
      <c r="D2" t="s">
        <v>18</v>
      </c>
      <c r="E2" t="s">
        <v>23</v>
      </c>
    </row>
    <row r="3" spans="1:5" x14ac:dyDescent="0.35">
      <c r="A3" s="3">
        <v>1</v>
      </c>
      <c r="B3">
        <v>59766</v>
      </c>
      <c r="C3">
        <v>56768</v>
      </c>
      <c r="D3">
        <v>57887</v>
      </c>
      <c r="E3">
        <v>174421</v>
      </c>
    </row>
    <row r="4" spans="1:5" x14ac:dyDescent="0.35">
      <c r="A4" s="3">
        <v>2</v>
      </c>
      <c r="B4">
        <v>41592.5</v>
      </c>
      <c r="C4">
        <v>38795</v>
      </c>
      <c r="D4">
        <v>39297.5</v>
      </c>
      <c r="E4">
        <v>119685</v>
      </c>
    </row>
    <row r="5" spans="1:5" x14ac:dyDescent="0.35">
      <c r="A5" s="3">
        <v>3</v>
      </c>
      <c r="B5">
        <v>42248.5</v>
      </c>
      <c r="C5">
        <v>40249</v>
      </c>
      <c r="D5">
        <v>39894.5</v>
      </c>
      <c r="E5">
        <v>122392</v>
      </c>
    </row>
    <row r="6" spans="1:5" x14ac:dyDescent="0.35">
      <c r="A6" s="3">
        <v>4</v>
      </c>
      <c r="B6">
        <v>38813.5</v>
      </c>
      <c r="C6">
        <v>46562</v>
      </c>
      <c r="D6">
        <v>40243</v>
      </c>
      <c r="E6">
        <v>125618.5</v>
      </c>
    </row>
    <row r="7" spans="1:5" x14ac:dyDescent="0.35">
      <c r="A7" s="3">
        <v>5</v>
      </c>
      <c r="B7">
        <v>46761</v>
      </c>
      <c r="C7">
        <v>37736.5</v>
      </c>
      <c r="D7">
        <v>40097</v>
      </c>
      <c r="E7">
        <v>124594.5</v>
      </c>
    </row>
    <row r="8" spans="1:5" x14ac:dyDescent="0.35">
      <c r="A8" s="3">
        <v>6</v>
      </c>
      <c r="B8">
        <v>47142.5</v>
      </c>
      <c r="C8">
        <v>40705.5</v>
      </c>
      <c r="D8">
        <v>41923</v>
      </c>
      <c r="E8">
        <v>129771</v>
      </c>
    </row>
    <row r="9" spans="1:5" x14ac:dyDescent="0.35">
      <c r="A9" s="3">
        <v>7</v>
      </c>
      <c r="B9">
        <v>44831</v>
      </c>
      <c r="C9">
        <v>39895.5</v>
      </c>
      <c r="D9">
        <v>46782.5</v>
      </c>
      <c r="E9">
        <v>131509</v>
      </c>
    </row>
    <row r="10" spans="1:5" x14ac:dyDescent="0.35">
      <c r="A10" s="3">
        <v>8</v>
      </c>
      <c r="B10">
        <v>41471</v>
      </c>
      <c r="C10">
        <v>44535</v>
      </c>
      <c r="D10">
        <v>37281.5</v>
      </c>
      <c r="E10">
        <v>123287.5</v>
      </c>
    </row>
    <row r="11" spans="1:5" x14ac:dyDescent="0.35">
      <c r="A11" s="3">
        <v>9</v>
      </c>
      <c r="B11">
        <v>48672.5</v>
      </c>
      <c r="C11">
        <v>41539.5</v>
      </c>
      <c r="D11">
        <v>39132</v>
      </c>
      <c r="E11">
        <v>129344</v>
      </c>
    </row>
    <row r="12" spans="1:5" x14ac:dyDescent="0.35">
      <c r="A12" s="3">
        <v>10</v>
      </c>
      <c r="B12">
        <v>39659</v>
      </c>
      <c r="C12">
        <v>40263</v>
      </c>
      <c r="D12">
        <v>39491.5</v>
      </c>
      <c r="E12">
        <v>119413.5</v>
      </c>
    </row>
    <row r="13" spans="1:5" x14ac:dyDescent="0.35">
      <c r="A13" s="3">
        <v>11</v>
      </c>
      <c r="B13">
        <v>41935.5</v>
      </c>
      <c r="C13">
        <v>41101.5</v>
      </c>
      <c r="D13">
        <v>39309.5</v>
      </c>
      <c r="E13">
        <v>122346.5</v>
      </c>
    </row>
    <row r="14" spans="1:5" x14ac:dyDescent="0.35">
      <c r="A14" s="3">
        <v>12</v>
      </c>
      <c r="B14">
        <v>44817</v>
      </c>
      <c r="C14">
        <v>38931.5</v>
      </c>
      <c r="D14">
        <v>45940</v>
      </c>
      <c r="E14">
        <v>129688.5</v>
      </c>
    </row>
    <row r="15" spans="1:5" x14ac:dyDescent="0.35">
      <c r="A15" s="3" t="s">
        <v>23</v>
      </c>
      <c r="B15">
        <v>537710</v>
      </c>
      <c r="C15">
        <v>507082</v>
      </c>
      <c r="D15">
        <v>507279</v>
      </c>
      <c r="E15">
        <v>1552071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B89B0-6E61-4F54-9807-6728D4991C90}">
  <dimension ref="A1:D15"/>
  <sheetViews>
    <sheetView topLeftCell="A4" workbookViewId="0">
      <selection activeCell="K7" sqref="K7"/>
    </sheetView>
  </sheetViews>
  <sheetFormatPr defaultRowHeight="14.5" x14ac:dyDescent="0.35"/>
  <cols>
    <col min="1" max="1" width="16.7265625" bestFit="1" customWidth="1"/>
    <col min="2" max="2" width="15.26953125" bestFit="1" customWidth="1"/>
    <col min="3" max="3" width="7.81640625" bestFit="1" customWidth="1"/>
    <col min="4" max="4" width="10.7265625" bestFit="1" customWidth="1"/>
  </cols>
  <sheetData>
    <row r="1" spans="1:4" x14ac:dyDescent="0.35">
      <c r="A1" s="2" t="s">
        <v>24</v>
      </c>
      <c r="B1" s="2" t="s">
        <v>25</v>
      </c>
    </row>
    <row r="2" spans="1:4" x14ac:dyDescent="0.35">
      <c r="A2" s="2" t="s">
        <v>22</v>
      </c>
      <c r="B2" t="s">
        <v>20</v>
      </c>
      <c r="C2" t="s">
        <v>21</v>
      </c>
      <c r="D2" t="s">
        <v>23</v>
      </c>
    </row>
    <row r="3" spans="1:4" x14ac:dyDescent="0.35">
      <c r="A3" s="3">
        <v>1</v>
      </c>
      <c r="B3">
        <v>93530.5</v>
      </c>
      <c r="C3">
        <v>80890.5</v>
      </c>
      <c r="D3">
        <v>174421</v>
      </c>
    </row>
    <row r="4" spans="1:4" x14ac:dyDescent="0.35">
      <c r="A4" s="3">
        <v>2</v>
      </c>
      <c r="B4">
        <v>58850</v>
      </c>
      <c r="C4">
        <v>60835</v>
      </c>
      <c r="D4">
        <v>119685</v>
      </c>
    </row>
    <row r="5" spans="1:4" x14ac:dyDescent="0.35">
      <c r="A5" s="3">
        <v>3</v>
      </c>
      <c r="B5">
        <v>63780.5</v>
      </c>
      <c r="C5">
        <v>58611.5</v>
      </c>
      <c r="D5">
        <v>122392</v>
      </c>
    </row>
    <row r="6" spans="1:4" x14ac:dyDescent="0.35">
      <c r="A6" s="3">
        <v>4</v>
      </c>
      <c r="B6">
        <v>58480</v>
      </c>
      <c r="C6">
        <v>67138.5</v>
      </c>
      <c r="D6">
        <v>125618.5</v>
      </c>
    </row>
    <row r="7" spans="1:4" x14ac:dyDescent="0.35">
      <c r="A7" s="3">
        <v>5</v>
      </c>
      <c r="B7">
        <v>60597</v>
      </c>
      <c r="C7">
        <v>63997.5</v>
      </c>
      <c r="D7">
        <v>124594.5</v>
      </c>
    </row>
    <row r="8" spans="1:4" x14ac:dyDescent="0.35">
      <c r="A8" s="3">
        <v>6</v>
      </c>
      <c r="B8">
        <v>61721</v>
      </c>
      <c r="C8">
        <v>68050</v>
      </c>
      <c r="D8">
        <v>129771</v>
      </c>
    </row>
    <row r="9" spans="1:4" x14ac:dyDescent="0.35">
      <c r="A9" s="3">
        <v>7</v>
      </c>
      <c r="B9">
        <v>64294.5</v>
      </c>
      <c r="C9">
        <v>67214.5</v>
      </c>
      <c r="D9">
        <v>131509</v>
      </c>
    </row>
    <row r="10" spans="1:4" x14ac:dyDescent="0.35">
      <c r="A10" s="3">
        <v>8</v>
      </c>
      <c r="B10">
        <v>57776</v>
      </c>
      <c r="C10">
        <v>65511.5</v>
      </c>
      <c r="D10">
        <v>123287.5</v>
      </c>
    </row>
    <row r="11" spans="1:4" x14ac:dyDescent="0.35">
      <c r="A11" s="3">
        <v>9</v>
      </c>
      <c r="B11">
        <v>57786.5</v>
      </c>
      <c r="C11">
        <v>71557.5</v>
      </c>
      <c r="D11">
        <v>129344</v>
      </c>
    </row>
    <row r="12" spans="1:4" x14ac:dyDescent="0.35">
      <c r="A12" s="3">
        <v>10</v>
      </c>
      <c r="B12">
        <v>60566.5</v>
      </c>
      <c r="C12">
        <v>58847</v>
      </c>
      <c r="D12">
        <v>119413.5</v>
      </c>
    </row>
    <row r="13" spans="1:4" x14ac:dyDescent="0.35">
      <c r="A13" s="3">
        <v>11</v>
      </c>
      <c r="B13">
        <v>58084.5</v>
      </c>
      <c r="C13">
        <v>64262</v>
      </c>
      <c r="D13">
        <v>122346.5</v>
      </c>
    </row>
    <row r="14" spans="1:4" x14ac:dyDescent="0.35">
      <c r="A14" s="3">
        <v>12</v>
      </c>
      <c r="B14">
        <v>65203</v>
      </c>
      <c r="C14">
        <v>64485.5</v>
      </c>
      <c r="D14">
        <v>129688.5</v>
      </c>
    </row>
    <row r="15" spans="1:4" x14ac:dyDescent="0.35">
      <c r="A15" s="3" t="s">
        <v>23</v>
      </c>
      <c r="B15">
        <v>760670</v>
      </c>
      <c r="C15">
        <v>791401</v>
      </c>
      <c r="D15">
        <v>1552071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7"/>
  <sheetViews>
    <sheetView zoomScale="70" zoomScaleNormal="70" workbookViewId="0">
      <selection activeCell="A7" sqref="A7"/>
    </sheetView>
  </sheetViews>
  <sheetFormatPr defaultRowHeight="14.5" x14ac:dyDescent="0.35"/>
  <cols>
    <col min="1" max="1" width="43.6328125" customWidth="1"/>
  </cols>
  <sheetData>
    <row r="1" spans="1:7" x14ac:dyDescent="0.35">
      <c r="A1" s="1" t="s">
        <v>0</v>
      </c>
      <c r="B1" s="1" t="s">
        <v>1</v>
      </c>
      <c r="C1" s="1" t="s">
        <v>2</v>
      </c>
      <c r="D1" s="1" t="s">
        <v>3</v>
      </c>
      <c r="E1" s="1" t="s">
        <v>4</v>
      </c>
      <c r="F1" s="1" t="s">
        <v>5</v>
      </c>
      <c r="G1" s="1" t="s">
        <v>6</v>
      </c>
    </row>
    <row r="2" spans="1:7" x14ac:dyDescent="0.35">
      <c r="A2" s="1" t="s">
        <v>7</v>
      </c>
      <c r="B2" s="1">
        <v>2022</v>
      </c>
      <c r="C2" s="1">
        <v>1</v>
      </c>
      <c r="D2">
        <v>39</v>
      </c>
      <c r="E2">
        <v>26.92307692307692</v>
      </c>
      <c r="F2">
        <v>222</v>
      </c>
      <c r="G2">
        <v>5784</v>
      </c>
    </row>
    <row r="3" spans="1:7" x14ac:dyDescent="0.35">
      <c r="A3" s="1" t="s">
        <v>7</v>
      </c>
      <c r="B3" s="1">
        <v>2022</v>
      </c>
      <c r="C3" s="1">
        <v>2</v>
      </c>
      <c r="D3">
        <v>41</v>
      </c>
      <c r="E3">
        <v>23.512195121951219</v>
      </c>
      <c r="F3">
        <v>272</v>
      </c>
      <c r="G3">
        <v>6457</v>
      </c>
    </row>
    <row r="4" spans="1:7" x14ac:dyDescent="0.35">
      <c r="A4" s="1" t="s">
        <v>7</v>
      </c>
      <c r="B4" s="1">
        <v>2022</v>
      </c>
      <c r="C4" s="1">
        <v>3</v>
      </c>
      <c r="D4">
        <v>39</v>
      </c>
      <c r="E4">
        <v>22.03846153846154</v>
      </c>
      <c r="F4">
        <v>205</v>
      </c>
      <c r="G4">
        <v>4493</v>
      </c>
    </row>
    <row r="5" spans="1:7" x14ac:dyDescent="0.35">
      <c r="A5" s="1" t="s">
        <v>7</v>
      </c>
      <c r="B5" s="1">
        <v>2022</v>
      </c>
      <c r="C5" s="1">
        <v>4</v>
      </c>
      <c r="D5">
        <v>34</v>
      </c>
      <c r="E5">
        <v>23.308823529411761</v>
      </c>
      <c r="F5">
        <v>179</v>
      </c>
      <c r="G5">
        <v>4096</v>
      </c>
    </row>
    <row r="6" spans="1:7" x14ac:dyDescent="0.35">
      <c r="A6" s="1" t="s">
        <v>7</v>
      </c>
      <c r="B6" s="1">
        <v>2022</v>
      </c>
      <c r="C6" s="1">
        <v>5</v>
      </c>
      <c r="D6">
        <v>37</v>
      </c>
      <c r="E6">
        <v>25.22972972972973</v>
      </c>
      <c r="F6">
        <v>229</v>
      </c>
      <c r="G6">
        <v>5643.5</v>
      </c>
    </row>
    <row r="7" spans="1:7" x14ac:dyDescent="0.35">
      <c r="A7" s="1" t="s">
        <v>7</v>
      </c>
      <c r="B7" s="1">
        <v>2022</v>
      </c>
      <c r="C7" s="1">
        <v>6</v>
      </c>
      <c r="D7">
        <v>45</v>
      </c>
      <c r="E7">
        <v>23.033333333333331</v>
      </c>
      <c r="F7">
        <v>220</v>
      </c>
      <c r="G7">
        <v>5088.5</v>
      </c>
    </row>
    <row r="8" spans="1:7" x14ac:dyDescent="0.35">
      <c r="A8" s="1" t="s">
        <v>7</v>
      </c>
      <c r="B8" s="1">
        <v>2022</v>
      </c>
      <c r="C8" s="1">
        <v>7</v>
      </c>
      <c r="D8">
        <v>52</v>
      </c>
      <c r="E8">
        <v>23</v>
      </c>
      <c r="F8">
        <v>286</v>
      </c>
      <c r="G8">
        <v>6434</v>
      </c>
    </row>
    <row r="9" spans="1:7" x14ac:dyDescent="0.35">
      <c r="A9" s="1" t="s">
        <v>7</v>
      </c>
      <c r="B9" s="1">
        <v>2022</v>
      </c>
      <c r="C9" s="1">
        <v>8</v>
      </c>
      <c r="D9">
        <v>48</v>
      </c>
      <c r="E9">
        <v>18.5</v>
      </c>
      <c r="F9">
        <v>268</v>
      </c>
      <c r="G9">
        <v>5118.5</v>
      </c>
    </row>
    <row r="10" spans="1:7" x14ac:dyDescent="0.35">
      <c r="A10" s="1" t="s">
        <v>7</v>
      </c>
      <c r="B10" s="1">
        <v>2022</v>
      </c>
      <c r="C10" s="1">
        <v>9</v>
      </c>
      <c r="D10">
        <v>33</v>
      </c>
      <c r="E10">
        <v>22.18181818181818</v>
      </c>
      <c r="F10">
        <v>220</v>
      </c>
      <c r="G10">
        <v>5013.5</v>
      </c>
    </row>
    <row r="11" spans="1:7" x14ac:dyDescent="0.35">
      <c r="A11" s="1" t="s">
        <v>7</v>
      </c>
      <c r="B11" s="1">
        <v>2022</v>
      </c>
      <c r="C11" s="1">
        <v>10</v>
      </c>
      <c r="D11">
        <v>31</v>
      </c>
      <c r="E11">
        <v>23.048387096774189</v>
      </c>
      <c r="F11">
        <v>176</v>
      </c>
      <c r="G11">
        <v>4279</v>
      </c>
    </row>
    <row r="12" spans="1:7" x14ac:dyDescent="0.35">
      <c r="A12" s="1" t="s">
        <v>7</v>
      </c>
      <c r="B12" s="1">
        <v>2022</v>
      </c>
      <c r="C12" s="1">
        <v>11</v>
      </c>
      <c r="D12">
        <v>37</v>
      </c>
      <c r="E12">
        <v>27.621621621621621</v>
      </c>
      <c r="F12">
        <v>213</v>
      </c>
      <c r="G12">
        <v>5817</v>
      </c>
    </row>
    <row r="13" spans="1:7" x14ac:dyDescent="0.35">
      <c r="A13" s="1" t="s">
        <v>7</v>
      </c>
      <c r="B13" s="1">
        <v>2022</v>
      </c>
      <c r="C13" s="1">
        <v>12</v>
      </c>
      <c r="D13">
        <v>43</v>
      </c>
      <c r="E13">
        <v>23</v>
      </c>
      <c r="F13">
        <v>231</v>
      </c>
      <c r="G13">
        <v>5331</v>
      </c>
    </row>
    <row r="14" spans="1:7" x14ac:dyDescent="0.35">
      <c r="A14" s="1" t="s">
        <v>7</v>
      </c>
      <c r="B14" s="1">
        <v>2023</v>
      </c>
      <c r="C14" s="1">
        <v>1</v>
      </c>
      <c r="D14">
        <v>46</v>
      </c>
      <c r="E14">
        <v>24.565217391304351</v>
      </c>
      <c r="F14">
        <v>255</v>
      </c>
      <c r="G14">
        <v>6360</v>
      </c>
    </row>
    <row r="15" spans="1:7" x14ac:dyDescent="0.35">
      <c r="A15" s="1" t="s">
        <v>7</v>
      </c>
      <c r="B15" s="1">
        <v>2023</v>
      </c>
      <c r="C15" s="1">
        <v>2</v>
      </c>
      <c r="D15">
        <v>41</v>
      </c>
      <c r="E15">
        <v>23</v>
      </c>
      <c r="F15">
        <v>243</v>
      </c>
      <c r="G15">
        <v>5806.5</v>
      </c>
    </row>
    <row r="16" spans="1:7" x14ac:dyDescent="0.35">
      <c r="A16" s="1" t="s">
        <v>7</v>
      </c>
      <c r="B16" s="1">
        <v>2023</v>
      </c>
      <c r="C16" s="1">
        <v>3</v>
      </c>
      <c r="D16">
        <v>36</v>
      </c>
      <c r="E16">
        <v>19</v>
      </c>
      <c r="F16">
        <v>219</v>
      </c>
      <c r="G16">
        <v>4099.5</v>
      </c>
    </row>
    <row r="17" spans="1:7" x14ac:dyDescent="0.35">
      <c r="A17" s="1" t="s">
        <v>7</v>
      </c>
      <c r="B17" s="1">
        <v>2023</v>
      </c>
      <c r="C17" s="1">
        <v>4</v>
      </c>
      <c r="D17">
        <v>32</v>
      </c>
      <c r="E17">
        <v>22.90625</v>
      </c>
      <c r="F17">
        <v>153</v>
      </c>
      <c r="G17">
        <v>3720</v>
      </c>
    </row>
    <row r="18" spans="1:7" x14ac:dyDescent="0.35">
      <c r="A18" s="1" t="s">
        <v>7</v>
      </c>
      <c r="B18" s="1">
        <v>2023</v>
      </c>
      <c r="C18" s="1">
        <v>5</v>
      </c>
      <c r="D18">
        <v>38</v>
      </c>
      <c r="E18">
        <v>23.75</v>
      </c>
      <c r="F18">
        <v>209</v>
      </c>
      <c r="G18">
        <v>5123.5</v>
      </c>
    </row>
    <row r="19" spans="1:7" x14ac:dyDescent="0.35">
      <c r="A19" s="1" t="s">
        <v>7</v>
      </c>
      <c r="B19" s="1">
        <v>2023</v>
      </c>
      <c r="C19" s="1">
        <v>6</v>
      </c>
      <c r="D19">
        <v>34</v>
      </c>
      <c r="E19">
        <v>20.22058823529412</v>
      </c>
      <c r="F19">
        <v>183</v>
      </c>
      <c r="G19">
        <v>3748.5</v>
      </c>
    </row>
    <row r="20" spans="1:7" x14ac:dyDescent="0.35">
      <c r="A20" s="1" t="s">
        <v>7</v>
      </c>
      <c r="B20" s="1">
        <v>2023</v>
      </c>
      <c r="C20" s="1">
        <v>7</v>
      </c>
      <c r="D20">
        <v>55</v>
      </c>
      <c r="E20">
        <v>23.927272727272729</v>
      </c>
      <c r="F20">
        <v>266</v>
      </c>
      <c r="G20">
        <v>6187</v>
      </c>
    </row>
    <row r="21" spans="1:7" x14ac:dyDescent="0.35">
      <c r="A21" s="1" t="s">
        <v>7</v>
      </c>
      <c r="B21" s="1">
        <v>2023</v>
      </c>
      <c r="C21" s="1">
        <v>8</v>
      </c>
      <c r="D21">
        <v>28</v>
      </c>
      <c r="E21">
        <v>21.875</v>
      </c>
      <c r="F21">
        <v>149</v>
      </c>
      <c r="G21">
        <v>3334</v>
      </c>
    </row>
    <row r="22" spans="1:7" x14ac:dyDescent="0.35">
      <c r="A22" s="1" t="s">
        <v>7</v>
      </c>
      <c r="B22" s="1">
        <v>2023</v>
      </c>
      <c r="C22" s="1">
        <v>9</v>
      </c>
      <c r="D22">
        <v>38</v>
      </c>
      <c r="E22">
        <v>22.40789473684211</v>
      </c>
      <c r="F22">
        <v>188</v>
      </c>
      <c r="G22">
        <v>4156</v>
      </c>
    </row>
    <row r="23" spans="1:7" x14ac:dyDescent="0.35">
      <c r="A23" s="1" t="s">
        <v>7</v>
      </c>
      <c r="B23" s="1">
        <v>2023</v>
      </c>
      <c r="C23" s="1">
        <v>10</v>
      </c>
      <c r="D23">
        <v>38</v>
      </c>
      <c r="E23">
        <v>24.34210526315789</v>
      </c>
      <c r="F23">
        <v>235</v>
      </c>
      <c r="G23">
        <v>5556.5</v>
      </c>
    </row>
    <row r="24" spans="1:7" x14ac:dyDescent="0.35">
      <c r="A24" s="1" t="s">
        <v>7</v>
      </c>
      <c r="B24" s="1">
        <v>2023</v>
      </c>
      <c r="C24" s="1">
        <v>11</v>
      </c>
      <c r="D24">
        <v>30</v>
      </c>
      <c r="E24">
        <v>23.95</v>
      </c>
      <c r="F24">
        <v>167</v>
      </c>
      <c r="G24">
        <v>4037.5</v>
      </c>
    </row>
    <row r="25" spans="1:7" x14ac:dyDescent="0.35">
      <c r="A25" s="1" t="s">
        <v>7</v>
      </c>
      <c r="B25" s="1">
        <v>2023</v>
      </c>
      <c r="C25" s="1">
        <v>12</v>
      </c>
      <c r="D25">
        <v>33</v>
      </c>
      <c r="E25">
        <v>23.18181818181818</v>
      </c>
      <c r="F25">
        <v>163</v>
      </c>
      <c r="G25">
        <v>3603.5</v>
      </c>
    </row>
    <row r="26" spans="1:7" x14ac:dyDescent="0.35">
      <c r="A26" s="1" t="s">
        <v>7</v>
      </c>
      <c r="B26" s="1">
        <v>2024</v>
      </c>
      <c r="C26" s="1">
        <v>1</v>
      </c>
      <c r="D26">
        <v>44</v>
      </c>
      <c r="E26">
        <v>21.90909090909091</v>
      </c>
      <c r="F26">
        <v>268</v>
      </c>
      <c r="G26">
        <v>6135.5</v>
      </c>
    </row>
    <row r="27" spans="1:7" x14ac:dyDescent="0.35">
      <c r="A27" s="1" t="s">
        <v>7</v>
      </c>
      <c r="B27" s="1">
        <v>2024</v>
      </c>
      <c r="C27" s="1">
        <v>2</v>
      </c>
      <c r="D27">
        <v>36</v>
      </c>
      <c r="E27">
        <v>23.125</v>
      </c>
      <c r="F27">
        <v>206</v>
      </c>
      <c r="G27">
        <v>4873</v>
      </c>
    </row>
    <row r="28" spans="1:7" x14ac:dyDescent="0.35">
      <c r="A28" s="1" t="s">
        <v>7</v>
      </c>
      <c r="B28" s="1">
        <v>2024</v>
      </c>
      <c r="C28" s="1">
        <v>3</v>
      </c>
      <c r="D28">
        <v>53</v>
      </c>
      <c r="E28">
        <v>23.537735849056599</v>
      </c>
      <c r="F28">
        <v>283</v>
      </c>
      <c r="G28">
        <v>6534.5</v>
      </c>
    </row>
    <row r="29" spans="1:7" x14ac:dyDescent="0.35">
      <c r="A29" s="1" t="s">
        <v>7</v>
      </c>
      <c r="B29" s="1">
        <v>2024</v>
      </c>
      <c r="C29" s="1">
        <v>4</v>
      </c>
      <c r="D29">
        <v>34</v>
      </c>
      <c r="E29">
        <v>22.691176470588239</v>
      </c>
      <c r="F29">
        <v>202</v>
      </c>
      <c r="G29">
        <v>5213</v>
      </c>
    </row>
    <row r="30" spans="1:7" x14ac:dyDescent="0.35">
      <c r="A30" s="1" t="s">
        <v>7</v>
      </c>
      <c r="B30" s="1">
        <v>2024</v>
      </c>
      <c r="C30" s="1">
        <v>5</v>
      </c>
      <c r="D30">
        <v>60</v>
      </c>
      <c r="E30">
        <v>22.55</v>
      </c>
      <c r="F30">
        <v>279</v>
      </c>
      <c r="G30">
        <v>6402</v>
      </c>
    </row>
    <row r="31" spans="1:7" x14ac:dyDescent="0.35">
      <c r="A31" s="1" t="s">
        <v>7</v>
      </c>
      <c r="B31" s="1">
        <v>2024</v>
      </c>
      <c r="C31" s="1">
        <v>6</v>
      </c>
      <c r="D31">
        <v>56</v>
      </c>
      <c r="E31">
        <v>23.428571428571431</v>
      </c>
      <c r="F31">
        <v>298</v>
      </c>
      <c r="G31">
        <v>7361</v>
      </c>
    </row>
    <row r="32" spans="1:7" x14ac:dyDescent="0.35">
      <c r="A32" s="1" t="s">
        <v>7</v>
      </c>
      <c r="B32" s="1">
        <v>2024</v>
      </c>
      <c r="C32" s="1">
        <v>7</v>
      </c>
      <c r="D32">
        <v>38</v>
      </c>
      <c r="E32">
        <v>24.460526315789469</v>
      </c>
      <c r="F32">
        <v>218</v>
      </c>
      <c r="G32">
        <v>5341</v>
      </c>
    </row>
    <row r="33" spans="1:7" x14ac:dyDescent="0.35">
      <c r="A33" s="1" t="s">
        <v>7</v>
      </c>
      <c r="B33" s="1">
        <v>2024</v>
      </c>
      <c r="C33" s="1">
        <v>8</v>
      </c>
      <c r="D33">
        <v>54</v>
      </c>
      <c r="E33">
        <v>23.083333333333329</v>
      </c>
      <c r="F33">
        <v>322</v>
      </c>
      <c r="G33">
        <v>7475</v>
      </c>
    </row>
    <row r="34" spans="1:7" x14ac:dyDescent="0.35">
      <c r="A34" s="1" t="s">
        <v>7</v>
      </c>
      <c r="B34" s="1">
        <v>2024</v>
      </c>
      <c r="C34" s="1">
        <v>9</v>
      </c>
      <c r="D34">
        <v>45</v>
      </c>
      <c r="E34">
        <v>26.3</v>
      </c>
      <c r="F34">
        <v>272</v>
      </c>
      <c r="G34">
        <v>7423</v>
      </c>
    </row>
    <row r="35" spans="1:7" x14ac:dyDescent="0.35">
      <c r="A35" s="1" t="s">
        <v>7</v>
      </c>
      <c r="B35" s="1">
        <v>2024</v>
      </c>
      <c r="C35" s="1">
        <v>10</v>
      </c>
      <c r="D35">
        <v>42</v>
      </c>
      <c r="E35">
        <v>23.714285714285719</v>
      </c>
      <c r="F35">
        <v>258</v>
      </c>
      <c r="G35">
        <v>6069</v>
      </c>
    </row>
    <row r="36" spans="1:7" x14ac:dyDescent="0.35">
      <c r="A36" s="1" t="s">
        <v>7</v>
      </c>
      <c r="B36" s="1">
        <v>2024</v>
      </c>
      <c r="C36" s="1">
        <v>11</v>
      </c>
      <c r="D36">
        <v>42</v>
      </c>
      <c r="E36">
        <v>23.571428571428569</v>
      </c>
      <c r="F36">
        <v>225</v>
      </c>
      <c r="G36">
        <v>5647.5</v>
      </c>
    </row>
    <row r="37" spans="1:7" x14ac:dyDescent="0.35">
      <c r="A37" s="1" t="s">
        <v>7</v>
      </c>
      <c r="B37" s="1">
        <v>2024</v>
      </c>
      <c r="C37" s="1">
        <v>12</v>
      </c>
      <c r="D37">
        <v>39</v>
      </c>
      <c r="E37">
        <v>25.30769230769231</v>
      </c>
      <c r="F37">
        <v>233</v>
      </c>
      <c r="G37">
        <v>5731</v>
      </c>
    </row>
    <row r="38" spans="1:7" x14ac:dyDescent="0.35">
      <c r="A38" s="1" t="s">
        <v>7</v>
      </c>
      <c r="B38" s="1">
        <v>2025</v>
      </c>
      <c r="C38" s="1">
        <v>1</v>
      </c>
      <c r="D38">
        <v>25</v>
      </c>
      <c r="E38">
        <v>24.08</v>
      </c>
      <c r="F38">
        <v>143</v>
      </c>
      <c r="G38">
        <v>3554.5</v>
      </c>
    </row>
    <row r="39" spans="1:7" x14ac:dyDescent="0.35">
      <c r="A39" s="1" t="s">
        <v>8</v>
      </c>
      <c r="B39" s="1">
        <v>2022</v>
      </c>
      <c r="C39" s="1">
        <v>1</v>
      </c>
      <c r="D39">
        <v>56</v>
      </c>
      <c r="E39">
        <v>24.473214285714281</v>
      </c>
      <c r="F39">
        <v>340</v>
      </c>
      <c r="G39">
        <v>8732</v>
      </c>
    </row>
    <row r="40" spans="1:7" x14ac:dyDescent="0.35">
      <c r="A40" s="1" t="s">
        <v>8</v>
      </c>
      <c r="B40" s="1">
        <v>2022</v>
      </c>
      <c r="C40" s="1">
        <v>2</v>
      </c>
      <c r="D40">
        <v>49</v>
      </c>
      <c r="E40">
        <v>28.142857142857139</v>
      </c>
      <c r="F40">
        <v>288</v>
      </c>
      <c r="G40">
        <v>8122.5</v>
      </c>
    </row>
    <row r="41" spans="1:7" x14ac:dyDescent="0.35">
      <c r="A41" s="1" t="s">
        <v>8</v>
      </c>
      <c r="B41" s="1">
        <v>2022</v>
      </c>
      <c r="C41" s="1">
        <v>3</v>
      </c>
      <c r="D41">
        <v>34</v>
      </c>
      <c r="E41">
        <v>23.264705882352938</v>
      </c>
      <c r="F41">
        <v>169</v>
      </c>
      <c r="G41">
        <v>4145</v>
      </c>
    </row>
    <row r="42" spans="1:7" x14ac:dyDescent="0.35">
      <c r="A42" s="1" t="s">
        <v>8</v>
      </c>
      <c r="B42" s="1">
        <v>2022</v>
      </c>
      <c r="C42" s="1">
        <v>4</v>
      </c>
      <c r="D42">
        <v>40</v>
      </c>
      <c r="E42">
        <v>25.587499999999999</v>
      </c>
      <c r="F42">
        <v>223</v>
      </c>
      <c r="G42">
        <v>5828</v>
      </c>
    </row>
    <row r="43" spans="1:7" x14ac:dyDescent="0.35">
      <c r="A43" s="1" t="s">
        <v>8</v>
      </c>
      <c r="B43" s="1">
        <v>2022</v>
      </c>
      <c r="C43" s="1">
        <v>5</v>
      </c>
      <c r="D43">
        <v>39</v>
      </c>
      <c r="E43">
        <v>27.73076923076923</v>
      </c>
      <c r="F43">
        <v>212</v>
      </c>
      <c r="G43">
        <v>6040</v>
      </c>
    </row>
    <row r="44" spans="1:7" x14ac:dyDescent="0.35">
      <c r="A44" s="1" t="s">
        <v>8</v>
      </c>
      <c r="B44" s="1">
        <v>2022</v>
      </c>
      <c r="C44" s="1">
        <v>6</v>
      </c>
      <c r="D44">
        <v>38</v>
      </c>
      <c r="E44">
        <v>25.84210526315789</v>
      </c>
      <c r="F44">
        <v>229</v>
      </c>
      <c r="G44">
        <v>6012.5</v>
      </c>
    </row>
    <row r="45" spans="1:7" x14ac:dyDescent="0.35">
      <c r="A45" s="1" t="s">
        <v>8</v>
      </c>
      <c r="B45" s="1">
        <v>2022</v>
      </c>
      <c r="C45" s="1">
        <v>7</v>
      </c>
      <c r="D45">
        <v>56</v>
      </c>
      <c r="E45">
        <v>24.178571428571431</v>
      </c>
      <c r="F45">
        <v>269</v>
      </c>
      <c r="G45">
        <v>6349</v>
      </c>
    </row>
    <row r="46" spans="1:7" x14ac:dyDescent="0.35">
      <c r="A46" s="1" t="s">
        <v>8</v>
      </c>
      <c r="B46" s="1">
        <v>2022</v>
      </c>
      <c r="C46" s="1">
        <v>8</v>
      </c>
      <c r="D46">
        <v>50</v>
      </c>
      <c r="E46">
        <v>25.37</v>
      </c>
      <c r="F46">
        <v>279</v>
      </c>
      <c r="G46">
        <v>7468.5</v>
      </c>
    </row>
    <row r="47" spans="1:7" x14ac:dyDescent="0.35">
      <c r="A47" s="1" t="s">
        <v>8</v>
      </c>
      <c r="B47" s="1">
        <v>2022</v>
      </c>
      <c r="C47" s="1">
        <v>9</v>
      </c>
      <c r="D47">
        <v>48</v>
      </c>
      <c r="E47">
        <v>24.34375</v>
      </c>
      <c r="F47">
        <v>287</v>
      </c>
      <c r="G47">
        <v>7169.5</v>
      </c>
    </row>
    <row r="48" spans="1:7" x14ac:dyDescent="0.35">
      <c r="A48" s="1" t="s">
        <v>8</v>
      </c>
      <c r="B48" s="1">
        <v>2022</v>
      </c>
      <c r="C48" s="1">
        <v>10</v>
      </c>
      <c r="D48">
        <v>52</v>
      </c>
      <c r="E48">
        <v>26</v>
      </c>
      <c r="F48">
        <v>274</v>
      </c>
      <c r="G48">
        <v>7170.5</v>
      </c>
    </row>
    <row r="49" spans="1:7" x14ac:dyDescent="0.35">
      <c r="A49" s="1" t="s">
        <v>8</v>
      </c>
      <c r="B49" s="1">
        <v>2022</v>
      </c>
      <c r="C49" s="1">
        <v>11</v>
      </c>
      <c r="D49">
        <v>49</v>
      </c>
      <c r="E49">
        <v>25.020408163265309</v>
      </c>
      <c r="F49">
        <v>249</v>
      </c>
      <c r="G49">
        <v>6271.5</v>
      </c>
    </row>
    <row r="50" spans="1:7" x14ac:dyDescent="0.35">
      <c r="A50" s="1" t="s">
        <v>8</v>
      </c>
      <c r="B50" s="1">
        <v>2022</v>
      </c>
      <c r="C50" s="1">
        <v>12</v>
      </c>
      <c r="D50">
        <v>38</v>
      </c>
      <c r="E50">
        <v>23.276315789473681</v>
      </c>
      <c r="F50">
        <v>260</v>
      </c>
      <c r="G50">
        <v>6086.5</v>
      </c>
    </row>
    <row r="51" spans="1:7" x14ac:dyDescent="0.35">
      <c r="A51" s="1" t="s">
        <v>8</v>
      </c>
      <c r="B51" s="1">
        <v>2023</v>
      </c>
      <c r="C51" s="1">
        <v>1</v>
      </c>
      <c r="D51">
        <v>43</v>
      </c>
      <c r="E51">
        <v>22.302325581395351</v>
      </c>
      <c r="F51">
        <v>216</v>
      </c>
      <c r="G51">
        <v>4410</v>
      </c>
    </row>
    <row r="52" spans="1:7" x14ac:dyDescent="0.35">
      <c r="A52" s="1" t="s">
        <v>8</v>
      </c>
      <c r="B52" s="1">
        <v>2023</v>
      </c>
      <c r="C52" s="1">
        <v>2</v>
      </c>
      <c r="D52">
        <v>37</v>
      </c>
      <c r="E52">
        <v>23.202702702702702</v>
      </c>
      <c r="F52">
        <v>199</v>
      </c>
      <c r="G52">
        <v>4749.5</v>
      </c>
    </row>
    <row r="53" spans="1:7" x14ac:dyDescent="0.35">
      <c r="A53" s="1" t="s">
        <v>8</v>
      </c>
      <c r="B53" s="1">
        <v>2023</v>
      </c>
      <c r="C53" s="1">
        <v>3</v>
      </c>
      <c r="D53">
        <v>34</v>
      </c>
      <c r="E53">
        <v>26.57352941176471</v>
      </c>
      <c r="F53">
        <v>185</v>
      </c>
      <c r="G53">
        <v>4975</v>
      </c>
    </row>
    <row r="54" spans="1:7" x14ac:dyDescent="0.35">
      <c r="A54" s="1" t="s">
        <v>8</v>
      </c>
      <c r="B54" s="1">
        <v>2023</v>
      </c>
      <c r="C54" s="1">
        <v>4</v>
      </c>
      <c r="D54">
        <v>33</v>
      </c>
      <c r="E54">
        <v>25.22727272727273</v>
      </c>
      <c r="F54">
        <v>199</v>
      </c>
      <c r="G54">
        <v>4889</v>
      </c>
    </row>
    <row r="55" spans="1:7" x14ac:dyDescent="0.35">
      <c r="A55" s="1" t="s">
        <v>8</v>
      </c>
      <c r="B55" s="1">
        <v>2023</v>
      </c>
      <c r="C55" s="1">
        <v>5</v>
      </c>
      <c r="D55">
        <v>38</v>
      </c>
      <c r="E55">
        <v>23.868421052631579</v>
      </c>
      <c r="F55">
        <v>196</v>
      </c>
      <c r="G55">
        <v>4562</v>
      </c>
    </row>
    <row r="56" spans="1:7" x14ac:dyDescent="0.35">
      <c r="A56" s="1" t="s">
        <v>8</v>
      </c>
      <c r="B56" s="1">
        <v>2023</v>
      </c>
      <c r="C56" s="1">
        <v>6</v>
      </c>
      <c r="D56">
        <v>55</v>
      </c>
      <c r="E56">
        <v>23.081818181818178</v>
      </c>
      <c r="F56">
        <v>305</v>
      </c>
      <c r="G56">
        <v>7111</v>
      </c>
    </row>
    <row r="57" spans="1:7" x14ac:dyDescent="0.35">
      <c r="A57" s="1" t="s">
        <v>8</v>
      </c>
      <c r="B57" s="1">
        <v>2023</v>
      </c>
      <c r="C57" s="1">
        <v>7</v>
      </c>
      <c r="D57">
        <v>35</v>
      </c>
      <c r="E57">
        <v>24.37142857142857</v>
      </c>
      <c r="F57">
        <v>183</v>
      </c>
      <c r="G57">
        <v>4575</v>
      </c>
    </row>
    <row r="58" spans="1:7" x14ac:dyDescent="0.35">
      <c r="A58" s="1" t="s">
        <v>8</v>
      </c>
      <c r="B58" s="1">
        <v>2023</v>
      </c>
      <c r="C58" s="1">
        <v>8</v>
      </c>
      <c r="D58">
        <v>28</v>
      </c>
      <c r="E58">
        <v>24.553571428571431</v>
      </c>
      <c r="F58">
        <v>135</v>
      </c>
      <c r="G58">
        <v>3282</v>
      </c>
    </row>
    <row r="59" spans="1:7" x14ac:dyDescent="0.35">
      <c r="A59" s="1" t="s">
        <v>8</v>
      </c>
      <c r="B59" s="1">
        <v>2023</v>
      </c>
      <c r="C59" s="1">
        <v>9</v>
      </c>
      <c r="D59">
        <v>37</v>
      </c>
      <c r="E59">
        <v>23.77027027027027</v>
      </c>
      <c r="F59">
        <v>208</v>
      </c>
      <c r="G59">
        <v>5195</v>
      </c>
    </row>
    <row r="60" spans="1:7" x14ac:dyDescent="0.35">
      <c r="A60" s="1" t="s">
        <v>8</v>
      </c>
      <c r="B60" s="1">
        <v>2023</v>
      </c>
      <c r="C60" s="1">
        <v>10</v>
      </c>
      <c r="D60">
        <v>34</v>
      </c>
      <c r="E60">
        <v>24.985294117647062</v>
      </c>
      <c r="F60">
        <v>201</v>
      </c>
      <c r="G60">
        <v>4761</v>
      </c>
    </row>
    <row r="61" spans="1:7" x14ac:dyDescent="0.35">
      <c r="A61" s="1" t="s">
        <v>8</v>
      </c>
      <c r="B61" s="1">
        <v>2023</v>
      </c>
      <c r="C61" s="1">
        <v>11</v>
      </c>
      <c r="D61">
        <v>40</v>
      </c>
      <c r="E61">
        <v>24.725000000000001</v>
      </c>
      <c r="F61">
        <v>203</v>
      </c>
      <c r="G61">
        <v>5351.5</v>
      </c>
    </row>
    <row r="62" spans="1:7" x14ac:dyDescent="0.35">
      <c r="A62" s="1" t="s">
        <v>8</v>
      </c>
      <c r="B62" s="1">
        <v>2023</v>
      </c>
      <c r="C62" s="1">
        <v>12</v>
      </c>
      <c r="D62">
        <v>29</v>
      </c>
      <c r="E62">
        <v>30.81034482758621</v>
      </c>
      <c r="F62">
        <v>157</v>
      </c>
      <c r="G62">
        <v>4944.5</v>
      </c>
    </row>
    <row r="63" spans="1:7" x14ac:dyDescent="0.35">
      <c r="A63" s="1" t="s">
        <v>8</v>
      </c>
      <c r="B63" s="1">
        <v>2024</v>
      </c>
      <c r="C63" s="1">
        <v>1</v>
      </c>
      <c r="D63">
        <v>48</v>
      </c>
      <c r="E63">
        <v>26.75</v>
      </c>
      <c r="F63">
        <v>263</v>
      </c>
      <c r="G63">
        <v>7093</v>
      </c>
    </row>
    <row r="64" spans="1:7" x14ac:dyDescent="0.35">
      <c r="A64" s="1" t="s">
        <v>8</v>
      </c>
      <c r="B64" s="1">
        <v>2024</v>
      </c>
      <c r="C64" s="1">
        <v>2</v>
      </c>
      <c r="D64">
        <v>42</v>
      </c>
      <c r="E64">
        <v>23</v>
      </c>
      <c r="F64">
        <v>228</v>
      </c>
      <c r="G64">
        <v>4960.5</v>
      </c>
    </row>
    <row r="65" spans="1:7" x14ac:dyDescent="0.35">
      <c r="A65" s="1" t="s">
        <v>8</v>
      </c>
      <c r="B65" s="1">
        <v>2024</v>
      </c>
      <c r="C65" s="1">
        <v>3</v>
      </c>
      <c r="D65">
        <v>33</v>
      </c>
      <c r="E65">
        <v>25.86363636363636</v>
      </c>
      <c r="F65">
        <v>173</v>
      </c>
      <c r="G65">
        <v>4292.5</v>
      </c>
    </row>
    <row r="66" spans="1:7" x14ac:dyDescent="0.35">
      <c r="A66" s="1" t="s">
        <v>8</v>
      </c>
      <c r="B66" s="1">
        <v>2024</v>
      </c>
      <c r="C66" s="1">
        <v>4</v>
      </c>
      <c r="D66">
        <v>40</v>
      </c>
      <c r="E66">
        <v>27.8</v>
      </c>
      <c r="F66">
        <v>204</v>
      </c>
      <c r="G66">
        <v>6027</v>
      </c>
    </row>
    <row r="67" spans="1:7" x14ac:dyDescent="0.35">
      <c r="A67" s="1" t="s">
        <v>8</v>
      </c>
      <c r="B67" s="1">
        <v>2024</v>
      </c>
      <c r="C67" s="1">
        <v>5</v>
      </c>
      <c r="D67">
        <v>35</v>
      </c>
      <c r="E67">
        <v>28.957142857142859</v>
      </c>
      <c r="F67">
        <v>210</v>
      </c>
      <c r="G67">
        <v>5950.5</v>
      </c>
    </row>
    <row r="68" spans="1:7" x14ac:dyDescent="0.35">
      <c r="A68" s="1" t="s">
        <v>8</v>
      </c>
      <c r="B68" s="1">
        <v>2024</v>
      </c>
      <c r="C68" s="1">
        <v>6</v>
      </c>
      <c r="D68">
        <v>40</v>
      </c>
      <c r="E68">
        <v>22.887499999999999</v>
      </c>
      <c r="F68">
        <v>234</v>
      </c>
      <c r="G68">
        <v>5209.5</v>
      </c>
    </row>
    <row r="69" spans="1:7" x14ac:dyDescent="0.35">
      <c r="A69" s="1" t="s">
        <v>8</v>
      </c>
      <c r="B69" s="1">
        <v>2024</v>
      </c>
      <c r="C69" s="1">
        <v>7</v>
      </c>
      <c r="D69">
        <v>50</v>
      </c>
      <c r="E69">
        <v>24.32</v>
      </c>
      <c r="F69">
        <v>294</v>
      </c>
      <c r="G69">
        <v>7069.5</v>
      </c>
    </row>
    <row r="70" spans="1:7" x14ac:dyDescent="0.35">
      <c r="A70" s="1" t="s">
        <v>8</v>
      </c>
      <c r="B70" s="1">
        <v>2024</v>
      </c>
      <c r="C70" s="1">
        <v>8</v>
      </c>
      <c r="D70">
        <v>48</v>
      </c>
      <c r="E70">
        <v>24.65625</v>
      </c>
      <c r="F70">
        <v>233</v>
      </c>
      <c r="G70">
        <v>5848</v>
      </c>
    </row>
    <row r="71" spans="1:7" x14ac:dyDescent="0.35">
      <c r="A71" s="1" t="s">
        <v>8</v>
      </c>
      <c r="B71" s="1">
        <v>2024</v>
      </c>
      <c r="C71" s="1">
        <v>9</v>
      </c>
      <c r="D71">
        <v>35</v>
      </c>
      <c r="E71">
        <v>26.428571428571431</v>
      </c>
      <c r="F71">
        <v>176</v>
      </c>
      <c r="G71">
        <v>4333</v>
      </c>
    </row>
    <row r="72" spans="1:7" x14ac:dyDescent="0.35">
      <c r="A72" s="1" t="s">
        <v>8</v>
      </c>
      <c r="B72" s="1">
        <v>2024</v>
      </c>
      <c r="C72" s="1">
        <v>10</v>
      </c>
      <c r="D72">
        <v>47</v>
      </c>
      <c r="E72">
        <v>26.638297872340431</v>
      </c>
      <c r="F72">
        <v>228</v>
      </c>
      <c r="G72">
        <v>6202.5</v>
      </c>
    </row>
    <row r="73" spans="1:7" x14ac:dyDescent="0.35">
      <c r="A73" s="1" t="s">
        <v>8</v>
      </c>
      <c r="B73" s="1">
        <v>2024</v>
      </c>
      <c r="C73" s="1">
        <v>11</v>
      </c>
      <c r="D73">
        <v>30</v>
      </c>
      <c r="E73">
        <v>23.85</v>
      </c>
      <c r="F73">
        <v>180</v>
      </c>
      <c r="G73">
        <v>4417.5</v>
      </c>
    </row>
    <row r="74" spans="1:7" x14ac:dyDescent="0.35">
      <c r="A74" s="1" t="s">
        <v>8</v>
      </c>
      <c r="B74" s="1">
        <v>2024</v>
      </c>
      <c r="C74" s="1">
        <v>12</v>
      </c>
      <c r="D74">
        <v>31</v>
      </c>
      <c r="E74">
        <v>25.951612903225811</v>
      </c>
      <c r="F74">
        <v>175</v>
      </c>
      <c r="G74">
        <v>4664</v>
      </c>
    </row>
    <row r="75" spans="1:7" x14ac:dyDescent="0.35">
      <c r="A75" s="1" t="s">
        <v>8</v>
      </c>
      <c r="B75" s="1">
        <v>2025</v>
      </c>
      <c r="C75" s="1">
        <v>1</v>
      </c>
      <c r="D75">
        <v>25</v>
      </c>
      <c r="E75">
        <v>27.68</v>
      </c>
      <c r="F75">
        <v>142</v>
      </c>
      <c r="G75">
        <v>3849.5</v>
      </c>
    </row>
    <row r="76" spans="1:7" x14ac:dyDescent="0.35">
      <c r="A76" s="1" t="s">
        <v>9</v>
      </c>
      <c r="B76" s="1">
        <v>2022</v>
      </c>
      <c r="C76" s="1">
        <v>1</v>
      </c>
      <c r="D76">
        <v>50</v>
      </c>
      <c r="E76">
        <v>25.01</v>
      </c>
      <c r="F76">
        <v>296</v>
      </c>
      <c r="G76">
        <v>7265.5</v>
      </c>
    </row>
    <row r="77" spans="1:7" x14ac:dyDescent="0.35">
      <c r="A77" s="1" t="s">
        <v>9</v>
      </c>
      <c r="B77" s="1">
        <v>2022</v>
      </c>
      <c r="C77" s="1">
        <v>2</v>
      </c>
      <c r="D77">
        <v>25</v>
      </c>
      <c r="E77">
        <v>20.239999999999998</v>
      </c>
      <c r="F77">
        <v>159</v>
      </c>
      <c r="G77">
        <v>3297</v>
      </c>
    </row>
    <row r="78" spans="1:7" x14ac:dyDescent="0.35">
      <c r="A78" s="1" t="s">
        <v>9</v>
      </c>
      <c r="B78" s="1">
        <v>2022</v>
      </c>
      <c r="C78" s="1">
        <v>3</v>
      </c>
      <c r="D78">
        <v>40</v>
      </c>
      <c r="E78">
        <v>23.524999999999999</v>
      </c>
      <c r="F78">
        <v>227</v>
      </c>
      <c r="G78">
        <v>5029</v>
      </c>
    </row>
    <row r="79" spans="1:7" x14ac:dyDescent="0.35">
      <c r="A79" s="1" t="s">
        <v>9</v>
      </c>
      <c r="B79" s="1">
        <v>2022</v>
      </c>
      <c r="C79" s="1">
        <v>4</v>
      </c>
      <c r="D79">
        <v>39</v>
      </c>
      <c r="E79">
        <v>23.53846153846154</v>
      </c>
      <c r="F79">
        <v>211</v>
      </c>
      <c r="G79">
        <v>4845.5</v>
      </c>
    </row>
    <row r="80" spans="1:7" x14ac:dyDescent="0.35">
      <c r="A80" s="1" t="s">
        <v>9</v>
      </c>
      <c r="B80" s="1">
        <v>2022</v>
      </c>
      <c r="C80" s="1">
        <v>5</v>
      </c>
      <c r="D80">
        <v>42</v>
      </c>
      <c r="E80">
        <v>22.821428571428569</v>
      </c>
      <c r="F80">
        <v>211</v>
      </c>
      <c r="G80">
        <v>4541</v>
      </c>
    </row>
    <row r="81" spans="1:7" x14ac:dyDescent="0.35">
      <c r="A81" s="1" t="s">
        <v>9</v>
      </c>
      <c r="B81" s="1">
        <v>2022</v>
      </c>
      <c r="C81" s="1">
        <v>6</v>
      </c>
      <c r="D81">
        <v>48</v>
      </c>
      <c r="E81">
        <v>22.75</v>
      </c>
      <c r="F81">
        <v>262</v>
      </c>
      <c r="G81">
        <v>5885</v>
      </c>
    </row>
    <row r="82" spans="1:7" x14ac:dyDescent="0.35">
      <c r="A82" s="1" t="s">
        <v>9</v>
      </c>
      <c r="B82" s="1">
        <v>2022</v>
      </c>
      <c r="C82" s="1">
        <v>7</v>
      </c>
      <c r="D82">
        <v>32</v>
      </c>
      <c r="E82">
        <v>24.21875</v>
      </c>
      <c r="F82">
        <v>175</v>
      </c>
      <c r="G82">
        <v>4305.5</v>
      </c>
    </row>
    <row r="83" spans="1:7" x14ac:dyDescent="0.35">
      <c r="A83" s="1" t="s">
        <v>9</v>
      </c>
      <c r="B83" s="1">
        <v>2022</v>
      </c>
      <c r="C83" s="1">
        <v>8</v>
      </c>
      <c r="D83">
        <v>29</v>
      </c>
      <c r="E83">
        <v>22.637931034482762</v>
      </c>
      <c r="F83">
        <v>162</v>
      </c>
      <c r="G83">
        <v>3676.5</v>
      </c>
    </row>
    <row r="84" spans="1:7" x14ac:dyDescent="0.35">
      <c r="A84" s="1" t="s">
        <v>9</v>
      </c>
      <c r="B84" s="1">
        <v>2022</v>
      </c>
      <c r="C84" s="1">
        <v>9</v>
      </c>
      <c r="D84">
        <v>37</v>
      </c>
      <c r="E84">
        <v>21.986486486486491</v>
      </c>
      <c r="F84">
        <v>216</v>
      </c>
      <c r="G84">
        <v>4918.5</v>
      </c>
    </row>
    <row r="85" spans="1:7" x14ac:dyDescent="0.35">
      <c r="A85" s="1" t="s">
        <v>9</v>
      </c>
      <c r="B85" s="1">
        <v>2022</v>
      </c>
      <c r="C85" s="1">
        <v>10</v>
      </c>
      <c r="D85">
        <v>30</v>
      </c>
      <c r="E85">
        <v>20.6</v>
      </c>
      <c r="F85">
        <v>185</v>
      </c>
      <c r="G85">
        <v>3862</v>
      </c>
    </row>
    <row r="86" spans="1:7" x14ac:dyDescent="0.35">
      <c r="A86" s="1" t="s">
        <v>9</v>
      </c>
      <c r="B86" s="1">
        <v>2022</v>
      </c>
      <c r="C86" s="1">
        <v>11</v>
      </c>
      <c r="D86">
        <v>40</v>
      </c>
      <c r="E86">
        <v>23.15</v>
      </c>
      <c r="F86">
        <v>189</v>
      </c>
      <c r="G86">
        <v>4360.5</v>
      </c>
    </row>
    <row r="87" spans="1:7" x14ac:dyDescent="0.35">
      <c r="A87" s="1" t="s">
        <v>9</v>
      </c>
      <c r="B87" s="1">
        <v>2022</v>
      </c>
      <c r="C87" s="1">
        <v>12</v>
      </c>
      <c r="D87">
        <v>39</v>
      </c>
      <c r="E87">
        <v>22</v>
      </c>
      <c r="F87">
        <v>226</v>
      </c>
      <c r="G87">
        <v>5127.5</v>
      </c>
    </row>
    <row r="88" spans="1:7" x14ac:dyDescent="0.35">
      <c r="A88" s="1" t="s">
        <v>9</v>
      </c>
      <c r="B88" s="1">
        <v>2023</v>
      </c>
      <c r="C88" s="1">
        <v>1</v>
      </c>
      <c r="D88">
        <v>51</v>
      </c>
      <c r="E88">
        <v>23.441176470588239</v>
      </c>
      <c r="F88">
        <v>323</v>
      </c>
      <c r="G88">
        <v>7366</v>
      </c>
    </row>
    <row r="89" spans="1:7" x14ac:dyDescent="0.35">
      <c r="A89" s="1" t="s">
        <v>9</v>
      </c>
      <c r="B89" s="1">
        <v>2023</v>
      </c>
      <c r="C89" s="1">
        <v>2</v>
      </c>
      <c r="D89">
        <v>35</v>
      </c>
      <c r="E89">
        <v>22.785714285714281</v>
      </c>
      <c r="F89">
        <v>187</v>
      </c>
      <c r="G89">
        <v>4494.5</v>
      </c>
    </row>
    <row r="90" spans="1:7" x14ac:dyDescent="0.35">
      <c r="A90" s="1" t="s">
        <v>9</v>
      </c>
      <c r="B90" s="1">
        <v>2023</v>
      </c>
      <c r="C90" s="1">
        <v>3</v>
      </c>
      <c r="D90">
        <v>36</v>
      </c>
      <c r="E90">
        <v>24.458333333333329</v>
      </c>
      <c r="F90">
        <v>207</v>
      </c>
      <c r="G90">
        <v>5134.5</v>
      </c>
    </row>
    <row r="91" spans="1:7" x14ac:dyDescent="0.35">
      <c r="A91" s="1" t="s">
        <v>9</v>
      </c>
      <c r="B91" s="1">
        <v>2023</v>
      </c>
      <c r="C91" s="1">
        <v>4</v>
      </c>
      <c r="D91">
        <v>44</v>
      </c>
      <c r="E91">
        <v>24.5</v>
      </c>
      <c r="F91">
        <v>242</v>
      </c>
      <c r="G91">
        <v>6104.5</v>
      </c>
    </row>
    <row r="92" spans="1:7" x14ac:dyDescent="0.35">
      <c r="A92" s="1" t="s">
        <v>9</v>
      </c>
      <c r="B92" s="1">
        <v>2023</v>
      </c>
      <c r="C92" s="1">
        <v>5</v>
      </c>
      <c r="D92">
        <v>33</v>
      </c>
      <c r="E92">
        <v>20.09090909090909</v>
      </c>
      <c r="F92">
        <v>196</v>
      </c>
      <c r="G92">
        <v>4146.5</v>
      </c>
    </row>
    <row r="93" spans="1:7" x14ac:dyDescent="0.35">
      <c r="A93" s="1" t="s">
        <v>9</v>
      </c>
      <c r="B93" s="1">
        <v>2023</v>
      </c>
      <c r="C93" s="1">
        <v>6</v>
      </c>
      <c r="D93">
        <v>46</v>
      </c>
      <c r="E93">
        <v>23.913043478260871</v>
      </c>
      <c r="F93">
        <v>256</v>
      </c>
      <c r="G93">
        <v>5946.5</v>
      </c>
    </row>
    <row r="94" spans="1:7" x14ac:dyDescent="0.35">
      <c r="A94" s="1" t="s">
        <v>9</v>
      </c>
      <c r="B94" s="1">
        <v>2023</v>
      </c>
      <c r="C94" s="1">
        <v>7</v>
      </c>
      <c r="D94">
        <v>46</v>
      </c>
      <c r="E94">
        <v>21.826086956521738</v>
      </c>
      <c r="F94">
        <v>248</v>
      </c>
      <c r="G94">
        <v>5276.5</v>
      </c>
    </row>
    <row r="95" spans="1:7" x14ac:dyDescent="0.35">
      <c r="A95" s="1" t="s">
        <v>9</v>
      </c>
      <c r="B95" s="1">
        <v>2023</v>
      </c>
      <c r="C95" s="1">
        <v>8</v>
      </c>
      <c r="D95">
        <v>41</v>
      </c>
      <c r="E95">
        <v>23.54878048780488</v>
      </c>
      <c r="F95">
        <v>216</v>
      </c>
      <c r="G95">
        <v>5029.5</v>
      </c>
    </row>
    <row r="96" spans="1:7" x14ac:dyDescent="0.35">
      <c r="A96" s="1" t="s">
        <v>9</v>
      </c>
      <c r="B96" s="1">
        <v>2023</v>
      </c>
      <c r="C96" s="1">
        <v>9</v>
      </c>
      <c r="D96">
        <v>40</v>
      </c>
      <c r="E96">
        <v>22.962499999999999</v>
      </c>
      <c r="F96">
        <v>236</v>
      </c>
      <c r="G96">
        <v>5267.5</v>
      </c>
    </row>
    <row r="97" spans="1:7" x14ac:dyDescent="0.35">
      <c r="A97" s="1" t="s">
        <v>9</v>
      </c>
      <c r="B97" s="1">
        <v>2023</v>
      </c>
      <c r="C97" s="1">
        <v>10</v>
      </c>
      <c r="D97">
        <v>35</v>
      </c>
      <c r="E97">
        <v>20.085714285714289</v>
      </c>
      <c r="F97">
        <v>190</v>
      </c>
      <c r="G97">
        <v>3782</v>
      </c>
    </row>
    <row r="98" spans="1:7" x14ac:dyDescent="0.35">
      <c r="A98" s="1" t="s">
        <v>9</v>
      </c>
      <c r="B98" s="1">
        <v>2023</v>
      </c>
      <c r="C98" s="1">
        <v>11</v>
      </c>
      <c r="D98">
        <v>34</v>
      </c>
      <c r="E98">
        <v>22.338235294117649</v>
      </c>
      <c r="F98">
        <v>203</v>
      </c>
      <c r="G98">
        <v>4483</v>
      </c>
    </row>
    <row r="99" spans="1:7" x14ac:dyDescent="0.35">
      <c r="A99" s="1" t="s">
        <v>9</v>
      </c>
      <c r="B99" s="1">
        <v>2023</v>
      </c>
      <c r="C99" s="1">
        <v>12</v>
      </c>
      <c r="D99">
        <v>47</v>
      </c>
      <c r="E99">
        <v>23.702127659574469</v>
      </c>
      <c r="F99">
        <v>256</v>
      </c>
      <c r="G99">
        <v>5856.5</v>
      </c>
    </row>
    <row r="100" spans="1:7" x14ac:dyDescent="0.35">
      <c r="A100" s="1" t="s">
        <v>9</v>
      </c>
      <c r="B100" s="1">
        <v>2024</v>
      </c>
      <c r="C100" s="1">
        <v>1</v>
      </c>
      <c r="D100">
        <v>45</v>
      </c>
      <c r="E100">
        <v>22.633333333333329</v>
      </c>
      <c r="F100">
        <v>275</v>
      </c>
      <c r="G100">
        <v>6110.5</v>
      </c>
    </row>
    <row r="101" spans="1:7" x14ac:dyDescent="0.35">
      <c r="A101" s="1" t="s">
        <v>9</v>
      </c>
      <c r="B101" s="1">
        <v>2024</v>
      </c>
      <c r="C101" s="1">
        <v>2</v>
      </c>
      <c r="D101">
        <v>35</v>
      </c>
      <c r="E101">
        <v>22.4</v>
      </c>
      <c r="F101">
        <v>194</v>
      </c>
      <c r="G101">
        <v>4369</v>
      </c>
    </row>
    <row r="102" spans="1:7" x14ac:dyDescent="0.35">
      <c r="A102" s="1" t="s">
        <v>9</v>
      </c>
      <c r="B102" s="1">
        <v>2024</v>
      </c>
      <c r="C102" s="1">
        <v>3</v>
      </c>
      <c r="D102">
        <v>40</v>
      </c>
      <c r="E102">
        <v>22.887499999999999</v>
      </c>
      <c r="F102">
        <v>197</v>
      </c>
      <c r="G102">
        <v>4523.5</v>
      </c>
    </row>
    <row r="103" spans="1:7" x14ac:dyDescent="0.35">
      <c r="A103" s="1" t="s">
        <v>9</v>
      </c>
      <c r="B103" s="1">
        <v>2024</v>
      </c>
      <c r="C103" s="1">
        <v>4</v>
      </c>
      <c r="D103">
        <v>49</v>
      </c>
      <c r="E103">
        <v>23.367346938775508</v>
      </c>
      <c r="F103">
        <v>301</v>
      </c>
      <c r="G103">
        <v>7173.5</v>
      </c>
    </row>
    <row r="104" spans="1:7" x14ac:dyDescent="0.35">
      <c r="A104" s="1" t="s">
        <v>9</v>
      </c>
      <c r="B104" s="1">
        <v>2024</v>
      </c>
      <c r="C104" s="1">
        <v>5</v>
      </c>
      <c r="D104">
        <v>29</v>
      </c>
      <c r="E104">
        <v>24.086206896551719</v>
      </c>
      <c r="F104">
        <v>158</v>
      </c>
      <c r="G104">
        <v>3793</v>
      </c>
    </row>
    <row r="105" spans="1:7" x14ac:dyDescent="0.35">
      <c r="A105" s="1" t="s">
        <v>9</v>
      </c>
      <c r="B105" s="1">
        <v>2024</v>
      </c>
      <c r="C105" s="1">
        <v>6</v>
      </c>
      <c r="D105">
        <v>46</v>
      </c>
      <c r="E105">
        <v>24.271739130434781</v>
      </c>
      <c r="F105">
        <v>282</v>
      </c>
      <c r="G105">
        <v>7029</v>
      </c>
    </row>
    <row r="106" spans="1:7" x14ac:dyDescent="0.35">
      <c r="A106" s="1" t="s">
        <v>9</v>
      </c>
      <c r="B106" s="1">
        <v>2024</v>
      </c>
      <c r="C106" s="1">
        <v>7</v>
      </c>
      <c r="D106">
        <v>41</v>
      </c>
      <c r="E106">
        <v>23.439024390243901</v>
      </c>
      <c r="F106">
        <v>247</v>
      </c>
      <c r="G106">
        <v>5895.5</v>
      </c>
    </row>
    <row r="107" spans="1:7" x14ac:dyDescent="0.35">
      <c r="A107" s="1" t="s">
        <v>9</v>
      </c>
      <c r="B107" s="1">
        <v>2024</v>
      </c>
      <c r="C107" s="1">
        <v>8</v>
      </c>
      <c r="D107">
        <v>45</v>
      </c>
      <c r="E107">
        <v>22.166666666666671</v>
      </c>
      <c r="F107">
        <v>219</v>
      </c>
      <c r="G107">
        <v>4848</v>
      </c>
    </row>
    <row r="108" spans="1:7" x14ac:dyDescent="0.35">
      <c r="A108" s="1" t="s">
        <v>9</v>
      </c>
      <c r="B108" s="1">
        <v>2024</v>
      </c>
      <c r="C108" s="1">
        <v>9</v>
      </c>
      <c r="D108">
        <v>47</v>
      </c>
      <c r="E108">
        <v>24.308510638297872</v>
      </c>
      <c r="F108">
        <v>250</v>
      </c>
      <c r="G108">
        <v>6015.5</v>
      </c>
    </row>
    <row r="109" spans="1:7" x14ac:dyDescent="0.35">
      <c r="A109" s="1" t="s">
        <v>9</v>
      </c>
      <c r="B109" s="1">
        <v>2024</v>
      </c>
      <c r="C109" s="1">
        <v>10</v>
      </c>
      <c r="D109">
        <v>36</v>
      </c>
      <c r="E109">
        <v>20.541666666666671</v>
      </c>
      <c r="F109">
        <v>162</v>
      </c>
      <c r="G109">
        <v>3502.5</v>
      </c>
    </row>
    <row r="110" spans="1:7" x14ac:dyDescent="0.35">
      <c r="A110" s="1" t="s">
        <v>9</v>
      </c>
      <c r="B110" s="1">
        <v>2024</v>
      </c>
      <c r="C110" s="1">
        <v>11</v>
      </c>
      <c r="D110">
        <v>45</v>
      </c>
      <c r="E110">
        <v>25.6</v>
      </c>
      <c r="F110">
        <v>242</v>
      </c>
      <c r="G110">
        <v>6226</v>
      </c>
    </row>
    <row r="111" spans="1:7" x14ac:dyDescent="0.35">
      <c r="A111" s="1" t="s">
        <v>9</v>
      </c>
      <c r="B111" s="1">
        <v>2024</v>
      </c>
      <c r="C111" s="1">
        <v>12</v>
      </c>
      <c r="D111">
        <v>50</v>
      </c>
      <c r="E111">
        <v>23.03</v>
      </c>
      <c r="F111">
        <v>294</v>
      </c>
      <c r="G111">
        <v>6817.5</v>
      </c>
    </row>
    <row r="112" spans="1:7" x14ac:dyDescent="0.35">
      <c r="A112" s="1" t="s">
        <v>9</v>
      </c>
      <c r="B112" s="1">
        <v>2025</v>
      </c>
      <c r="C112" s="1">
        <v>1</v>
      </c>
      <c r="D112">
        <v>30</v>
      </c>
      <c r="E112">
        <v>27</v>
      </c>
      <c r="F112">
        <v>172</v>
      </c>
      <c r="G112">
        <v>4388</v>
      </c>
    </row>
    <row r="113" spans="1:7" x14ac:dyDescent="0.35">
      <c r="A113" s="1" t="s">
        <v>10</v>
      </c>
      <c r="B113" s="1">
        <v>2022</v>
      </c>
      <c r="C113" s="1">
        <v>1</v>
      </c>
      <c r="D113">
        <v>39</v>
      </c>
      <c r="E113">
        <v>27.57692307692308</v>
      </c>
      <c r="F113">
        <v>224</v>
      </c>
      <c r="G113">
        <v>6013</v>
      </c>
    </row>
    <row r="114" spans="1:7" x14ac:dyDescent="0.35">
      <c r="A114" s="1" t="s">
        <v>10</v>
      </c>
      <c r="B114" s="1">
        <v>2022</v>
      </c>
      <c r="C114" s="1">
        <v>2</v>
      </c>
      <c r="D114">
        <v>34</v>
      </c>
      <c r="E114">
        <v>27.588235294117649</v>
      </c>
      <c r="F114">
        <v>198</v>
      </c>
      <c r="G114">
        <v>5902.5</v>
      </c>
    </row>
    <row r="115" spans="1:7" x14ac:dyDescent="0.35">
      <c r="A115" s="1" t="s">
        <v>10</v>
      </c>
      <c r="B115" s="1">
        <v>2022</v>
      </c>
      <c r="C115" s="1">
        <v>3</v>
      </c>
      <c r="D115">
        <v>49</v>
      </c>
      <c r="E115">
        <v>23.551020408163261</v>
      </c>
      <c r="F115">
        <v>273</v>
      </c>
      <c r="G115">
        <v>6724.5</v>
      </c>
    </row>
    <row r="116" spans="1:7" x14ac:dyDescent="0.35">
      <c r="A116" s="1" t="s">
        <v>10</v>
      </c>
      <c r="B116" s="1">
        <v>2022</v>
      </c>
      <c r="C116" s="1">
        <v>4</v>
      </c>
      <c r="D116">
        <v>50</v>
      </c>
      <c r="E116">
        <v>23.15</v>
      </c>
      <c r="F116">
        <v>277</v>
      </c>
      <c r="G116">
        <v>6437</v>
      </c>
    </row>
    <row r="117" spans="1:7" x14ac:dyDescent="0.35">
      <c r="A117" s="1" t="s">
        <v>10</v>
      </c>
      <c r="B117" s="1">
        <v>2022</v>
      </c>
      <c r="C117" s="1">
        <v>5</v>
      </c>
      <c r="D117">
        <v>43</v>
      </c>
      <c r="E117">
        <v>20.90697674418605</v>
      </c>
      <c r="F117">
        <v>259</v>
      </c>
      <c r="G117">
        <v>5490.5</v>
      </c>
    </row>
    <row r="118" spans="1:7" x14ac:dyDescent="0.35">
      <c r="A118" s="1" t="s">
        <v>10</v>
      </c>
      <c r="B118" s="1">
        <v>2022</v>
      </c>
      <c r="C118" s="1">
        <v>6</v>
      </c>
      <c r="D118">
        <v>42</v>
      </c>
      <c r="E118">
        <v>25.5</v>
      </c>
      <c r="F118">
        <v>268</v>
      </c>
      <c r="G118">
        <v>6858.5</v>
      </c>
    </row>
    <row r="119" spans="1:7" x14ac:dyDescent="0.35">
      <c r="A119" s="1" t="s">
        <v>10</v>
      </c>
      <c r="B119" s="1">
        <v>2022</v>
      </c>
      <c r="C119" s="1">
        <v>7</v>
      </c>
      <c r="D119">
        <v>41</v>
      </c>
      <c r="E119">
        <v>23.621951219512191</v>
      </c>
      <c r="F119">
        <v>251</v>
      </c>
      <c r="G119">
        <v>6332.5</v>
      </c>
    </row>
    <row r="120" spans="1:7" x14ac:dyDescent="0.35">
      <c r="A120" s="1" t="s">
        <v>10</v>
      </c>
      <c r="B120" s="1">
        <v>2022</v>
      </c>
      <c r="C120" s="1">
        <v>8</v>
      </c>
      <c r="D120">
        <v>46</v>
      </c>
      <c r="E120">
        <v>23.586956521739129</v>
      </c>
      <c r="F120">
        <v>270</v>
      </c>
      <c r="G120">
        <v>6246</v>
      </c>
    </row>
    <row r="121" spans="1:7" x14ac:dyDescent="0.35">
      <c r="A121" s="1" t="s">
        <v>10</v>
      </c>
      <c r="B121" s="1">
        <v>2022</v>
      </c>
      <c r="C121" s="1">
        <v>9</v>
      </c>
      <c r="D121">
        <v>47</v>
      </c>
      <c r="E121">
        <v>25.329787234042549</v>
      </c>
      <c r="F121">
        <v>253</v>
      </c>
      <c r="G121">
        <v>6330.5</v>
      </c>
    </row>
    <row r="122" spans="1:7" x14ac:dyDescent="0.35">
      <c r="A122" s="1" t="s">
        <v>10</v>
      </c>
      <c r="B122" s="1">
        <v>2022</v>
      </c>
      <c r="C122" s="1">
        <v>10</v>
      </c>
      <c r="D122">
        <v>34</v>
      </c>
      <c r="E122">
        <v>24.32352941176471</v>
      </c>
      <c r="F122">
        <v>178</v>
      </c>
      <c r="G122">
        <v>4119.5</v>
      </c>
    </row>
    <row r="123" spans="1:7" x14ac:dyDescent="0.35">
      <c r="A123" s="1" t="s">
        <v>10</v>
      </c>
      <c r="B123" s="1">
        <v>2022</v>
      </c>
      <c r="C123" s="1">
        <v>11</v>
      </c>
      <c r="D123">
        <v>52</v>
      </c>
      <c r="E123">
        <v>22.36538461538462</v>
      </c>
      <c r="F123">
        <v>290</v>
      </c>
      <c r="G123">
        <v>6374.5</v>
      </c>
    </row>
    <row r="124" spans="1:7" x14ac:dyDescent="0.35">
      <c r="A124" s="1" t="s">
        <v>10</v>
      </c>
      <c r="B124" s="1">
        <v>2022</v>
      </c>
      <c r="C124" s="1">
        <v>12</v>
      </c>
      <c r="D124">
        <v>35</v>
      </c>
      <c r="E124">
        <v>26.3</v>
      </c>
      <c r="F124">
        <v>180</v>
      </c>
      <c r="G124">
        <v>4651.5</v>
      </c>
    </row>
    <row r="125" spans="1:7" x14ac:dyDescent="0.35">
      <c r="A125" s="1" t="s">
        <v>10</v>
      </c>
      <c r="B125" s="1">
        <v>2023</v>
      </c>
      <c r="C125" s="1">
        <v>1</v>
      </c>
      <c r="D125">
        <v>39</v>
      </c>
      <c r="E125">
        <v>25.07692307692308</v>
      </c>
      <c r="F125">
        <v>201</v>
      </c>
      <c r="G125">
        <v>5235</v>
      </c>
    </row>
    <row r="126" spans="1:7" x14ac:dyDescent="0.35">
      <c r="A126" s="1" t="s">
        <v>10</v>
      </c>
      <c r="B126" s="1">
        <v>2023</v>
      </c>
      <c r="C126" s="1">
        <v>2</v>
      </c>
      <c r="D126">
        <v>37</v>
      </c>
      <c r="E126">
        <v>25.513513513513509</v>
      </c>
      <c r="F126">
        <v>219</v>
      </c>
      <c r="G126">
        <v>5830.5</v>
      </c>
    </row>
    <row r="127" spans="1:7" x14ac:dyDescent="0.35">
      <c r="A127" s="1" t="s">
        <v>10</v>
      </c>
      <c r="B127" s="1">
        <v>2023</v>
      </c>
      <c r="C127" s="1">
        <v>3</v>
      </c>
      <c r="D127">
        <v>34</v>
      </c>
      <c r="E127">
        <v>23.308823529411761</v>
      </c>
      <c r="F127">
        <v>194</v>
      </c>
      <c r="G127">
        <v>4429</v>
      </c>
    </row>
    <row r="128" spans="1:7" x14ac:dyDescent="0.35">
      <c r="A128" s="1" t="s">
        <v>10</v>
      </c>
      <c r="B128" s="1">
        <v>2023</v>
      </c>
      <c r="C128" s="1">
        <v>4</v>
      </c>
      <c r="D128">
        <v>42</v>
      </c>
      <c r="E128">
        <v>24.678571428571431</v>
      </c>
      <c r="F128">
        <v>217</v>
      </c>
      <c r="G128">
        <v>5211.5</v>
      </c>
    </row>
    <row r="129" spans="1:7" x14ac:dyDescent="0.35">
      <c r="A129" s="1" t="s">
        <v>10</v>
      </c>
      <c r="B129" s="1">
        <v>2023</v>
      </c>
      <c r="C129" s="1">
        <v>5</v>
      </c>
      <c r="D129">
        <v>42</v>
      </c>
      <c r="E129">
        <v>25.321428571428569</v>
      </c>
      <c r="F129">
        <v>241</v>
      </c>
      <c r="G129">
        <v>5949.5</v>
      </c>
    </row>
    <row r="130" spans="1:7" x14ac:dyDescent="0.35">
      <c r="A130" s="1" t="s">
        <v>10</v>
      </c>
      <c r="B130" s="1">
        <v>2023</v>
      </c>
      <c r="C130" s="1">
        <v>6</v>
      </c>
      <c r="D130">
        <v>42</v>
      </c>
      <c r="E130">
        <v>22.25</v>
      </c>
      <c r="F130">
        <v>247</v>
      </c>
      <c r="G130">
        <v>5387</v>
      </c>
    </row>
    <row r="131" spans="1:7" x14ac:dyDescent="0.35">
      <c r="A131" s="1" t="s">
        <v>10</v>
      </c>
      <c r="B131" s="1">
        <v>2023</v>
      </c>
      <c r="C131" s="1">
        <v>7</v>
      </c>
      <c r="D131">
        <v>43</v>
      </c>
      <c r="E131">
        <v>26.45348837209302</v>
      </c>
      <c r="F131">
        <v>231</v>
      </c>
      <c r="G131">
        <v>6009</v>
      </c>
    </row>
    <row r="132" spans="1:7" x14ac:dyDescent="0.35">
      <c r="A132" s="1" t="s">
        <v>10</v>
      </c>
      <c r="B132" s="1">
        <v>2023</v>
      </c>
      <c r="C132" s="1">
        <v>8</v>
      </c>
      <c r="D132">
        <v>39</v>
      </c>
      <c r="E132">
        <v>25.15384615384615</v>
      </c>
      <c r="F132">
        <v>168</v>
      </c>
      <c r="G132">
        <v>4191</v>
      </c>
    </row>
    <row r="133" spans="1:7" x14ac:dyDescent="0.35">
      <c r="A133" s="1" t="s">
        <v>10</v>
      </c>
      <c r="B133" s="1">
        <v>2023</v>
      </c>
      <c r="C133" s="1">
        <v>9</v>
      </c>
      <c r="D133">
        <v>46</v>
      </c>
      <c r="E133">
        <v>25.217391304347821</v>
      </c>
      <c r="F133">
        <v>242</v>
      </c>
      <c r="G133">
        <v>6313</v>
      </c>
    </row>
    <row r="134" spans="1:7" x14ac:dyDescent="0.35">
      <c r="A134" s="1" t="s">
        <v>10</v>
      </c>
      <c r="B134" s="1">
        <v>2023</v>
      </c>
      <c r="C134" s="1">
        <v>10</v>
      </c>
      <c r="D134">
        <v>29</v>
      </c>
      <c r="E134">
        <v>24.758620689655171</v>
      </c>
      <c r="F134">
        <v>146</v>
      </c>
      <c r="G134">
        <v>3568</v>
      </c>
    </row>
    <row r="135" spans="1:7" x14ac:dyDescent="0.35">
      <c r="A135" s="1" t="s">
        <v>10</v>
      </c>
      <c r="B135" s="1">
        <v>2023</v>
      </c>
      <c r="C135" s="1">
        <v>11</v>
      </c>
      <c r="D135">
        <v>37</v>
      </c>
      <c r="E135">
        <v>21.945945945945951</v>
      </c>
      <c r="F135">
        <v>199</v>
      </c>
      <c r="G135">
        <v>4131.5</v>
      </c>
    </row>
    <row r="136" spans="1:7" x14ac:dyDescent="0.35">
      <c r="A136" s="1" t="s">
        <v>10</v>
      </c>
      <c r="B136" s="1">
        <v>2023</v>
      </c>
      <c r="C136" s="1">
        <v>12</v>
      </c>
      <c r="D136">
        <v>51</v>
      </c>
      <c r="E136">
        <v>25.82352941176471</v>
      </c>
      <c r="F136">
        <v>289</v>
      </c>
      <c r="G136">
        <v>7607</v>
      </c>
    </row>
    <row r="137" spans="1:7" x14ac:dyDescent="0.35">
      <c r="A137" s="1" t="s">
        <v>10</v>
      </c>
      <c r="B137" s="1">
        <v>2024</v>
      </c>
      <c r="C137" s="1">
        <v>1</v>
      </c>
      <c r="D137">
        <v>51</v>
      </c>
      <c r="E137">
        <v>25.67647058823529</v>
      </c>
      <c r="F137">
        <v>272</v>
      </c>
      <c r="G137">
        <v>7040.5</v>
      </c>
    </row>
    <row r="138" spans="1:7" x14ac:dyDescent="0.35">
      <c r="A138" s="1" t="s">
        <v>10</v>
      </c>
      <c r="B138" s="1">
        <v>2024</v>
      </c>
      <c r="C138" s="1">
        <v>2</v>
      </c>
      <c r="D138">
        <v>40</v>
      </c>
      <c r="E138">
        <v>25.737500000000001</v>
      </c>
      <c r="F138">
        <v>203</v>
      </c>
      <c r="G138">
        <v>5231.5</v>
      </c>
    </row>
    <row r="139" spans="1:7" x14ac:dyDescent="0.35">
      <c r="A139" s="1" t="s">
        <v>10</v>
      </c>
      <c r="B139" s="1">
        <v>2024</v>
      </c>
      <c r="C139" s="1">
        <v>3</v>
      </c>
      <c r="D139">
        <v>32</v>
      </c>
      <c r="E139">
        <v>23.75</v>
      </c>
      <c r="F139">
        <v>193</v>
      </c>
      <c r="G139">
        <v>4427</v>
      </c>
    </row>
    <row r="140" spans="1:7" x14ac:dyDescent="0.35">
      <c r="A140" s="1" t="s">
        <v>10</v>
      </c>
      <c r="B140" s="1">
        <v>2024</v>
      </c>
      <c r="C140" s="1">
        <v>4</v>
      </c>
      <c r="D140">
        <v>39</v>
      </c>
      <c r="E140">
        <v>23.69230769230769</v>
      </c>
      <c r="F140">
        <v>220</v>
      </c>
      <c r="G140">
        <v>5403.5</v>
      </c>
    </row>
    <row r="141" spans="1:7" x14ac:dyDescent="0.35">
      <c r="A141" s="1" t="s">
        <v>10</v>
      </c>
      <c r="B141" s="1">
        <v>2024</v>
      </c>
      <c r="C141" s="1">
        <v>5</v>
      </c>
      <c r="D141">
        <v>46</v>
      </c>
      <c r="E141">
        <v>24.369565217391301</v>
      </c>
      <c r="F141">
        <v>248</v>
      </c>
      <c r="G141">
        <v>5798.5</v>
      </c>
    </row>
    <row r="142" spans="1:7" x14ac:dyDescent="0.35">
      <c r="A142" s="1" t="s">
        <v>10</v>
      </c>
      <c r="B142" s="1">
        <v>2024</v>
      </c>
      <c r="C142" s="1">
        <v>6</v>
      </c>
      <c r="D142">
        <v>40</v>
      </c>
      <c r="E142">
        <v>23.9</v>
      </c>
      <c r="F142">
        <v>206</v>
      </c>
      <c r="G142">
        <v>5197</v>
      </c>
    </row>
    <row r="143" spans="1:7" x14ac:dyDescent="0.35">
      <c r="A143" s="1" t="s">
        <v>10</v>
      </c>
      <c r="B143" s="1">
        <v>2024</v>
      </c>
      <c r="C143" s="1">
        <v>7</v>
      </c>
      <c r="D143">
        <v>35</v>
      </c>
      <c r="E143">
        <v>26.428571428571431</v>
      </c>
      <c r="F143">
        <v>176</v>
      </c>
      <c r="G143">
        <v>4877.5</v>
      </c>
    </row>
    <row r="144" spans="1:7" x14ac:dyDescent="0.35">
      <c r="A144" s="1" t="s">
        <v>10</v>
      </c>
      <c r="B144" s="1">
        <v>2024</v>
      </c>
      <c r="C144" s="1">
        <v>8</v>
      </c>
      <c r="D144">
        <v>46</v>
      </c>
      <c r="E144">
        <v>24.95652173913043</v>
      </c>
      <c r="F144">
        <v>236</v>
      </c>
      <c r="G144">
        <v>6080.5</v>
      </c>
    </row>
    <row r="145" spans="1:7" x14ac:dyDescent="0.35">
      <c r="A145" s="1" t="s">
        <v>10</v>
      </c>
      <c r="B145" s="1">
        <v>2024</v>
      </c>
      <c r="C145" s="1">
        <v>9</v>
      </c>
      <c r="D145">
        <v>42</v>
      </c>
      <c r="E145">
        <v>23.928571428571431</v>
      </c>
      <c r="F145">
        <v>206</v>
      </c>
      <c r="G145">
        <v>4852</v>
      </c>
    </row>
    <row r="146" spans="1:7" x14ac:dyDescent="0.35">
      <c r="A146" s="1" t="s">
        <v>10</v>
      </c>
      <c r="B146" s="1">
        <v>2024</v>
      </c>
      <c r="C146" s="1">
        <v>10</v>
      </c>
      <c r="D146">
        <v>37</v>
      </c>
      <c r="E146">
        <v>25.351351351351351</v>
      </c>
      <c r="F146">
        <v>208</v>
      </c>
      <c r="G146">
        <v>5045</v>
      </c>
    </row>
    <row r="147" spans="1:7" x14ac:dyDescent="0.35">
      <c r="A147" s="1" t="s">
        <v>10</v>
      </c>
      <c r="B147" s="1">
        <v>2024</v>
      </c>
      <c r="C147" s="1">
        <v>11</v>
      </c>
      <c r="D147">
        <v>51</v>
      </c>
      <c r="E147">
        <v>24.147058823529409</v>
      </c>
      <c r="F147">
        <v>268</v>
      </c>
      <c r="G147">
        <v>6336.5</v>
      </c>
    </row>
    <row r="148" spans="1:7" x14ac:dyDescent="0.35">
      <c r="A148" s="1" t="s">
        <v>10</v>
      </c>
      <c r="B148" s="1">
        <v>2024</v>
      </c>
      <c r="C148" s="1">
        <v>12</v>
      </c>
      <c r="D148">
        <v>39</v>
      </c>
      <c r="E148">
        <v>21.5</v>
      </c>
      <c r="F148">
        <v>230</v>
      </c>
      <c r="G148">
        <v>5197</v>
      </c>
    </row>
    <row r="149" spans="1:7" x14ac:dyDescent="0.35">
      <c r="A149" s="1" t="s">
        <v>10</v>
      </c>
      <c r="B149" s="1">
        <v>2025</v>
      </c>
      <c r="C149" s="1">
        <v>1</v>
      </c>
      <c r="D149">
        <v>25</v>
      </c>
      <c r="E149">
        <v>24.62</v>
      </c>
      <c r="F149">
        <v>128</v>
      </c>
      <c r="G149">
        <v>2984.5</v>
      </c>
    </row>
    <row r="150" spans="1:7" x14ac:dyDescent="0.35">
      <c r="A150" s="1" t="s">
        <v>11</v>
      </c>
      <c r="B150" s="1">
        <v>2022</v>
      </c>
      <c r="C150" s="1">
        <v>1</v>
      </c>
      <c r="D150">
        <v>38</v>
      </c>
      <c r="E150">
        <v>22.368421052631579</v>
      </c>
      <c r="F150">
        <v>231</v>
      </c>
      <c r="G150">
        <v>5119.5</v>
      </c>
    </row>
    <row r="151" spans="1:7" x14ac:dyDescent="0.35">
      <c r="A151" s="1" t="s">
        <v>11</v>
      </c>
      <c r="B151" s="1">
        <v>2022</v>
      </c>
      <c r="C151" s="1">
        <v>2</v>
      </c>
      <c r="D151">
        <v>38</v>
      </c>
      <c r="E151">
        <v>21.934210526315791</v>
      </c>
      <c r="F151">
        <v>200</v>
      </c>
      <c r="G151">
        <v>4532.5</v>
      </c>
    </row>
    <row r="152" spans="1:7" x14ac:dyDescent="0.35">
      <c r="A152" s="1" t="s">
        <v>11</v>
      </c>
      <c r="B152" s="1">
        <v>2022</v>
      </c>
      <c r="C152" s="1">
        <v>3</v>
      </c>
      <c r="D152">
        <v>38</v>
      </c>
      <c r="E152">
        <v>21.065789473684209</v>
      </c>
      <c r="F152">
        <v>200</v>
      </c>
      <c r="G152">
        <v>4181.5</v>
      </c>
    </row>
    <row r="153" spans="1:7" x14ac:dyDescent="0.35">
      <c r="A153" s="1" t="s">
        <v>11</v>
      </c>
      <c r="B153" s="1">
        <v>2022</v>
      </c>
      <c r="C153" s="1">
        <v>4</v>
      </c>
      <c r="D153">
        <v>36</v>
      </c>
      <c r="E153">
        <v>20.125</v>
      </c>
      <c r="F153">
        <v>156</v>
      </c>
      <c r="G153">
        <v>3144</v>
      </c>
    </row>
    <row r="154" spans="1:7" x14ac:dyDescent="0.35">
      <c r="A154" s="1" t="s">
        <v>11</v>
      </c>
      <c r="B154" s="1">
        <v>2022</v>
      </c>
      <c r="C154" s="1">
        <v>5</v>
      </c>
      <c r="D154">
        <v>30</v>
      </c>
      <c r="E154">
        <v>22.85</v>
      </c>
      <c r="F154">
        <v>193</v>
      </c>
      <c r="G154">
        <v>4556</v>
      </c>
    </row>
    <row r="155" spans="1:7" x14ac:dyDescent="0.35">
      <c r="A155" s="1" t="s">
        <v>11</v>
      </c>
      <c r="B155" s="1">
        <v>2022</v>
      </c>
      <c r="C155" s="1">
        <v>6</v>
      </c>
      <c r="D155">
        <v>30</v>
      </c>
      <c r="E155">
        <v>20.25</v>
      </c>
      <c r="F155">
        <v>178</v>
      </c>
      <c r="G155">
        <v>3438.5</v>
      </c>
    </row>
    <row r="156" spans="1:7" x14ac:dyDescent="0.35">
      <c r="A156" s="1" t="s">
        <v>11</v>
      </c>
      <c r="B156" s="1">
        <v>2022</v>
      </c>
      <c r="C156" s="1">
        <v>7</v>
      </c>
      <c r="D156">
        <v>50</v>
      </c>
      <c r="E156">
        <v>21.38</v>
      </c>
      <c r="F156">
        <v>284</v>
      </c>
      <c r="G156">
        <v>6238</v>
      </c>
    </row>
    <row r="157" spans="1:7" x14ac:dyDescent="0.35">
      <c r="A157" s="1" t="s">
        <v>11</v>
      </c>
      <c r="B157" s="1">
        <v>2022</v>
      </c>
      <c r="C157" s="1">
        <v>8</v>
      </c>
      <c r="D157">
        <v>37</v>
      </c>
      <c r="E157">
        <v>22.27027027027027</v>
      </c>
      <c r="F157">
        <v>196</v>
      </c>
      <c r="G157">
        <v>4319</v>
      </c>
    </row>
    <row r="158" spans="1:7" x14ac:dyDescent="0.35">
      <c r="A158" s="1" t="s">
        <v>11</v>
      </c>
      <c r="B158" s="1">
        <v>2022</v>
      </c>
      <c r="C158" s="1">
        <v>9</v>
      </c>
      <c r="D158">
        <v>40</v>
      </c>
      <c r="E158">
        <v>25.475000000000001</v>
      </c>
      <c r="F158">
        <v>224</v>
      </c>
      <c r="G158">
        <v>5863</v>
      </c>
    </row>
    <row r="159" spans="1:7" x14ac:dyDescent="0.35">
      <c r="A159" s="1" t="s">
        <v>11</v>
      </c>
      <c r="B159" s="1">
        <v>2022</v>
      </c>
      <c r="C159" s="1">
        <v>10</v>
      </c>
      <c r="D159">
        <v>42</v>
      </c>
      <c r="E159">
        <v>23.321428571428569</v>
      </c>
      <c r="F159">
        <v>248</v>
      </c>
      <c r="G159">
        <v>5461</v>
      </c>
    </row>
    <row r="160" spans="1:7" x14ac:dyDescent="0.35">
      <c r="A160" s="1" t="s">
        <v>11</v>
      </c>
      <c r="B160" s="1">
        <v>2022</v>
      </c>
      <c r="C160" s="1">
        <v>11</v>
      </c>
      <c r="D160">
        <v>44</v>
      </c>
      <c r="E160">
        <v>23.20454545454545</v>
      </c>
      <c r="F160">
        <v>253</v>
      </c>
      <c r="G160">
        <v>6135.5</v>
      </c>
    </row>
    <row r="161" spans="1:7" x14ac:dyDescent="0.35">
      <c r="A161" s="1" t="s">
        <v>11</v>
      </c>
      <c r="B161" s="1">
        <v>2022</v>
      </c>
      <c r="C161" s="1">
        <v>12</v>
      </c>
      <c r="D161">
        <v>30</v>
      </c>
      <c r="E161">
        <v>23.95</v>
      </c>
      <c r="F161">
        <v>167</v>
      </c>
      <c r="G161">
        <v>4037.5</v>
      </c>
    </row>
    <row r="162" spans="1:7" x14ac:dyDescent="0.35">
      <c r="A162" s="1" t="s">
        <v>11</v>
      </c>
      <c r="B162" s="1">
        <v>2023</v>
      </c>
      <c r="C162" s="1">
        <v>1</v>
      </c>
      <c r="D162">
        <v>45</v>
      </c>
      <c r="E162">
        <v>23.4</v>
      </c>
      <c r="F162">
        <v>290</v>
      </c>
      <c r="G162">
        <v>6775</v>
      </c>
    </row>
    <row r="163" spans="1:7" x14ac:dyDescent="0.35">
      <c r="A163" s="1" t="s">
        <v>11</v>
      </c>
      <c r="B163" s="1">
        <v>2023</v>
      </c>
      <c r="C163" s="1">
        <v>2</v>
      </c>
      <c r="D163">
        <v>43</v>
      </c>
      <c r="E163">
        <v>22.267441860465119</v>
      </c>
      <c r="F163">
        <v>229</v>
      </c>
      <c r="G163">
        <v>5300</v>
      </c>
    </row>
    <row r="164" spans="1:7" x14ac:dyDescent="0.35">
      <c r="A164" s="1" t="s">
        <v>11</v>
      </c>
      <c r="B164" s="1">
        <v>2023</v>
      </c>
      <c r="C164" s="1">
        <v>3</v>
      </c>
      <c r="D164">
        <v>46</v>
      </c>
      <c r="E164">
        <v>25.478260869565219</v>
      </c>
      <c r="F164">
        <v>258</v>
      </c>
      <c r="G164">
        <v>6355.5</v>
      </c>
    </row>
    <row r="165" spans="1:7" x14ac:dyDescent="0.35">
      <c r="A165" s="1" t="s">
        <v>11</v>
      </c>
      <c r="B165" s="1">
        <v>2023</v>
      </c>
      <c r="C165" s="1">
        <v>4</v>
      </c>
      <c r="D165">
        <v>33</v>
      </c>
      <c r="E165">
        <v>25.09090909090909</v>
      </c>
      <c r="F165">
        <v>174</v>
      </c>
      <c r="G165">
        <v>4132.5</v>
      </c>
    </row>
    <row r="166" spans="1:7" x14ac:dyDescent="0.35">
      <c r="A166" s="1" t="s">
        <v>11</v>
      </c>
      <c r="B166" s="1">
        <v>2023</v>
      </c>
      <c r="C166" s="1">
        <v>5</v>
      </c>
      <c r="D166">
        <v>46</v>
      </c>
      <c r="E166">
        <v>20.84782608695652</v>
      </c>
      <c r="F166">
        <v>251</v>
      </c>
      <c r="G166">
        <v>5368</v>
      </c>
    </row>
    <row r="167" spans="1:7" x14ac:dyDescent="0.35">
      <c r="A167" s="1" t="s">
        <v>11</v>
      </c>
      <c r="B167" s="1">
        <v>2023</v>
      </c>
      <c r="C167" s="1">
        <v>6</v>
      </c>
      <c r="D167">
        <v>43</v>
      </c>
      <c r="E167">
        <v>24.151162790697679</v>
      </c>
      <c r="F167">
        <v>218</v>
      </c>
      <c r="G167">
        <v>5096.5</v>
      </c>
    </row>
    <row r="168" spans="1:7" x14ac:dyDescent="0.35">
      <c r="A168" s="1" t="s">
        <v>11</v>
      </c>
      <c r="B168" s="1">
        <v>2023</v>
      </c>
      <c r="C168" s="1">
        <v>7</v>
      </c>
      <c r="D168">
        <v>50</v>
      </c>
      <c r="E168">
        <v>25.52</v>
      </c>
      <c r="F168">
        <v>308</v>
      </c>
      <c r="G168">
        <v>7625.5</v>
      </c>
    </row>
    <row r="169" spans="1:7" x14ac:dyDescent="0.35">
      <c r="A169" s="1" t="s">
        <v>11</v>
      </c>
      <c r="B169" s="1">
        <v>2023</v>
      </c>
      <c r="C169" s="1">
        <v>8</v>
      </c>
      <c r="D169">
        <v>44</v>
      </c>
      <c r="E169">
        <v>23.68181818181818</v>
      </c>
      <c r="F169">
        <v>217</v>
      </c>
      <c r="G169">
        <v>4934</v>
      </c>
    </row>
    <row r="170" spans="1:7" x14ac:dyDescent="0.35">
      <c r="A170" s="1" t="s">
        <v>11</v>
      </c>
      <c r="B170" s="1">
        <v>2023</v>
      </c>
      <c r="C170" s="1">
        <v>9</v>
      </c>
      <c r="D170">
        <v>43</v>
      </c>
      <c r="E170">
        <v>24.255813953488371</v>
      </c>
      <c r="F170">
        <v>262</v>
      </c>
      <c r="G170">
        <v>6228.5</v>
      </c>
    </row>
    <row r="171" spans="1:7" x14ac:dyDescent="0.35">
      <c r="A171" s="1" t="s">
        <v>11</v>
      </c>
      <c r="B171" s="1">
        <v>2023</v>
      </c>
      <c r="C171" s="1">
        <v>10</v>
      </c>
      <c r="D171">
        <v>38</v>
      </c>
      <c r="E171">
        <v>27.934210526315791</v>
      </c>
      <c r="F171">
        <v>208</v>
      </c>
      <c r="G171">
        <v>6011</v>
      </c>
    </row>
    <row r="172" spans="1:7" x14ac:dyDescent="0.35">
      <c r="A172" s="1" t="s">
        <v>11</v>
      </c>
      <c r="B172" s="1">
        <v>2023</v>
      </c>
      <c r="C172" s="1">
        <v>11</v>
      </c>
      <c r="D172">
        <v>38</v>
      </c>
      <c r="E172">
        <v>23.789473684210531</v>
      </c>
      <c r="F172">
        <v>210</v>
      </c>
      <c r="G172">
        <v>5217</v>
      </c>
    </row>
    <row r="173" spans="1:7" x14ac:dyDescent="0.35">
      <c r="A173" s="1" t="s">
        <v>11</v>
      </c>
      <c r="B173" s="1">
        <v>2023</v>
      </c>
      <c r="C173" s="1">
        <v>12</v>
      </c>
      <c r="D173">
        <v>35</v>
      </c>
      <c r="E173">
        <v>22.31428571428571</v>
      </c>
      <c r="F173">
        <v>205</v>
      </c>
      <c r="G173">
        <v>4560.5</v>
      </c>
    </row>
    <row r="174" spans="1:7" x14ac:dyDescent="0.35">
      <c r="A174" s="1" t="s">
        <v>11</v>
      </c>
      <c r="B174" s="1">
        <v>2024</v>
      </c>
      <c r="C174" s="1">
        <v>1</v>
      </c>
      <c r="D174">
        <v>54</v>
      </c>
      <c r="E174">
        <v>22.305555555555561</v>
      </c>
      <c r="F174">
        <v>306</v>
      </c>
      <c r="G174">
        <v>6616.5</v>
      </c>
    </row>
    <row r="175" spans="1:7" x14ac:dyDescent="0.35">
      <c r="A175" s="1" t="s">
        <v>11</v>
      </c>
      <c r="B175" s="1">
        <v>2024</v>
      </c>
      <c r="C175" s="1">
        <v>2</v>
      </c>
      <c r="D175">
        <v>33</v>
      </c>
      <c r="E175">
        <v>22.59090909090909</v>
      </c>
      <c r="F175">
        <v>172</v>
      </c>
      <c r="G175">
        <v>3956</v>
      </c>
    </row>
    <row r="176" spans="1:7" x14ac:dyDescent="0.35">
      <c r="A176" s="1" t="s">
        <v>11</v>
      </c>
      <c r="B176" s="1">
        <v>2024</v>
      </c>
      <c r="C176" s="1">
        <v>3</v>
      </c>
      <c r="D176">
        <v>44</v>
      </c>
      <c r="E176">
        <v>23.95454545454545</v>
      </c>
      <c r="F176">
        <v>222</v>
      </c>
      <c r="G176">
        <v>5172</v>
      </c>
    </row>
    <row r="177" spans="1:7" x14ac:dyDescent="0.35">
      <c r="A177" s="1" t="s">
        <v>11</v>
      </c>
      <c r="B177" s="1">
        <v>2024</v>
      </c>
      <c r="C177" s="1">
        <v>4</v>
      </c>
      <c r="D177">
        <v>36</v>
      </c>
      <c r="E177">
        <v>21.208333333333329</v>
      </c>
      <c r="F177">
        <v>225</v>
      </c>
      <c r="G177">
        <v>4755</v>
      </c>
    </row>
    <row r="178" spans="1:7" x14ac:dyDescent="0.35">
      <c r="A178" s="1" t="s">
        <v>11</v>
      </c>
      <c r="B178" s="1">
        <v>2024</v>
      </c>
      <c r="C178" s="1">
        <v>5</v>
      </c>
      <c r="D178">
        <v>45</v>
      </c>
      <c r="E178">
        <v>21.2</v>
      </c>
      <c r="F178">
        <v>270</v>
      </c>
      <c r="G178">
        <v>6097.5</v>
      </c>
    </row>
    <row r="179" spans="1:7" x14ac:dyDescent="0.35">
      <c r="A179" s="1" t="s">
        <v>11</v>
      </c>
      <c r="B179" s="1">
        <v>2024</v>
      </c>
      <c r="C179" s="1">
        <v>6</v>
      </c>
      <c r="D179">
        <v>39</v>
      </c>
      <c r="E179">
        <v>22.53846153846154</v>
      </c>
      <c r="F179">
        <v>203</v>
      </c>
      <c r="G179">
        <v>4937.5</v>
      </c>
    </row>
    <row r="180" spans="1:7" x14ac:dyDescent="0.35">
      <c r="A180" s="1" t="s">
        <v>11</v>
      </c>
      <c r="B180" s="1">
        <v>2024</v>
      </c>
      <c r="C180" s="1">
        <v>7</v>
      </c>
      <c r="D180">
        <v>45</v>
      </c>
      <c r="E180">
        <v>23.8</v>
      </c>
      <c r="F180">
        <v>232</v>
      </c>
      <c r="G180">
        <v>5405</v>
      </c>
    </row>
    <row r="181" spans="1:7" x14ac:dyDescent="0.35">
      <c r="A181" s="1" t="s">
        <v>11</v>
      </c>
      <c r="B181" s="1">
        <v>2024</v>
      </c>
      <c r="C181" s="1">
        <v>8</v>
      </c>
      <c r="D181">
        <v>37</v>
      </c>
      <c r="E181">
        <v>23.202702702702702</v>
      </c>
      <c r="F181">
        <v>218</v>
      </c>
      <c r="G181">
        <v>5099.5</v>
      </c>
    </row>
    <row r="182" spans="1:7" x14ac:dyDescent="0.35">
      <c r="A182" s="1" t="s">
        <v>11</v>
      </c>
      <c r="B182" s="1">
        <v>2024</v>
      </c>
      <c r="C182" s="1">
        <v>9</v>
      </c>
      <c r="D182">
        <v>43</v>
      </c>
      <c r="E182">
        <v>23.348837209302321</v>
      </c>
      <c r="F182">
        <v>210</v>
      </c>
      <c r="G182">
        <v>5071.5</v>
      </c>
    </row>
    <row r="183" spans="1:7" x14ac:dyDescent="0.35">
      <c r="A183" s="1" t="s">
        <v>11</v>
      </c>
      <c r="B183" s="1">
        <v>2024</v>
      </c>
      <c r="C183" s="1">
        <v>10</v>
      </c>
      <c r="D183">
        <v>49</v>
      </c>
      <c r="E183">
        <v>23.76530612244898</v>
      </c>
      <c r="F183">
        <v>285</v>
      </c>
      <c r="G183">
        <v>6768</v>
      </c>
    </row>
    <row r="184" spans="1:7" x14ac:dyDescent="0.35">
      <c r="A184" s="1" t="s">
        <v>11</v>
      </c>
      <c r="B184" s="1">
        <v>2024</v>
      </c>
      <c r="C184" s="1">
        <v>11</v>
      </c>
      <c r="D184">
        <v>41</v>
      </c>
      <c r="E184">
        <v>25.560975609756099</v>
      </c>
      <c r="F184">
        <v>242</v>
      </c>
      <c r="G184">
        <v>6296.5</v>
      </c>
    </row>
    <row r="185" spans="1:7" x14ac:dyDescent="0.35">
      <c r="A185" s="1" t="s">
        <v>11</v>
      </c>
      <c r="B185" s="1">
        <v>2024</v>
      </c>
      <c r="C185" s="1">
        <v>12</v>
      </c>
      <c r="D185">
        <v>48</v>
      </c>
      <c r="E185">
        <v>22.0625</v>
      </c>
      <c r="F185">
        <v>262</v>
      </c>
      <c r="G185">
        <v>5739.5</v>
      </c>
    </row>
    <row r="186" spans="1:7" x14ac:dyDescent="0.35">
      <c r="A186" s="1" t="s">
        <v>11</v>
      </c>
      <c r="B186" s="1">
        <v>2025</v>
      </c>
      <c r="C186" s="1">
        <v>1</v>
      </c>
      <c r="D186">
        <v>36</v>
      </c>
      <c r="E186">
        <v>23.75</v>
      </c>
      <c r="F186">
        <v>180</v>
      </c>
      <c r="G186">
        <v>4267.5</v>
      </c>
    </row>
    <row r="187" spans="1:7" x14ac:dyDescent="0.35">
      <c r="A187" s="1" t="s">
        <v>12</v>
      </c>
      <c r="B187" s="1">
        <v>2022</v>
      </c>
      <c r="C187" s="1">
        <v>1</v>
      </c>
      <c r="D187">
        <v>49</v>
      </c>
      <c r="E187">
        <v>25.051020408163261</v>
      </c>
      <c r="F187">
        <v>289</v>
      </c>
      <c r="G187">
        <v>7017.5</v>
      </c>
    </row>
    <row r="188" spans="1:7" x14ac:dyDescent="0.35">
      <c r="A188" s="1" t="s">
        <v>12</v>
      </c>
      <c r="B188" s="1">
        <v>2022</v>
      </c>
      <c r="C188" s="1">
        <v>2</v>
      </c>
      <c r="D188">
        <v>51</v>
      </c>
      <c r="E188">
        <v>21.058823529411761</v>
      </c>
      <c r="F188">
        <v>283</v>
      </c>
      <c r="G188">
        <v>6029</v>
      </c>
    </row>
    <row r="189" spans="1:7" x14ac:dyDescent="0.35">
      <c r="A189" s="1" t="s">
        <v>12</v>
      </c>
      <c r="B189" s="1">
        <v>2022</v>
      </c>
      <c r="C189" s="1">
        <v>3</v>
      </c>
      <c r="D189">
        <v>43</v>
      </c>
      <c r="E189">
        <v>22.61627906976744</v>
      </c>
      <c r="F189">
        <v>215</v>
      </c>
      <c r="G189">
        <v>4975</v>
      </c>
    </row>
    <row r="190" spans="1:7" x14ac:dyDescent="0.35">
      <c r="A190" s="1" t="s">
        <v>12</v>
      </c>
      <c r="B190" s="1">
        <v>2022</v>
      </c>
      <c r="C190" s="1">
        <v>4</v>
      </c>
      <c r="D190">
        <v>49</v>
      </c>
      <c r="E190">
        <v>20.887755102040821</v>
      </c>
      <c r="F190">
        <v>280</v>
      </c>
      <c r="G190">
        <v>5484.5</v>
      </c>
    </row>
    <row r="191" spans="1:7" x14ac:dyDescent="0.35">
      <c r="A191" s="1" t="s">
        <v>12</v>
      </c>
      <c r="B191" s="1">
        <v>2022</v>
      </c>
      <c r="C191" s="1">
        <v>5</v>
      </c>
      <c r="D191">
        <v>43</v>
      </c>
      <c r="E191">
        <v>21.779069767441861</v>
      </c>
      <c r="F191">
        <v>236</v>
      </c>
      <c r="G191">
        <v>5069.5</v>
      </c>
    </row>
    <row r="192" spans="1:7" x14ac:dyDescent="0.35">
      <c r="A192" s="1" t="s">
        <v>12</v>
      </c>
      <c r="B192" s="1">
        <v>2022</v>
      </c>
      <c r="C192" s="1">
        <v>6</v>
      </c>
      <c r="D192">
        <v>39</v>
      </c>
      <c r="E192">
        <v>22.30769230769231</v>
      </c>
      <c r="F192">
        <v>222</v>
      </c>
      <c r="G192">
        <v>4923</v>
      </c>
    </row>
    <row r="193" spans="1:7" x14ac:dyDescent="0.35">
      <c r="A193" s="1" t="s">
        <v>12</v>
      </c>
      <c r="B193" s="1">
        <v>2022</v>
      </c>
      <c r="C193" s="1">
        <v>7</v>
      </c>
      <c r="D193">
        <v>38</v>
      </c>
      <c r="E193">
        <v>25.013157894736839</v>
      </c>
      <c r="F193">
        <v>187</v>
      </c>
      <c r="G193">
        <v>4829</v>
      </c>
    </row>
    <row r="194" spans="1:7" x14ac:dyDescent="0.35">
      <c r="A194" s="1" t="s">
        <v>12</v>
      </c>
      <c r="B194" s="1">
        <v>2022</v>
      </c>
      <c r="C194" s="1">
        <v>8</v>
      </c>
      <c r="D194">
        <v>36</v>
      </c>
      <c r="E194">
        <v>21.25</v>
      </c>
      <c r="F194">
        <v>222</v>
      </c>
      <c r="G194">
        <v>4884</v>
      </c>
    </row>
    <row r="195" spans="1:7" x14ac:dyDescent="0.35">
      <c r="A195" s="1" t="s">
        <v>12</v>
      </c>
      <c r="B195" s="1">
        <v>2022</v>
      </c>
      <c r="C195" s="1">
        <v>9</v>
      </c>
      <c r="D195">
        <v>40</v>
      </c>
      <c r="E195">
        <v>27.837499999999999</v>
      </c>
      <c r="F195">
        <v>185</v>
      </c>
      <c r="G195">
        <v>5224</v>
      </c>
    </row>
    <row r="196" spans="1:7" x14ac:dyDescent="0.35">
      <c r="A196" s="1" t="s">
        <v>12</v>
      </c>
      <c r="B196" s="1">
        <v>2022</v>
      </c>
      <c r="C196" s="1">
        <v>10</v>
      </c>
      <c r="D196">
        <v>27</v>
      </c>
      <c r="E196">
        <v>23.333333333333329</v>
      </c>
      <c r="F196">
        <v>136</v>
      </c>
      <c r="G196">
        <v>3252.5</v>
      </c>
    </row>
    <row r="197" spans="1:7" x14ac:dyDescent="0.35">
      <c r="A197" s="1" t="s">
        <v>12</v>
      </c>
      <c r="B197" s="1">
        <v>2022</v>
      </c>
      <c r="C197" s="1">
        <v>11</v>
      </c>
      <c r="D197">
        <v>36</v>
      </c>
      <c r="E197">
        <v>20.416666666666671</v>
      </c>
      <c r="F197">
        <v>187</v>
      </c>
      <c r="G197">
        <v>3953</v>
      </c>
    </row>
    <row r="198" spans="1:7" x14ac:dyDescent="0.35">
      <c r="A198" s="1" t="s">
        <v>12</v>
      </c>
      <c r="B198" s="1">
        <v>2022</v>
      </c>
      <c r="C198" s="1">
        <v>12</v>
      </c>
      <c r="D198">
        <v>35</v>
      </c>
      <c r="E198">
        <v>23.042857142857141</v>
      </c>
      <c r="F198">
        <v>206</v>
      </c>
      <c r="G198">
        <v>4933</v>
      </c>
    </row>
    <row r="199" spans="1:7" x14ac:dyDescent="0.35">
      <c r="A199" s="1" t="s">
        <v>12</v>
      </c>
      <c r="B199" s="1">
        <v>2023</v>
      </c>
      <c r="C199" s="1">
        <v>1</v>
      </c>
      <c r="D199">
        <v>37</v>
      </c>
      <c r="E199">
        <v>21.743243243243239</v>
      </c>
      <c r="F199">
        <v>235</v>
      </c>
      <c r="G199">
        <v>5079.5</v>
      </c>
    </row>
    <row r="200" spans="1:7" x14ac:dyDescent="0.35">
      <c r="A200" s="1" t="s">
        <v>12</v>
      </c>
      <c r="B200" s="1">
        <v>2023</v>
      </c>
      <c r="C200" s="1">
        <v>2</v>
      </c>
      <c r="D200">
        <v>41</v>
      </c>
      <c r="E200">
        <v>23.36585365853659</v>
      </c>
      <c r="F200">
        <v>214</v>
      </c>
      <c r="G200">
        <v>4700</v>
      </c>
    </row>
    <row r="201" spans="1:7" x14ac:dyDescent="0.35">
      <c r="A201" s="1" t="s">
        <v>12</v>
      </c>
      <c r="B201" s="1">
        <v>2023</v>
      </c>
      <c r="C201" s="1">
        <v>3</v>
      </c>
      <c r="D201">
        <v>30</v>
      </c>
      <c r="E201">
        <v>23.35</v>
      </c>
      <c r="F201">
        <v>183</v>
      </c>
      <c r="G201">
        <v>4291.5</v>
      </c>
    </row>
    <row r="202" spans="1:7" x14ac:dyDescent="0.35">
      <c r="A202" s="1" t="s">
        <v>12</v>
      </c>
      <c r="B202" s="1">
        <v>2023</v>
      </c>
      <c r="C202" s="1">
        <v>4</v>
      </c>
      <c r="D202">
        <v>52</v>
      </c>
      <c r="E202">
        <v>23.49038461538462</v>
      </c>
      <c r="F202">
        <v>280</v>
      </c>
      <c r="G202">
        <v>6410</v>
      </c>
    </row>
    <row r="203" spans="1:7" x14ac:dyDescent="0.35">
      <c r="A203" s="1" t="s">
        <v>12</v>
      </c>
      <c r="B203" s="1">
        <v>2023</v>
      </c>
      <c r="C203" s="1">
        <v>5</v>
      </c>
      <c r="D203">
        <v>39</v>
      </c>
      <c r="E203">
        <v>24.73076923076923</v>
      </c>
      <c r="F203">
        <v>219</v>
      </c>
      <c r="G203">
        <v>5136</v>
      </c>
    </row>
    <row r="204" spans="1:7" x14ac:dyDescent="0.35">
      <c r="A204" s="1" t="s">
        <v>12</v>
      </c>
      <c r="B204" s="1">
        <v>2023</v>
      </c>
      <c r="C204" s="1">
        <v>6</v>
      </c>
      <c r="D204">
        <v>39</v>
      </c>
      <c r="E204">
        <v>22.65384615384615</v>
      </c>
      <c r="F204">
        <v>221</v>
      </c>
      <c r="G204">
        <v>5029</v>
      </c>
    </row>
    <row r="205" spans="1:7" x14ac:dyDescent="0.35">
      <c r="A205" s="1" t="s">
        <v>12</v>
      </c>
      <c r="B205" s="1">
        <v>2023</v>
      </c>
      <c r="C205" s="1">
        <v>7</v>
      </c>
      <c r="D205">
        <v>39</v>
      </c>
      <c r="E205">
        <v>22</v>
      </c>
      <c r="F205">
        <v>240</v>
      </c>
      <c r="G205">
        <v>5236.5</v>
      </c>
    </row>
    <row r="206" spans="1:7" x14ac:dyDescent="0.35">
      <c r="A206" s="1" t="s">
        <v>12</v>
      </c>
      <c r="B206" s="1">
        <v>2023</v>
      </c>
      <c r="C206" s="1">
        <v>8</v>
      </c>
      <c r="D206">
        <v>50</v>
      </c>
      <c r="E206">
        <v>24.08</v>
      </c>
      <c r="F206">
        <v>315</v>
      </c>
      <c r="G206">
        <v>7290</v>
      </c>
    </row>
    <row r="207" spans="1:7" x14ac:dyDescent="0.35">
      <c r="A207" s="1" t="s">
        <v>12</v>
      </c>
      <c r="B207" s="1">
        <v>2023</v>
      </c>
      <c r="C207" s="1">
        <v>9</v>
      </c>
      <c r="D207">
        <v>33</v>
      </c>
      <c r="E207">
        <v>21.09090909090909</v>
      </c>
      <c r="F207">
        <v>182</v>
      </c>
      <c r="G207">
        <v>3983.5</v>
      </c>
    </row>
    <row r="208" spans="1:7" x14ac:dyDescent="0.35">
      <c r="A208" s="1" t="s">
        <v>12</v>
      </c>
      <c r="B208" s="1">
        <v>2023</v>
      </c>
      <c r="C208" s="1">
        <v>10</v>
      </c>
      <c r="D208">
        <v>42</v>
      </c>
      <c r="E208">
        <v>21.714285714285719</v>
      </c>
      <c r="F208">
        <v>246</v>
      </c>
      <c r="G208">
        <v>5212.5</v>
      </c>
    </row>
    <row r="209" spans="1:7" x14ac:dyDescent="0.35">
      <c r="A209" s="1" t="s">
        <v>12</v>
      </c>
      <c r="B209" s="1">
        <v>2023</v>
      </c>
      <c r="C209" s="1">
        <v>11</v>
      </c>
      <c r="D209">
        <v>36</v>
      </c>
      <c r="E209">
        <v>23.291666666666671</v>
      </c>
      <c r="F209">
        <v>198</v>
      </c>
      <c r="G209">
        <v>4569</v>
      </c>
    </row>
    <row r="210" spans="1:7" x14ac:dyDescent="0.35">
      <c r="A210" s="1" t="s">
        <v>12</v>
      </c>
      <c r="B210" s="1">
        <v>2023</v>
      </c>
      <c r="C210" s="1">
        <v>12</v>
      </c>
      <c r="D210">
        <v>45</v>
      </c>
      <c r="E210">
        <v>25.866666666666671</v>
      </c>
      <c r="F210">
        <v>237</v>
      </c>
      <c r="G210">
        <v>6493.5</v>
      </c>
    </row>
    <row r="211" spans="1:7" x14ac:dyDescent="0.35">
      <c r="A211" s="1" t="s">
        <v>12</v>
      </c>
      <c r="B211" s="1">
        <v>2024</v>
      </c>
      <c r="C211" s="1">
        <v>1</v>
      </c>
      <c r="D211">
        <v>49</v>
      </c>
      <c r="E211">
        <v>26.795918367346939</v>
      </c>
      <c r="F211">
        <v>251</v>
      </c>
      <c r="G211">
        <v>6529</v>
      </c>
    </row>
    <row r="212" spans="1:7" x14ac:dyDescent="0.35">
      <c r="A212" s="1" t="s">
        <v>12</v>
      </c>
      <c r="B212" s="1">
        <v>2024</v>
      </c>
      <c r="C212" s="1">
        <v>2</v>
      </c>
      <c r="D212">
        <v>44</v>
      </c>
      <c r="E212">
        <v>18.5</v>
      </c>
      <c r="F212">
        <v>238</v>
      </c>
      <c r="G212">
        <v>4461.5</v>
      </c>
    </row>
    <row r="213" spans="1:7" x14ac:dyDescent="0.35">
      <c r="A213" s="1" t="s">
        <v>12</v>
      </c>
      <c r="B213" s="1">
        <v>2024</v>
      </c>
      <c r="C213" s="1">
        <v>3</v>
      </c>
      <c r="D213">
        <v>53</v>
      </c>
      <c r="E213">
        <v>24.188679245283019</v>
      </c>
      <c r="F213">
        <v>286</v>
      </c>
      <c r="G213">
        <v>6981.5</v>
      </c>
    </row>
    <row r="214" spans="1:7" x14ac:dyDescent="0.35">
      <c r="A214" s="1" t="s">
        <v>12</v>
      </c>
      <c r="B214" s="1">
        <v>2024</v>
      </c>
      <c r="C214" s="1">
        <v>4</v>
      </c>
      <c r="D214">
        <v>47</v>
      </c>
      <c r="E214">
        <v>26.957446808510639</v>
      </c>
      <c r="F214">
        <v>292</v>
      </c>
      <c r="G214">
        <v>7892</v>
      </c>
    </row>
    <row r="215" spans="1:7" x14ac:dyDescent="0.35">
      <c r="A215" s="1" t="s">
        <v>12</v>
      </c>
      <c r="B215" s="1">
        <v>2024</v>
      </c>
      <c r="C215" s="1">
        <v>5</v>
      </c>
      <c r="D215">
        <v>45</v>
      </c>
      <c r="E215">
        <v>22.7</v>
      </c>
      <c r="F215">
        <v>229</v>
      </c>
      <c r="G215">
        <v>5229.5</v>
      </c>
    </row>
    <row r="216" spans="1:7" x14ac:dyDescent="0.35">
      <c r="A216" s="1" t="s">
        <v>12</v>
      </c>
      <c r="B216" s="1">
        <v>2024</v>
      </c>
      <c r="C216" s="1">
        <v>6</v>
      </c>
      <c r="D216">
        <v>39</v>
      </c>
      <c r="E216">
        <v>25.84615384615385</v>
      </c>
      <c r="F216">
        <v>241</v>
      </c>
      <c r="G216">
        <v>5978</v>
      </c>
    </row>
    <row r="217" spans="1:7" x14ac:dyDescent="0.35">
      <c r="A217" s="1" t="s">
        <v>12</v>
      </c>
      <c r="B217" s="1">
        <v>2024</v>
      </c>
      <c r="C217" s="1">
        <v>7</v>
      </c>
      <c r="D217">
        <v>44</v>
      </c>
      <c r="E217">
        <v>22.25</v>
      </c>
      <c r="F217">
        <v>238</v>
      </c>
      <c r="G217">
        <v>5103.5</v>
      </c>
    </row>
    <row r="218" spans="1:7" x14ac:dyDescent="0.35">
      <c r="A218" s="1" t="s">
        <v>12</v>
      </c>
      <c r="B218" s="1">
        <v>2024</v>
      </c>
      <c r="C218" s="1">
        <v>8</v>
      </c>
      <c r="D218">
        <v>54</v>
      </c>
      <c r="E218">
        <v>21.416666666666671</v>
      </c>
      <c r="F218">
        <v>268</v>
      </c>
      <c r="G218">
        <v>6042.5</v>
      </c>
    </row>
    <row r="219" spans="1:7" x14ac:dyDescent="0.35">
      <c r="A219" s="1" t="s">
        <v>12</v>
      </c>
      <c r="B219" s="1">
        <v>2024</v>
      </c>
      <c r="C219" s="1">
        <v>9</v>
      </c>
      <c r="D219">
        <v>35</v>
      </c>
      <c r="E219">
        <v>23.857142857142861</v>
      </c>
      <c r="F219">
        <v>204</v>
      </c>
      <c r="G219">
        <v>4822.5</v>
      </c>
    </row>
    <row r="220" spans="1:7" x14ac:dyDescent="0.35">
      <c r="A220" s="1" t="s">
        <v>12</v>
      </c>
      <c r="B220" s="1">
        <v>2024</v>
      </c>
      <c r="C220" s="1">
        <v>10</v>
      </c>
      <c r="D220">
        <v>38</v>
      </c>
      <c r="E220">
        <v>23.94736842105263</v>
      </c>
      <c r="F220">
        <v>206</v>
      </c>
      <c r="G220">
        <v>4585</v>
      </c>
    </row>
    <row r="221" spans="1:7" x14ac:dyDescent="0.35">
      <c r="A221" s="1" t="s">
        <v>12</v>
      </c>
      <c r="B221" s="1">
        <v>2024</v>
      </c>
      <c r="C221" s="1">
        <v>11</v>
      </c>
      <c r="D221">
        <v>45</v>
      </c>
      <c r="E221">
        <v>25.233333333333331</v>
      </c>
      <c r="F221">
        <v>201</v>
      </c>
      <c r="G221">
        <v>5043</v>
      </c>
    </row>
    <row r="222" spans="1:7" x14ac:dyDescent="0.35">
      <c r="A222" s="1" t="s">
        <v>12</v>
      </c>
      <c r="B222" s="1">
        <v>2024</v>
      </c>
      <c r="C222" s="1">
        <v>12</v>
      </c>
      <c r="D222">
        <v>43</v>
      </c>
      <c r="E222">
        <v>21.88372093023256</v>
      </c>
      <c r="F222">
        <v>280</v>
      </c>
      <c r="G222">
        <v>5951</v>
      </c>
    </row>
    <row r="223" spans="1:7" x14ac:dyDescent="0.35">
      <c r="A223" s="1" t="s">
        <v>12</v>
      </c>
      <c r="B223" s="1">
        <v>2025</v>
      </c>
      <c r="C223" s="1">
        <v>1</v>
      </c>
      <c r="D223">
        <v>20</v>
      </c>
      <c r="E223">
        <v>24.274999999999999</v>
      </c>
      <c r="F223">
        <v>110</v>
      </c>
      <c r="G223">
        <v>2686</v>
      </c>
    </row>
    <row r="224" spans="1:7" x14ac:dyDescent="0.35">
      <c r="A224" s="1" t="s">
        <v>13</v>
      </c>
      <c r="B224" s="1">
        <v>2022</v>
      </c>
      <c r="C224" s="1">
        <v>1</v>
      </c>
      <c r="D224">
        <v>56</v>
      </c>
      <c r="E224">
        <v>21.928571428571431</v>
      </c>
      <c r="F224">
        <v>309</v>
      </c>
      <c r="G224">
        <v>6580.5</v>
      </c>
    </row>
    <row r="225" spans="1:7" x14ac:dyDescent="0.35">
      <c r="A225" s="1" t="s">
        <v>13</v>
      </c>
      <c r="B225" s="1">
        <v>2022</v>
      </c>
      <c r="C225" s="1">
        <v>2</v>
      </c>
      <c r="D225">
        <v>37</v>
      </c>
      <c r="E225">
        <v>19.918918918918919</v>
      </c>
      <c r="F225">
        <v>213</v>
      </c>
      <c r="G225">
        <v>4209</v>
      </c>
    </row>
    <row r="226" spans="1:7" x14ac:dyDescent="0.35">
      <c r="A226" s="1" t="s">
        <v>13</v>
      </c>
      <c r="B226" s="1">
        <v>2022</v>
      </c>
      <c r="C226" s="1">
        <v>3</v>
      </c>
      <c r="D226">
        <v>53</v>
      </c>
      <c r="E226">
        <v>21.245283018867919</v>
      </c>
      <c r="F226">
        <v>287</v>
      </c>
      <c r="G226">
        <v>6215.5</v>
      </c>
    </row>
    <row r="227" spans="1:7" x14ac:dyDescent="0.35">
      <c r="A227" s="1" t="s">
        <v>13</v>
      </c>
      <c r="B227" s="1">
        <v>2022</v>
      </c>
      <c r="C227" s="1">
        <v>4</v>
      </c>
      <c r="D227">
        <v>41</v>
      </c>
      <c r="E227">
        <v>19.04878048780488</v>
      </c>
      <c r="F227">
        <v>230</v>
      </c>
      <c r="G227">
        <v>4796.5</v>
      </c>
    </row>
    <row r="228" spans="1:7" x14ac:dyDescent="0.35">
      <c r="A228" s="1" t="s">
        <v>13</v>
      </c>
      <c r="B228" s="1">
        <v>2022</v>
      </c>
      <c r="C228" s="1">
        <v>5</v>
      </c>
      <c r="D228">
        <v>40</v>
      </c>
      <c r="E228">
        <v>21.5</v>
      </c>
      <c r="F228">
        <v>212</v>
      </c>
      <c r="G228">
        <v>4700.5</v>
      </c>
    </row>
    <row r="229" spans="1:7" x14ac:dyDescent="0.35">
      <c r="A229" s="1" t="s">
        <v>13</v>
      </c>
      <c r="B229" s="1">
        <v>2022</v>
      </c>
      <c r="C229" s="1">
        <v>6</v>
      </c>
      <c r="D229">
        <v>39</v>
      </c>
      <c r="E229">
        <v>20.80769230769231</v>
      </c>
      <c r="F229">
        <v>192</v>
      </c>
      <c r="G229">
        <v>3895.5</v>
      </c>
    </row>
    <row r="230" spans="1:7" x14ac:dyDescent="0.35">
      <c r="A230" s="1" t="s">
        <v>13</v>
      </c>
      <c r="B230" s="1">
        <v>2022</v>
      </c>
      <c r="C230" s="1">
        <v>7</v>
      </c>
      <c r="D230">
        <v>45</v>
      </c>
      <c r="E230">
        <v>21.233333333333331</v>
      </c>
      <c r="F230">
        <v>261</v>
      </c>
      <c r="G230">
        <v>5406</v>
      </c>
    </row>
    <row r="231" spans="1:7" x14ac:dyDescent="0.35">
      <c r="A231" s="1" t="s">
        <v>13</v>
      </c>
      <c r="B231" s="1">
        <v>2022</v>
      </c>
      <c r="C231" s="1">
        <v>8</v>
      </c>
      <c r="D231">
        <v>36</v>
      </c>
      <c r="E231">
        <v>22</v>
      </c>
      <c r="F231">
        <v>176</v>
      </c>
      <c r="G231">
        <v>4043.5</v>
      </c>
    </row>
    <row r="232" spans="1:7" x14ac:dyDescent="0.35">
      <c r="A232" s="1" t="s">
        <v>13</v>
      </c>
      <c r="B232" s="1">
        <v>2022</v>
      </c>
      <c r="C232" s="1">
        <v>9</v>
      </c>
      <c r="D232">
        <v>44</v>
      </c>
      <c r="E232">
        <v>23.98863636363636</v>
      </c>
      <c r="F232">
        <v>227</v>
      </c>
      <c r="G232">
        <v>5638</v>
      </c>
    </row>
    <row r="233" spans="1:7" x14ac:dyDescent="0.35">
      <c r="A233" s="1" t="s">
        <v>13</v>
      </c>
      <c r="B233" s="1">
        <v>2022</v>
      </c>
      <c r="C233" s="1">
        <v>10</v>
      </c>
      <c r="D233">
        <v>44</v>
      </c>
      <c r="E233">
        <v>18.73863636363636</v>
      </c>
      <c r="F233">
        <v>262</v>
      </c>
      <c r="G233">
        <v>5039</v>
      </c>
    </row>
    <row r="234" spans="1:7" x14ac:dyDescent="0.35">
      <c r="A234" s="1" t="s">
        <v>13</v>
      </c>
      <c r="B234" s="1">
        <v>2022</v>
      </c>
      <c r="C234" s="1">
        <v>11</v>
      </c>
      <c r="D234">
        <v>43</v>
      </c>
      <c r="E234">
        <v>18.779069767441861</v>
      </c>
      <c r="F234">
        <v>238</v>
      </c>
      <c r="G234">
        <v>4794.5</v>
      </c>
    </row>
    <row r="235" spans="1:7" x14ac:dyDescent="0.35">
      <c r="A235" s="1" t="s">
        <v>13</v>
      </c>
      <c r="B235" s="1">
        <v>2022</v>
      </c>
      <c r="C235" s="1">
        <v>12</v>
      </c>
      <c r="D235">
        <v>28</v>
      </c>
      <c r="E235">
        <v>20.642857142857139</v>
      </c>
      <c r="F235">
        <v>154</v>
      </c>
      <c r="G235">
        <v>3191</v>
      </c>
    </row>
    <row r="236" spans="1:7" x14ac:dyDescent="0.35">
      <c r="A236" s="1" t="s">
        <v>13</v>
      </c>
      <c r="B236" s="1">
        <v>2023</v>
      </c>
      <c r="C236" s="1">
        <v>1</v>
      </c>
      <c r="D236">
        <v>51</v>
      </c>
      <c r="E236">
        <v>22.794117647058819</v>
      </c>
      <c r="F236">
        <v>304</v>
      </c>
      <c r="G236">
        <v>7005.5</v>
      </c>
    </row>
    <row r="237" spans="1:7" x14ac:dyDescent="0.35">
      <c r="A237" s="1" t="s">
        <v>13</v>
      </c>
      <c r="B237" s="1">
        <v>2023</v>
      </c>
      <c r="C237" s="1">
        <v>2</v>
      </c>
      <c r="D237">
        <v>32</v>
      </c>
      <c r="E237">
        <v>23.328125</v>
      </c>
      <c r="F237">
        <v>195</v>
      </c>
      <c r="G237">
        <v>4515</v>
      </c>
    </row>
    <row r="238" spans="1:7" x14ac:dyDescent="0.35">
      <c r="A238" s="1" t="s">
        <v>13</v>
      </c>
      <c r="B238" s="1">
        <v>2023</v>
      </c>
      <c r="C238" s="1">
        <v>3</v>
      </c>
      <c r="D238">
        <v>35</v>
      </c>
      <c r="E238">
        <v>20.857142857142861</v>
      </c>
      <c r="F238">
        <v>191</v>
      </c>
      <c r="G238">
        <v>3880</v>
      </c>
    </row>
    <row r="239" spans="1:7" x14ac:dyDescent="0.35">
      <c r="A239" s="1" t="s">
        <v>13</v>
      </c>
      <c r="B239" s="1">
        <v>2023</v>
      </c>
      <c r="C239" s="1">
        <v>4</v>
      </c>
      <c r="D239">
        <v>40</v>
      </c>
      <c r="E239">
        <v>21.8</v>
      </c>
      <c r="F239">
        <v>211</v>
      </c>
      <c r="G239">
        <v>4962.5</v>
      </c>
    </row>
    <row r="240" spans="1:7" x14ac:dyDescent="0.35">
      <c r="A240" s="1" t="s">
        <v>13</v>
      </c>
      <c r="B240" s="1">
        <v>2023</v>
      </c>
      <c r="C240" s="1">
        <v>5</v>
      </c>
      <c r="D240">
        <v>41</v>
      </c>
      <c r="E240">
        <v>20.439024390243901</v>
      </c>
      <c r="F240">
        <v>194</v>
      </c>
      <c r="G240">
        <v>4135</v>
      </c>
    </row>
    <row r="241" spans="1:7" x14ac:dyDescent="0.35">
      <c r="A241" s="1" t="s">
        <v>13</v>
      </c>
      <c r="B241" s="1">
        <v>2023</v>
      </c>
      <c r="C241" s="1">
        <v>6</v>
      </c>
      <c r="D241">
        <v>33</v>
      </c>
      <c r="E241">
        <v>23.13636363636364</v>
      </c>
      <c r="F241">
        <v>186</v>
      </c>
      <c r="G241">
        <v>4446</v>
      </c>
    </row>
    <row r="242" spans="1:7" x14ac:dyDescent="0.35">
      <c r="A242" s="1" t="s">
        <v>13</v>
      </c>
      <c r="B242" s="1">
        <v>2023</v>
      </c>
      <c r="C242" s="1">
        <v>7</v>
      </c>
      <c r="D242">
        <v>53</v>
      </c>
      <c r="E242">
        <v>21.330188679245278</v>
      </c>
      <c r="F242">
        <v>270</v>
      </c>
      <c r="G242">
        <v>5914.5</v>
      </c>
    </row>
    <row r="243" spans="1:7" x14ac:dyDescent="0.35">
      <c r="A243" s="1" t="s">
        <v>13</v>
      </c>
      <c r="B243" s="1">
        <v>2023</v>
      </c>
      <c r="C243" s="1">
        <v>8</v>
      </c>
      <c r="D243">
        <v>44</v>
      </c>
      <c r="E243">
        <v>23.44318181818182</v>
      </c>
      <c r="F243">
        <v>238</v>
      </c>
      <c r="G243">
        <v>5457.5</v>
      </c>
    </row>
    <row r="244" spans="1:7" x14ac:dyDescent="0.35">
      <c r="A244" s="1" t="s">
        <v>13</v>
      </c>
      <c r="B244" s="1">
        <v>2023</v>
      </c>
      <c r="C244" s="1">
        <v>9</v>
      </c>
      <c r="D244">
        <v>49</v>
      </c>
      <c r="E244">
        <v>22.938775510204081</v>
      </c>
      <c r="F244">
        <v>277</v>
      </c>
      <c r="G244">
        <v>6197</v>
      </c>
    </row>
    <row r="245" spans="1:7" x14ac:dyDescent="0.35">
      <c r="A245" s="1" t="s">
        <v>13</v>
      </c>
      <c r="B245" s="1">
        <v>2023</v>
      </c>
      <c r="C245" s="1">
        <v>10</v>
      </c>
      <c r="D245">
        <v>42</v>
      </c>
      <c r="E245">
        <v>22.535714285714281</v>
      </c>
      <c r="F245">
        <v>233</v>
      </c>
      <c r="G245">
        <v>5359</v>
      </c>
    </row>
    <row r="246" spans="1:7" x14ac:dyDescent="0.35">
      <c r="A246" s="1" t="s">
        <v>13</v>
      </c>
      <c r="B246" s="1">
        <v>2023</v>
      </c>
      <c r="C246" s="1">
        <v>11</v>
      </c>
      <c r="D246">
        <v>43</v>
      </c>
      <c r="E246">
        <v>21.255813953488371</v>
      </c>
      <c r="F246">
        <v>241</v>
      </c>
      <c r="G246">
        <v>5072</v>
      </c>
    </row>
    <row r="247" spans="1:7" x14ac:dyDescent="0.35">
      <c r="A247" s="1" t="s">
        <v>13</v>
      </c>
      <c r="B247" s="1">
        <v>2023</v>
      </c>
      <c r="C247" s="1">
        <v>12</v>
      </c>
      <c r="D247">
        <v>52</v>
      </c>
      <c r="E247">
        <v>19.74038461538462</v>
      </c>
      <c r="F247">
        <v>303</v>
      </c>
      <c r="G247">
        <v>5821.5</v>
      </c>
    </row>
    <row r="248" spans="1:7" x14ac:dyDescent="0.35">
      <c r="A248" s="1" t="s">
        <v>13</v>
      </c>
      <c r="B248" s="1">
        <v>2024</v>
      </c>
      <c r="C248" s="1">
        <v>1</v>
      </c>
      <c r="D248">
        <v>38</v>
      </c>
      <c r="E248">
        <v>22.131578947368421</v>
      </c>
      <c r="F248">
        <v>182</v>
      </c>
      <c r="G248">
        <v>3916</v>
      </c>
    </row>
    <row r="249" spans="1:7" x14ac:dyDescent="0.35">
      <c r="A249" s="1" t="s">
        <v>13</v>
      </c>
      <c r="B249" s="1">
        <v>2024</v>
      </c>
      <c r="C249" s="1">
        <v>2</v>
      </c>
      <c r="D249">
        <v>33</v>
      </c>
      <c r="E249">
        <v>24.45454545454545</v>
      </c>
      <c r="F249">
        <v>170</v>
      </c>
      <c r="G249">
        <v>4312</v>
      </c>
    </row>
    <row r="250" spans="1:7" x14ac:dyDescent="0.35">
      <c r="A250" s="1" t="s">
        <v>13</v>
      </c>
      <c r="B250" s="1">
        <v>2024</v>
      </c>
      <c r="C250" s="1">
        <v>3</v>
      </c>
      <c r="D250">
        <v>37</v>
      </c>
      <c r="E250">
        <v>22.756756756756761</v>
      </c>
      <c r="F250">
        <v>245</v>
      </c>
      <c r="G250">
        <v>5776</v>
      </c>
    </row>
    <row r="251" spans="1:7" x14ac:dyDescent="0.35">
      <c r="A251" s="1" t="s">
        <v>13</v>
      </c>
      <c r="B251" s="1">
        <v>2024</v>
      </c>
      <c r="C251" s="1">
        <v>4</v>
      </c>
      <c r="D251">
        <v>28</v>
      </c>
      <c r="E251">
        <v>19.785714285714281</v>
      </c>
      <c r="F251">
        <v>178</v>
      </c>
      <c r="G251">
        <v>3488</v>
      </c>
    </row>
    <row r="252" spans="1:7" x14ac:dyDescent="0.35">
      <c r="A252" s="1" t="s">
        <v>13</v>
      </c>
      <c r="B252" s="1">
        <v>2024</v>
      </c>
      <c r="C252" s="1">
        <v>5</v>
      </c>
      <c r="D252">
        <v>42</v>
      </c>
      <c r="E252">
        <v>22.464285714285719</v>
      </c>
      <c r="F252">
        <v>229</v>
      </c>
      <c r="G252">
        <v>5019.5</v>
      </c>
    </row>
    <row r="253" spans="1:7" x14ac:dyDescent="0.35">
      <c r="A253" s="1" t="s">
        <v>13</v>
      </c>
      <c r="B253" s="1">
        <v>2024</v>
      </c>
      <c r="C253" s="1">
        <v>6</v>
      </c>
      <c r="D253">
        <v>32</v>
      </c>
      <c r="E253">
        <v>21.171875</v>
      </c>
      <c r="F253">
        <v>180</v>
      </c>
      <c r="G253">
        <v>3940.5</v>
      </c>
    </row>
    <row r="254" spans="1:7" x14ac:dyDescent="0.35">
      <c r="A254" s="1" t="s">
        <v>13</v>
      </c>
      <c r="B254" s="1">
        <v>2024</v>
      </c>
      <c r="C254" s="1">
        <v>7</v>
      </c>
      <c r="D254">
        <v>44</v>
      </c>
      <c r="E254">
        <v>17.10227272727273</v>
      </c>
      <c r="F254">
        <v>250</v>
      </c>
      <c r="G254">
        <v>4062.5</v>
      </c>
    </row>
    <row r="255" spans="1:7" x14ac:dyDescent="0.35">
      <c r="A255" s="1" t="s">
        <v>13</v>
      </c>
      <c r="B255" s="1">
        <v>2024</v>
      </c>
      <c r="C255" s="1">
        <v>8</v>
      </c>
      <c r="D255">
        <v>34</v>
      </c>
      <c r="E255">
        <v>21.235294117647062</v>
      </c>
      <c r="F255">
        <v>175</v>
      </c>
      <c r="G255">
        <v>3744.5</v>
      </c>
    </row>
    <row r="256" spans="1:7" x14ac:dyDescent="0.35">
      <c r="A256" s="1" t="s">
        <v>13</v>
      </c>
      <c r="B256" s="1">
        <v>2024</v>
      </c>
      <c r="C256" s="1">
        <v>9</v>
      </c>
      <c r="D256">
        <v>39</v>
      </c>
      <c r="E256">
        <v>23.42307692307692</v>
      </c>
      <c r="F256">
        <v>207</v>
      </c>
      <c r="G256">
        <v>4894.5</v>
      </c>
    </row>
    <row r="257" spans="1:7" x14ac:dyDescent="0.35">
      <c r="A257" s="1" t="s">
        <v>13</v>
      </c>
      <c r="B257" s="1">
        <v>2024</v>
      </c>
      <c r="C257" s="1">
        <v>10</v>
      </c>
      <c r="D257">
        <v>43</v>
      </c>
      <c r="E257">
        <v>20.244186046511629</v>
      </c>
      <c r="F257">
        <v>227</v>
      </c>
      <c r="G257">
        <v>4595.5</v>
      </c>
    </row>
    <row r="258" spans="1:7" x14ac:dyDescent="0.35">
      <c r="A258" s="1" t="s">
        <v>13</v>
      </c>
      <c r="B258" s="1">
        <v>2024</v>
      </c>
      <c r="C258" s="1">
        <v>11</v>
      </c>
      <c r="D258">
        <v>42</v>
      </c>
      <c r="E258">
        <v>21.892857142857139</v>
      </c>
      <c r="F258">
        <v>220</v>
      </c>
      <c r="G258">
        <v>5105</v>
      </c>
    </row>
    <row r="259" spans="1:7" x14ac:dyDescent="0.35">
      <c r="A259" s="1" t="s">
        <v>13</v>
      </c>
      <c r="B259" s="1">
        <v>2024</v>
      </c>
      <c r="C259" s="1">
        <v>12</v>
      </c>
      <c r="D259">
        <v>59</v>
      </c>
      <c r="E259">
        <v>21.118644067796609</v>
      </c>
      <c r="F259">
        <v>344</v>
      </c>
      <c r="G259">
        <v>7897</v>
      </c>
    </row>
    <row r="260" spans="1:7" x14ac:dyDescent="0.35">
      <c r="A260" s="1" t="s">
        <v>13</v>
      </c>
      <c r="B260" s="1">
        <v>2025</v>
      </c>
      <c r="C260" s="1">
        <v>1</v>
      </c>
      <c r="D260">
        <v>21</v>
      </c>
      <c r="E260">
        <v>16.928571428571431</v>
      </c>
      <c r="F260">
        <v>128</v>
      </c>
      <c r="G260">
        <v>2086</v>
      </c>
    </row>
    <row r="261" spans="1:7" x14ac:dyDescent="0.35">
      <c r="A261" s="1" t="s">
        <v>14</v>
      </c>
      <c r="B261" s="1">
        <v>2022</v>
      </c>
      <c r="C261" s="1">
        <v>1</v>
      </c>
      <c r="D261">
        <v>41</v>
      </c>
      <c r="E261">
        <v>24.756097560975611</v>
      </c>
      <c r="F261">
        <v>247</v>
      </c>
      <c r="G261">
        <v>6399.5</v>
      </c>
    </row>
    <row r="262" spans="1:7" x14ac:dyDescent="0.35">
      <c r="A262" s="1" t="s">
        <v>14</v>
      </c>
      <c r="B262" s="1">
        <v>2022</v>
      </c>
      <c r="C262" s="1">
        <v>2</v>
      </c>
      <c r="D262">
        <v>38</v>
      </c>
      <c r="E262">
        <v>23.631578947368421</v>
      </c>
      <c r="F262">
        <v>204</v>
      </c>
      <c r="G262">
        <v>4776</v>
      </c>
    </row>
    <row r="263" spans="1:7" x14ac:dyDescent="0.35">
      <c r="A263" s="1" t="s">
        <v>14</v>
      </c>
      <c r="B263" s="1">
        <v>2022</v>
      </c>
      <c r="C263" s="1">
        <v>3</v>
      </c>
      <c r="D263">
        <v>43</v>
      </c>
      <c r="E263">
        <v>23.767441860465119</v>
      </c>
      <c r="F263">
        <v>232</v>
      </c>
      <c r="G263">
        <v>5232.5</v>
      </c>
    </row>
    <row r="264" spans="1:7" x14ac:dyDescent="0.35">
      <c r="A264" s="1" t="s">
        <v>14</v>
      </c>
      <c r="B264" s="1">
        <v>2022</v>
      </c>
      <c r="C264" s="1">
        <v>4</v>
      </c>
      <c r="D264">
        <v>45</v>
      </c>
      <c r="E264">
        <v>22.533333333333331</v>
      </c>
      <c r="F264">
        <v>251</v>
      </c>
      <c r="G264">
        <v>5810.5</v>
      </c>
    </row>
    <row r="265" spans="1:7" x14ac:dyDescent="0.35">
      <c r="A265" s="1" t="s">
        <v>14</v>
      </c>
      <c r="B265" s="1">
        <v>2022</v>
      </c>
      <c r="C265" s="1">
        <v>5</v>
      </c>
      <c r="D265">
        <v>41</v>
      </c>
      <c r="E265">
        <v>24.609756097560979</v>
      </c>
      <c r="F265">
        <v>174</v>
      </c>
      <c r="G265">
        <v>4306.5</v>
      </c>
    </row>
    <row r="266" spans="1:7" x14ac:dyDescent="0.35">
      <c r="A266" s="1" t="s">
        <v>14</v>
      </c>
      <c r="B266" s="1">
        <v>2022</v>
      </c>
      <c r="C266" s="1">
        <v>6</v>
      </c>
      <c r="D266">
        <v>40</v>
      </c>
      <c r="E266">
        <v>26.15</v>
      </c>
      <c r="F266">
        <v>247</v>
      </c>
      <c r="G266">
        <v>6474.5</v>
      </c>
    </row>
    <row r="267" spans="1:7" x14ac:dyDescent="0.35">
      <c r="A267" s="1" t="s">
        <v>14</v>
      </c>
      <c r="B267" s="1">
        <v>2022</v>
      </c>
      <c r="C267" s="1">
        <v>7</v>
      </c>
      <c r="D267">
        <v>35</v>
      </c>
      <c r="E267">
        <v>22.74285714285714</v>
      </c>
      <c r="F267">
        <v>200</v>
      </c>
      <c r="G267">
        <v>4577.5</v>
      </c>
    </row>
    <row r="268" spans="1:7" x14ac:dyDescent="0.35">
      <c r="A268" s="1" t="s">
        <v>14</v>
      </c>
      <c r="B268" s="1">
        <v>2022</v>
      </c>
      <c r="C268" s="1">
        <v>8</v>
      </c>
      <c r="D268">
        <v>49</v>
      </c>
      <c r="E268">
        <v>21.132653061224492</v>
      </c>
      <c r="F268">
        <v>277</v>
      </c>
      <c r="G268">
        <v>5577.5</v>
      </c>
    </row>
    <row r="269" spans="1:7" x14ac:dyDescent="0.35">
      <c r="A269" s="1" t="s">
        <v>14</v>
      </c>
      <c r="B269" s="1">
        <v>2022</v>
      </c>
      <c r="C269" s="1">
        <v>9</v>
      </c>
      <c r="D269">
        <v>48</v>
      </c>
      <c r="E269">
        <v>22</v>
      </c>
      <c r="F269">
        <v>270</v>
      </c>
      <c r="G269">
        <v>5956.5</v>
      </c>
    </row>
    <row r="270" spans="1:7" x14ac:dyDescent="0.35">
      <c r="A270" s="1" t="s">
        <v>14</v>
      </c>
      <c r="B270" s="1">
        <v>2022</v>
      </c>
      <c r="C270" s="1">
        <v>10</v>
      </c>
      <c r="D270">
        <v>43</v>
      </c>
      <c r="E270">
        <v>22.337209302325579</v>
      </c>
      <c r="F270">
        <v>248</v>
      </c>
      <c r="G270">
        <v>5171.5</v>
      </c>
    </row>
    <row r="271" spans="1:7" x14ac:dyDescent="0.35">
      <c r="A271" s="1" t="s">
        <v>14</v>
      </c>
      <c r="B271" s="1">
        <v>2022</v>
      </c>
      <c r="C271" s="1">
        <v>11</v>
      </c>
      <c r="D271">
        <v>27</v>
      </c>
      <c r="E271">
        <v>23.055555555555561</v>
      </c>
      <c r="F271">
        <v>152</v>
      </c>
      <c r="G271">
        <v>3550</v>
      </c>
    </row>
    <row r="272" spans="1:7" x14ac:dyDescent="0.35">
      <c r="A272" s="1" t="s">
        <v>14</v>
      </c>
      <c r="B272" s="1">
        <v>2022</v>
      </c>
      <c r="C272" s="1">
        <v>12</v>
      </c>
      <c r="D272">
        <v>39</v>
      </c>
      <c r="E272">
        <v>21.61538461538462</v>
      </c>
      <c r="F272">
        <v>215</v>
      </c>
      <c r="G272">
        <v>4843</v>
      </c>
    </row>
    <row r="273" spans="1:7" x14ac:dyDescent="0.35">
      <c r="A273" s="1" t="s">
        <v>14</v>
      </c>
      <c r="B273" s="1">
        <v>2023</v>
      </c>
      <c r="C273" s="1">
        <v>1</v>
      </c>
      <c r="D273">
        <v>50</v>
      </c>
      <c r="E273">
        <v>21.32</v>
      </c>
      <c r="F273">
        <v>276</v>
      </c>
      <c r="G273">
        <v>5821.5</v>
      </c>
    </row>
    <row r="274" spans="1:7" x14ac:dyDescent="0.35">
      <c r="A274" s="1" t="s">
        <v>14</v>
      </c>
      <c r="B274" s="1">
        <v>2023</v>
      </c>
      <c r="C274" s="1">
        <v>2</v>
      </c>
      <c r="D274">
        <v>33</v>
      </c>
      <c r="E274">
        <v>22.04545454545455</v>
      </c>
      <c r="F274">
        <v>182</v>
      </c>
      <c r="G274">
        <v>3818.5</v>
      </c>
    </row>
    <row r="275" spans="1:7" x14ac:dyDescent="0.35">
      <c r="A275" s="1" t="s">
        <v>14</v>
      </c>
      <c r="B275" s="1">
        <v>2023</v>
      </c>
      <c r="C275" s="1">
        <v>3</v>
      </c>
      <c r="D275">
        <v>39</v>
      </c>
      <c r="E275">
        <v>23.88461538461538</v>
      </c>
      <c r="F275">
        <v>224</v>
      </c>
      <c r="G275">
        <v>5369.5</v>
      </c>
    </row>
    <row r="276" spans="1:7" x14ac:dyDescent="0.35">
      <c r="A276" s="1" t="s">
        <v>14</v>
      </c>
      <c r="B276" s="1">
        <v>2023</v>
      </c>
      <c r="C276" s="1">
        <v>4</v>
      </c>
      <c r="D276">
        <v>32</v>
      </c>
      <c r="E276">
        <v>23</v>
      </c>
      <c r="F276">
        <v>159</v>
      </c>
      <c r="G276">
        <v>3475.5</v>
      </c>
    </row>
    <row r="277" spans="1:7" x14ac:dyDescent="0.35">
      <c r="A277" s="1" t="s">
        <v>14</v>
      </c>
      <c r="B277" s="1">
        <v>2023</v>
      </c>
      <c r="C277" s="1">
        <v>5</v>
      </c>
      <c r="D277">
        <v>41</v>
      </c>
      <c r="E277">
        <v>24.646341463414629</v>
      </c>
      <c r="F277">
        <v>243</v>
      </c>
      <c r="G277">
        <v>6060</v>
      </c>
    </row>
    <row r="278" spans="1:7" x14ac:dyDescent="0.35">
      <c r="A278" s="1" t="s">
        <v>14</v>
      </c>
      <c r="B278" s="1">
        <v>2023</v>
      </c>
      <c r="C278" s="1">
        <v>6</v>
      </c>
      <c r="D278">
        <v>44</v>
      </c>
      <c r="E278">
        <v>22.48863636363636</v>
      </c>
      <c r="F278">
        <v>247</v>
      </c>
      <c r="G278">
        <v>5709.5</v>
      </c>
    </row>
    <row r="279" spans="1:7" x14ac:dyDescent="0.35">
      <c r="A279" s="1" t="s">
        <v>14</v>
      </c>
      <c r="B279" s="1">
        <v>2023</v>
      </c>
      <c r="C279" s="1">
        <v>7</v>
      </c>
      <c r="D279">
        <v>35</v>
      </c>
      <c r="E279">
        <v>25.31428571428571</v>
      </c>
      <c r="F279">
        <v>194</v>
      </c>
      <c r="G279">
        <v>4808.5</v>
      </c>
    </row>
    <row r="280" spans="1:7" x14ac:dyDescent="0.35">
      <c r="A280" s="1" t="s">
        <v>14</v>
      </c>
      <c r="B280" s="1">
        <v>2023</v>
      </c>
      <c r="C280" s="1">
        <v>8</v>
      </c>
      <c r="D280">
        <v>33</v>
      </c>
      <c r="E280">
        <v>23.18181818181818</v>
      </c>
      <c r="F280">
        <v>209</v>
      </c>
      <c r="G280">
        <v>5074</v>
      </c>
    </row>
    <row r="281" spans="1:7" x14ac:dyDescent="0.35">
      <c r="A281" s="1" t="s">
        <v>14</v>
      </c>
      <c r="B281" s="1">
        <v>2023</v>
      </c>
      <c r="C281" s="1">
        <v>9</v>
      </c>
      <c r="D281">
        <v>33</v>
      </c>
      <c r="E281">
        <v>23.45454545454545</v>
      </c>
      <c r="F281">
        <v>158</v>
      </c>
      <c r="G281">
        <v>3728.5</v>
      </c>
    </row>
    <row r="282" spans="1:7" x14ac:dyDescent="0.35">
      <c r="A282" s="1" t="s">
        <v>14</v>
      </c>
      <c r="B282" s="1">
        <v>2023</v>
      </c>
      <c r="C282" s="1">
        <v>10</v>
      </c>
      <c r="D282">
        <v>35</v>
      </c>
      <c r="E282">
        <v>22.957142857142859</v>
      </c>
      <c r="F282">
        <v>182</v>
      </c>
      <c r="G282">
        <v>4072</v>
      </c>
    </row>
    <row r="283" spans="1:7" x14ac:dyDescent="0.35">
      <c r="A283" s="1" t="s">
        <v>14</v>
      </c>
      <c r="B283" s="1">
        <v>2023</v>
      </c>
      <c r="C283" s="1">
        <v>11</v>
      </c>
      <c r="D283">
        <v>32</v>
      </c>
      <c r="E283">
        <v>21.875</v>
      </c>
      <c r="F283">
        <v>178</v>
      </c>
      <c r="G283">
        <v>4152.5</v>
      </c>
    </row>
    <row r="284" spans="1:7" x14ac:dyDescent="0.35">
      <c r="A284" s="1" t="s">
        <v>14</v>
      </c>
      <c r="B284" s="1">
        <v>2023</v>
      </c>
      <c r="C284" s="1">
        <v>12</v>
      </c>
      <c r="D284">
        <v>38</v>
      </c>
      <c r="E284">
        <v>22.881578947368421</v>
      </c>
      <c r="F284">
        <v>180</v>
      </c>
      <c r="G284">
        <v>4134</v>
      </c>
    </row>
    <row r="285" spans="1:7" x14ac:dyDescent="0.35">
      <c r="A285" s="1" t="s">
        <v>14</v>
      </c>
      <c r="B285" s="1">
        <v>2024</v>
      </c>
      <c r="C285" s="1">
        <v>1</v>
      </c>
      <c r="D285">
        <v>34</v>
      </c>
      <c r="E285">
        <v>24.32352941176471</v>
      </c>
      <c r="F285">
        <v>190</v>
      </c>
      <c r="G285">
        <v>4467.5</v>
      </c>
    </row>
    <row r="286" spans="1:7" x14ac:dyDescent="0.35">
      <c r="A286" s="1" t="s">
        <v>14</v>
      </c>
      <c r="B286" s="1">
        <v>2024</v>
      </c>
      <c r="C286" s="1">
        <v>2</v>
      </c>
      <c r="D286">
        <v>41</v>
      </c>
      <c r="E286">
        <v>23.585365853658541</v>
      </c>
      <c r="F286">
        <v>219</v>
      </c>
      <c r="G286">
        <v>4981.5</v>
      </c>
    </row>
    <row r="287" spans="1:7" x14ac:dyDescent="0.35">
      <c r="A287" s="1" t="s">
        <v>14</v>
      </c>
      <c r="B287" s="1">
        <v>2024</v>
      </c>
      <c r="C287" s="1">
        <v>3</v>
      </c>
      <c r="D287">
        <v>44</v>
      </c>
      <c r="E287">
        <v>21.39772727272727</v>
      </c>
      <c r="F287">
        <v>238</v>
      </c>
      <c r="G287">
        <v>5154.5</v>
      </c>
    </row>
    <row r="288" spans="1:7" x14ac:dyDescent="0.35">
      <c r="A288" s="1" t="s">
        <v>14</v>
      </c>
      <c r="B288" s="1">
        <v>2024</v>
      </c>
      <c r="C288" s="1">
        <v>4</v>
      </c>
      <c r="D288">
        <v>38</v>
      </c>
      <c r="E288">
        <v>25.210526315789469</v>
      </c>
      <c r="F288">
        <v>245</v>
      </c>
      <c r="G288">
        <v>6319</v>
      </c>
    </row>
    <row r="289" spans="1:7" x14ac:dyDescent="0.35">
      <c r="A289" s="1" t="s">
        <v>14</v>
      </c>
      <c r="B289" s="1">
        <v>2024</v>
      </c>
      <c r="C289" s="1">
        <v>5</v>
      </c>
      <c r="D289">
        <v>43</v>
      </c>
      <c r="E289">
        <v>23.034883720930232</v>
      </c>
      <c r="F289">
        <v>251</v>
      </c>
      <c r="G289">
        <v>5476</v>
      </c>
    </row>
    <row r="290" spans="1:7" x14ac:dyDescent="0.35">
      <c r="A290" s="1" t="s">
        <v>14</v>
      </c>
      <c r="B290" s="1">
        <v>2024</v>
      </c>
      <c r="C290" s="1">
        <v>6</v>
      </c>
      <c r="D290">
        <v>42</v>
      </c>
      <c r="E290">
        <v>23.178571428571431</v>
      </c>
      <c r="F290">
        <v>231</v>
      </c>
      <c r="G290">
        <v>5068.5</v>
      </c>
    </row>
    <row r="291" spans="1:7" x14ac:dyDescent="0.35">
      <c r="A291" s="1" t="s">
        <v>14</v>
      </c>
      <c r="B291" s="1">
        <v>2024</v>
      </c>
      <c r="C291" s="1">
        <v>7</v>
      </c>
      <c r="D291">
        <v>37</v>
      </c>
      <c r="E291">
        <v>18.5</v>
      </c>
      <c r="F291">
        <v>200</v>
      </c>
      <c r="G291">
        <v>3650.5</v>
      </c>
    </row>
    <row r="292" spans="1:7" x14ac:dyDescent="0.35">
      <c r="A292" s="1" t="s">
        <v>14</v>
      </c>
      <c r="B292" s="1">
        <v>2024</v>
      </c>
      <c r="C292" s="1">
        <v>8</v>
      </c>
      <c r="D292">
        <v>36</v>
      </c>
      <c r="E292">
        <v>23.458333333333329</v>
      </c>
      <c r="F292">
        <v>183</v>
      </c>
      <c r="G292">
        <v>4224</v>
      </c>
    </row>
    <row r="293" spans="1:7" x14ac:dyDescent="0.35">
      <c r="A293" s="1" t="s">
        <v>14</v>
      </c>
      <c r="B293" s="1">
        <v>2024</v>
      </c>
      <c r="C293" s="1">
        <v>9</v>
      </c>
      <c r="D293">
        <v>42</v>
      </c>
      <c r="E293">
        <v>21.964285714285719</v>
      </c>
      <c r="F293">
        <v>214</v>
      </c>
      <c r="G293">
        <v>4749.5</v>
      </c>
    </row>
    <row r="294" spans="1:7" x14ac:dyDescent="0.35">
      <c r="A294" s="1" t="s">
        <v>14</v>
      </c>
      <c r="B294" s="1">
        <v>2024</v>
      </c>
      <c r="C294" s="1">
        <v>10</v>
      </c>
      <c r="D294">
        <v>46</v>
      </c>
      <c r="E294">
        <v>25.34782608695652</v>
      </c>
      <c r="F294">
        <v>241</v>
      </c>
      <c r="G294">
        <v>5969</v>
      </c>
    </row>
    <row r="295" spans="1:7" x14ac:dyDescent="0.35">
      <c r="A295" s="1" t="s">
        <v>14</v>
      </c>
      <c r="B295" s="1">
        <v>2024</v>
      </c>
      <c r="C295" s="1">
        <v>11</v>
      </c>
      <c r="D295">
        <v>36</v>
      </c>
      <c r="E295">
        <v>22.791666666666671</v>
      </c>
      <c r="F295">
        <v>219</v>
      </c>
      <c r="G295">
        <v>5004</v>
      </c>
    </row>
    <row r="296" spans="1:7" x14ac:dyDescent="0.35">
      <c r="A296" s="1" t="s">
        <v>14</v>
      </c>
      <c r="B296" s="1">
        <v>2024</v>
      </c>
      <c r="C296" s="1">
        <v>12</v>
      </c>
      <c r="D296">
        <v>48</v>
      </c>
      <c r="E296">
        <v>23.125</v>
      </c>
      <c r="F296">
        <v>276</v>
      </c>
      <c r="G296">
        <v>6469.5</v>
      </c>
    </row>
    <row r="297" spans="1:7" x14ac:dyDescent="0.35">
      <c r="A297" s="1" t="s">
        <v>14</v>
      </c>
      <c r="B297" s="1">
        <v>2025</v>
      </c>
      <c r="C297" s="1">
        <v>1</v>
      </c>
      <c r="D297">
        <v>20</v>
      </c>
      <c r="E297">
        <v>20.6</v>
      </c>
      <c r="F297">
        <v>87</v>
      </c>
      <c r="G297">
        <v>1732.5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2"/>
  <sheetViews>
    <sheetView tabSelected="1" workbookViewId="0">
      <selection activeCell="D1" sqref="D1"/>
    </sheetView>
  </sheetViews>
  <sheetFormatPr defaultRowHeight="14.5" x14ac:dyDescent="0.35"/>
  <cols>
    <col min="1" max="1" width="15.54296875" bestFit="1" customWidth="1"/>
    <col min="2" max="2" width="4.81640625" bestFit="1" customWidth="1"/>
    <col min="3" max="3" width="6.54296875" bestFit="1" customWidth="1"/>
    <col min="4" max="4" width="11.26953125" bestFit="1" customWidth="1"/>
    <col min="5" max="5" width="12.1796875" bestFit="1" customWidth="1"/>
    <col min="6" max="6" width="8.1796875" bestFit="1" customWidth="1"/>
    <col min="7" max="7" width="10.36328125" bestFit="1" customWidth="1"/>
  </cols>
  <sheetData>
    <row r="1" spans="1:7" x14ac:dyDescent="0.35">
      <c r="A1" s="1" t="s">
        <v>15</v>
      </c>
      <c r="B1" s="1" t="s">
        <v>1</v>
      </c>
      <c r="C1" s="1" t="s">
        <v>2</v>
      </c>
      <c r="D1" s="1" t="s">
        <v>3</v>
      </c>
      <c r="E1" s="1" t="s">
        <v>4</v>
      </c>
      <c r="F1" s="1" t="s">
        <v>5</v>
      </c>
      <c r="G1" s="1" t="s">
        <v>6</v>
      </c>
    </row>
    <row r="2" spans="1:7" x14ac:dyDescent="0.35">
      <c r="A2" s="1" t="s">
        <v>16</v>
      </c>
      <c r="B2" s="1">
        <v>2022</v>
      </c>
      <c r="C2" s="1">
        <v>1</v>
      </c>
      <c r="D2">
        <v>128</v>
      </c>
      <c r="E2">
        <v>25.05078125</v>
      </c>
      <c r="F2">
        <v>796</v>
      </c>
      <c r="G2">
        <v>19568</v>
      </c>
    </row>
    <row r="3" spans="1:7" x14ac:dyDescent="0.35">
      <c r="A3" s="1" t="s">
        <v>16</v>
      </c>
      <c r="B3" s="1">
        <v>2022</v>
      </c>
      <c r="C3" s="1">
        <v>2</v>
      </c>
      <c r="D3">
        <v>98</v>
      </c>
      <c r="E3">
        <v>24.591836734693882</v>
      </c>
      <c r="F3">
        <v>538</v>
      </c>
      <c r="G3">
        <v>13325</v>
      </c>
    </row>
    <row r="4" spans="1:7" x14ac:dyDescent="0.35">
      <c r="A4" s="1" t="s">
        <v>16</v>
      </c>
      <c r="B4" s="1">
        <v>2022</v>
      </c>
      <c r="C4" s="1">
        <v>3</v>
      </c>
      <c r="D4">
        <v>115</v>
      </c>
      <c r="E4">
        <v>22.30869565217391</v>
      </c>
      <c r="F4">
        <v>685</v>
      </c>
      <c r="G4">
        <v>15317</v>
      </c>
    </row>
    <row r="5" spans="1:7" x14ac:dyDescent="0.35">
      <c r="A5" s="1" t="s">
        <v>16</v>
      </c>
      <c r="B5" s="1">
        <v>2022</v>
      </c>
      <c r="C5" s="1">
        <v>4</v>
      </c>
      <c r="D5">
        <v>113</v>
      </c>
      <c r="E5">
        <v>21.380530973451329</v>
      </c>
      <c r="F5">
        <v>550</v>
      </c>
      <c r="G5">
        <v>11684</v>
      </c>
    </row>
    <row r="6" spans="1:7" x14ac:dyDescent="0.35">
      <c r="A6" s="1" t="s">
        <v>16</v>
      </c>
      <c r="B6" s="1">
        <v>2022</v>
      </c>
      <c r="C6" s="1">
        <v>5</v>
      </c>
      <c r="D6">
        <v>115</v>
      </c>
      <c r="E6">
        <v>24.265217391304351</v>
      </c>
      <c r="F6">
        <v>616</v>
      </c>
      <c r="G6">
        <v>14895.5</v>
      </c>
    </row>
    <row r="7" spans="1:7" x14ac:dyDescent="0.35">
      <c r="A7" s="1" t="s">
        <v>16</v>
      </c>
      <c r="B7" s="1">
        <v>2022</v>
      </c>
      <c r="C7" s="1">
        <v>6</v>
      </c>
      <c r="D7">
        <v>101</v>
      </c>
      <c r="E7">
        <v>24.17326732673267</v>
      </c>
      <c r="F7">
        <v>577</v>
      </c>
      <c r="G7">
        <v>14220.5</v>
      </c>
    </row>
    <row r="8" spans="1:7" x14ac:dyDescent="0.35">
      <c r="A8" s="1" t="s">
        <v>16</v>
      </c>
      <c r="B8" s="1">
        <v>2022</v>
      </c>
      <c r="C8" s="1">
        <v>7</v>
      </c>
      <c r="D8">
        <v>117</v>
      </c>
      <c r="E8">
        <v>22.064102564102569</v>
      </c>
      <c r="F8">
        <v>639</v>
      </c>
      <c r="G8">
        <v>14403</v>
      </c>
    </row>
    <row r="9" spans="1:7" x14ac:dyDescent="0.35">
      <c r="A9" s="1" t="s">
        <v>16</v>
      </c>
      <c r="B9" s="1">
        <v>2022</v>
      </c>
      <c r="C9" s="1">
        <v>8</v>
      </c>
      <c r="D9">
        <v>113</v>
      </c>
      <c r="E9">
        <v>21.287610619469032</v>
      </c>
      <c r="F9">
        <v>612</v>
      </c>
      <c r="G9">
        <v>13162.5</v>
      </c>
    </row>
    <row r="10" spans="1:7" x14ac:dyDescent="0.35">
      <c r="A10" s="1" t="s">
        <v>16</v>
      </c>
      <c r="B10" s="1">
        <v>2022</v>
      </c>
      <c r="C10" s="1">
        <v>9</v>
      </c>
      <c r="D10">
        <v>121</v>
      </c>
      <c r="E10">
        <v>25.144628099173548</v>
      </c>
      <c r="F10">
        <v>725</v>
      </c>
      <c r="G10">
        <v>18353.5</v>
      </c>
    </row>
    <row r="11" spans="1:7" x14ac:dyDescent="0.35">
      <c r="A11" s="1" t="s">
        <v>16</v>
      </c>
      <c r="B11" s="1">
        <v>2022</v>
      </c>
      <c r="C11" s="1">
        <v>10</v>
      </c>
      <c r="D11">
        <v>94</v>
      </c>
      <c r="E11">
        <v>22.904255319148941</v>
      </c>
      <c r="F11">
        <v>531</v>
      </c>
      <c r="G11">
        <v>11995.5</v>
      </c>
    </row>
    <row r="12" spans="1:7" x14ac:dyDescent="0.35">
      <c r="A12" s="1" t="s">
        <v>16</v>
      </c>
      <c r="B12" s="1">
        <v>2022</v>
      </c>
      <c r="C12" s="1">
        <v>11</v>
      </c>
      <c r="D12">
        <v>116</v>
      </c>
      <c r="E12">
        <v>22.961206896551719</v>
      </c>
      <c r="F12">
        <v>627</v>
      </c>
      <c r="G12">
        <v>14626.5</v>
      </c>
    </row>
    <row r="13" spans="1:7" x14ac:dyDescent="0.35">
      <c r="A13" s="1" t="s">
        <v>16</v>
      </c>
      <c r="B13" s="1">
        <v>2022</v>
      </c>
      <c r="C13" s="1">
        <v>12</v>
      </c>
      <c r="D13">
        <v>92</v>
      </c>
      <c r="E13">
        <v>23.39130434782609</v>
      </c>
      <c r="F13">
        <v>533</v>
      </c>
      <c r="G13">
        <v>12670</v>
      </c>
    </row>
    <row r="14" spans="1:7" x14ac:dyDescent="0.35">
      <c r="A14" s="1" t="s">
        <v>16</v>
      </c>
      <c r="B14" s="1">
        <v>2023</v>
      </c>
      <c r="C14" s="1">
        <v>1</v>
      </c>
      <c r="D14">
        <v>124</v>
      </c>
      <c r="E14">
        <v>22.16532258064516</v>
      </c>
      <c r="F14">
        <v>689</v>
      </c>
      <c r="G14">
        <v>15727</v>
      </c>
    </row>
    <row r="15" spans="1:7" x14ac:dyDescent="0.35">
      <c r="A15" s="1" t="s">
        <v>16</v>
      </c>
      <c r="B15" s="1">
        <v>2023</v>
      </c>
      <c r="C15" s="1">
        <v>2</v>
      </c>
      <c r="D15">
        <v>123</v>
      </c>
      <c r="E15">
        <v>23.426829268292678</v>
      </c>
      <c r="F15">
        <v>659</v>
      </c>
      <c r="G15">
        <v>15530.5</v>
      </c>
    </row>
    <row r="16" spans="1:7" x14ac:dyDescent="0.35">
      <c r="A16" s="1" t="s">
        <v>16</v>
      </c>
      <c r="B16" s="1">
        <v>2023</v>
      </c>
      <c r="C16" s="1">
        <v>3</v>
      </c>
      <c r="D16">
        <v>105</v>
      </c>
      <c r="E16">
        <v>22.528571428571428</v>
      </c>
      <c r="F16">
        <v>604</v>
      </c>
      <c r="G16">
        <v>13350.5</v>
      </c>
    </row>
    <row r="17" spans="1:7" x14ac:dyDescent="0.35">
      <c r="A17" s="1" t="s">
        <v>16</v>
      </c>
      <c r="B17" s="1">
        <v>2023</v>
      </c>
      <c r="C17" s="1">
        <v>4</v>
      </c>
      <c r="D17">
        <v>93</v>
      </c>
      <c r="E17">
        <v>24.20967741935484</v>
      </c>
      <c r="F17">
        <v>489</v>
      </c>
      <c r="G17">
        <v>11754</v>
      </c>
    </row>
    <row r="18" spans="1:7" x14ac:dyDescent="0.35">
      <c r="A18" s="1" t="s">
        <v>16</v>
      </c>
      <c r="B18" s="1">
        <v>2023</v>
      </c>
      <c r="C18" s="1">
        <v>5</v>
      </c>
      <c r="D18">
        <v>123</v>
      </c>
      <c r="E18">
        <v>22.975609756097558</v>
      </c>
      <c r="F18">
        <v>690</v>
      </c>
      <c r="G18">
        <v>16179</v>
      </c>
    </row>
    <row r="19" spans="1:7" x14ac:dyDescent="0.35">
      <c r="A19" s="1" t="s">
        <v>16</v>
      </c>
      <c r="B19" s="1">
        <v>2023</v>
      </c>
      <c r="C19" s="1">
        <v>6</v>
      </c>
      <c r="D19">
        <v>113</v>
      </c>
      <c r="E19">
        <v>23.17256637168142</v>
      </c>
      <c r="F19">
        <v>621</v>
      </c>
      <c r="G19">
        <v>14106</v>
      </c>
    </row>
    <row r="20" spans="1:7" x14ac:dyDescent="0.35">
      <c r="A20" s="1" t="s">
        <v>16</v>
      </c>
      <c r="B20" s="1">
        <v>2023</v>
      </c>
      <c r="C20" s="1">
        <v>7</v>
      </c>
      <c r="D20">
        <v>123</v>
      </c>
      <c r="E20">
        <v>22.81707317073171</v>
      </c>
      <c r="F20">
        <v>685</v>
      </c>
      <c r="G20">
        <v>15453.5</v>
      </c>
    </row>
    <row r="21" spans="1:7" x14ac:dyDescent="0.35">
      <c r="A21" s="1" t="s">
        <v>16</v>
      </c>
      <c r="B21" s="1">
        <v>2023</v>
      </c>
      <c r="C21" s="1">
        <v>8</v>
      </c>
      <c r="D21">
        <v>100</v>
      </c>
      <c r="E21">
        <v>24.17</v>
      </c>
      <c r="F21">
        <v>515</v>
      </c>
      <c r="G21">
        <v>12188.5</v>
      </c>
    </row>
    <row r="22" spans="1:7" x14ac:dyDescent="0.35">
      <c r="A22" s="1" t="s">
        <v>16</v>
      </c>
      <c r="B22" s="1">
        <v>2023</v>
      </c>
      <c r="C22" s="1">
        <v>9</v>
      </c>
      <c r="D22">
        <v>109</v>
      </c>
      <c r="E22">
        <v>24.155963302752291</v>
      </c>
      <c r="F22">
        <v>604</v>
      </c>
      <c r="G22">
        <v>14486</v>
      </c>
    </row>
    <row r="23" spans="1:7" x14ac:dyDescent="0.35">
      <c r="A23" s="1" t="s">
        <v>16</v>
      </c>
      <c r="B23" s="1">
        <v>2023</v>
      </c>
      <c r="C23" s="1">
        <v>10</v>
      </c>
      <c r="D23">
        <v>92</v>
      </c>
      <c r="E23">
        <v>24.288043478260871</v>
      </c>
      <c r="F23">
        <v>485</v>
      </c>
      <c r="G23">
        <v>11647</v>
      </c>
    </row>
    <row r="24" spans="1:7" x14ac:dyDescent="0.35">
      <c r="A24" s="1" t="s">
        <v>16</v>
      </c>
      <c r="B24" s="1">
        <v>2023</v>
      </c>
      <c r="C24" s="1">
        <v>11</v>
      </c>
      <c r="D24">
        <v>98</v>
      </c>
      <c r="E24">
        <v>24.33163265306122</v>
      </c>
      <c r="F24">
        <v>530</v>
      </c>
      <c r="G24">
        <v>13010.5</v>
      </c>
    </row>
    <row r="25" spans="1:7" x14ac:dyDescent="0.35">
      <c r="A25" s="1" t="s">
        <v>16</v>
      </c>
      <c r="B25" s="1">
        <v>2023</v>
      </c>
      <c r="C25" s="1">
        <v>12</v>
      </c>
      <c r="D25">
        <v>115</v>
      </c>
      <c r="E25">
        <v>24.395652173913039</v>
      </c>
      <c r="F25">
        <v>611</v>
      </c>
      <c r="G25">
        <v>14929</v>
      </c>
    </row>
    <row r="26" spans="1:7" x14ac:dyDescent="0.35">
      <c r="A26" s="1" t="s">
        <v>16</v>
      </c>
      <c r="B26" s="1">
        <v>2024</v>
      </c>
      <c r="C26" s="1">
        <v>1</v>
      </c>
      <c r="D26">
        <v>129</v>
      </c>
      <c r="E26">
        <v>24.174418604651159</v>
      </c>
      <c r="F26">
        <v>681</v>
      </c>
      <c r="G26">
        <v>16801.5</v>
      </c>
    </row>
    <row r="27" spans="1:7" x14ac:dyDescent="0.35">
      <c r="A27" s="1" t="s">
        <v>16</v>
      </c>
      <c r="B27" s="1">
        <v>2024</v>
      </c>
      <c r="C27" s="1">
        <v>2</v>
      </c>
      <c r="D27">
        <v>101</v>
      </c>
      <c r="E27">
        <v>23.311881188118811</v>
      </c>
      <c r="F27">
        <v>556</v>
      </c>
      <c r="G27">
        <v>12737</v>
      </c>
    </row>
    <row r="28" spans="1:7" x14ac:dyDescent="0.35">
      <c r="A28" s="1" t="s">
        <v>16</v>
      </c>
      <c r="B28" s="1">
        <v>2024</v>
      </c>
      <c r="C28" s="1">
        <v>3</v>
      </c>
      <c r="D28">
        <v>107</v>
      </c>
      <c r="E28">
        <v>24.303738317757009</v>
      </c>
      <c r="F28">
        <v>567</v>
      </c>
      <c r="G28">
        <v>13581</v>
      </c>
    </row>
    <row r="29" spans="1:7" x14ac:dyDescent="0.35">
      <c r="A29" s="1" t="s">
        <v>16</v>
      </c>
      <c r="B29" s="1">
        <v>2024</v>
      </c>
      <c r="C29" s="1">
        <v>4</v>
      </c>
      <c r="D29">
        <v>96</v>
      </c>
      <c r="E29">
        <v>24.390625</v>
      </c>
      <c r="F29">
        <v>619</v>
      </c>
      <c r="G29">
        <v>15375.5</v>
      </c>
    </row>
    <row r="30" spans="1:7" x14ac:dyDescent="0.35">
      <c r="A30" s="1" t="s">
        <v>16</v>
      </c>
      <c r="B30" s="1">
        <v>2024</v>
      </c>
      <c r="C30" s="1">
        <v>5</v>
      </c>
      <c r="D30">
        <v>123</v>
      </c>
      <c r="E30">
        <v>22.792682926829269</v>
      </c>
      <c r="F30">
        <v>668</v>
      </c>
      <c r="G30">
        <v>15686.5</v>
      </c>
    </row>
    <row r="31" spans="1:7" x14ac:dyDescent="0.35">
      <c r="A31" s="1" t="s">
        <v>16</v>
      </c>
      <c r="B31" s="1">
        <v>2024</v>
      </c>
      <c r="C31" s="1">
        <v>6</v>
      </c>
      <c r="D31">
        <v>129</v>
      </c>
      <c r="E31">
        <v>24.151162790697679</v>
      </c>
      <c r="F31">
        <v>771</v>
      </c>
      <c r="G31">
        <v>18816</v>
      </c>
    </row>
    <row r="32" spans="1:7" x14ac:dyDescent="0.35">
      <c r="A32" s="1" t="s">
        <v>16</v>
      </c>
      <c r="B32" s="1">
        <v>2024</v>
      </c>
      <c r="C32" s="1">
        <v>7</v>
      </c>
      <c r="D32">
        <v>116</v>
      </c>
      <c r="E32">
        <v>23.297413793103448</v>
      </c>
      <c r="F32">
        <v>660</v>
      </c>
      <c r="G32">
        <v>14974.5</v>
      </c>
    </row>
    <row r="33" spans="1:7" x14ac:dyDescent="0.35">
      <c r="A33" s="1" t="s">
        <v>16</v>
      </c>
      <c r="B33" s="1">
        <v>2024</v>
      </c>
      <c r="C33" s="1">
        <v>8</v>
      </c>
      <c r="D33">
        <v>121</v>
      </c>
      <c r="E33">
        <v>24.028925619834709</v>
      </c>
      <c r="F33">
        <v>653</v>
      </c>
      <c r="G33">
        <v>16120</v>
      </c>
    </row>
    <row r="34" spans="1:7" x14ac:dyDescent="0.35">
      <c r="A34" s="1" t="s">
        <v>16</v>
      </c>
      <c r="B34" s="1">
        <v>2024</v>
      </c>
      <c r="C34" s="1">
        <v>9</v>
      </c>
      <c r="D34">
        <v>118</v>
      </c>
      <c r="E34">
        <v>24.372881355932201</v>
      </c>
      <c r="F34">
        <v>661</v>
      </c>
      <c r="G34">
        <v>15833</v>
      </c>
    </row>
    <row r="35" spans="1:7" x14ac:dyDescent="0.35">
      <c r="A35" s="1" t="s">
        <v>16</v>
      </c>
      <c r="B35" s="1">
        <v>2024</v>
      </c>
      <c r="C35" s="1">
        <v>10</v>
      </c>
      <c r="D35">
        <v>131</v>
      </c>
      <c r="E35">
        <v>23.423664122137399</v>
      </c>
      <c r="F35">
        <v>692</v>
      </c>
      <c r="G35">
        <v>16016.5</v>
      </c>
    </row>
    <row r="36" spans="1:7" x14ac:dyDescent="0.35">
      <c r="A36" s="1" t="s">
        <v>16</v>
      </c>
      <c r="B36" s="1">
        <v>2024</v>
      </c>
      <c r="C36" s="1">
        <v>11</v>
      </c>
      <c r="D36">
        <v>106</v>
      </c>
      <c r="E36">
        <v>24.188679245283019</v>
      </c>
      <c r="F36">
        <v>580</v>
      </c>
      <c r="G36">
        <v>14298.5</v>
      </c>
    </row>
    <row r="37" spans="1:7" x14ac:dyDescent="0.35">
      <c r="A37" s="1" t="s">
        <v>16</v>
      </c>
      <c r="B37" s="1">
        <v>2024</v>
      </c>
      <c r="C37" s="1">
        <v>12</v>
      </c>
      <c r="D37">
        <v>125</v>
      </c>
      <c r="E37">
        <v>23.324000000000002</v>
      </c>
      <c r="F37">
        <v>734</v>
      </c>
      <c r="G37">
        <v>17218</v>
      </c>
    </row>
    <row r="38" spans="1:7" x14ac:dyDescent="0.35">
      <c r="A38" s="1" t="s">
        <v>16</v>
      </c>
      <c r="B38" s="1">
        <v>2025</v>
      </c>
      <c r="C38" s="1">
        <v>1</v>
      </c>
      <c r="D38">
        <v>60</v>
      </c>
      <c r="E38">
        <v>24.324999999999999</v>
      </c>
      <c r="F38">
        <v>327</v>
      </c>
      <c r="G38">
        <v>7669.5</v>
      </c>
    </row>
    <row r="39" spans="1:7" x14ac:dyDescent="0.35">
      <c r="A39" s="1" t="s">
        <v>17</v>
      </c>
      <c r="B39" s="1">
        <v>2022</v>
      </c>
      <c r="C39" s="1">
        <v>1</v>
      </c>
      <c r="D39">
        <v>125</v>
      </c>
      <c r="E39">
        <v>24.103999999999999</v>
      </c>
      <c r="F39">
        <v>681</v>
      </c>
      <c r="G39">
        <v>16684.5</v>
      </c>
    </row>
    <row r="40" spans="1:7" x14ac:dyDescent="0.35">
      <c r="A40" s="1" t="s">
        <v>17</v>
      </c>
      <c r="B40" s="1">
        <v>2022</v>
      </c>
      <c r="C40" s="1">
        <v>2</v>
      </c>
      <c r="D40">
        <v>104</v>
      </c>
      <c r="E40">
        <v>22.94230769230769</v>
      </c>
      <c r="F40">
        <v>629</v>
      </c>
      <c r="G40">
        <v>14474.5</v>
      </c>
    </row>
    <row r="41" spans="1:7" x14ac:dyDescent="0.35">
      <c r="A41" s="1" t="s">
        <v>17</v>
      </c>
      <c r="B41" s="1">
        <v>2022</v>
      </c>
      <c r="C41" s="1">
        <v>3</v>
      </c>
      <c r="D41">
        <v>104</v>
      </c>
      <c r="E41">
        <v>23.20192307692308</v>
      </c>
      <c r="F41">
        <v>511</v>
      </c>
      <c r="G41">
        <v>11847.5</v>
      </c>
    </row>
    <row r="42" spans="1:7" x14ac:dyDescent="0.35">
      <c r="A42" s="1" t="s">
        <v>17</v>
      </c>
      <c r="B42" s="1">
        <v>2022</v>
      </c>
      <c r="C42" s="1">
        <v>4</v>
      </c>
      <c r="D42">
        <v>117</v>
      </c>
      <c r="E42">
        <v>22.76923076923077</v>
      </c>
      <c r="F42">
        <v>660</v>
      </c>
      <c r="G42">
        <v>15160.5</v>
      </c>
    </row>
    <row r="43" spans="1:7" x14ac:dyDescent="0.35">
      <c r="A43" s="1" t="s">
        <v>17</v>
      </c>
      <c r="B43" s="1">
        <v>2022</v>
      </c>
      <c r="C43" s="1">
        <v>5</v>
      </c>
      <c r="D43">
        <v>100</v>
      </c>
      <c r="E43">
        <v>22.324999999999999</v>
      </c>
      <c r="F43">
        <v>578</v>
      </c>
      <c r="G43">
        <v>13040.5</v>
      </c>
    </row>
    <row r="44" spans="1:7" x14ac:dyDescent="0.35">
      <c r="A44" s="1" t="s">
        <v>17</v>
      </c>
      <c r="B44" s="1">
        <v>2022</v>
      </c>
      <c r="C44" s="1">
        <v>6</v>
      </c>
      <c r="D44">
        <v>112</v>
      </c>
      <c r="E44">
        <v>23.522321428571431</v>
      </c>
      <c r="F44">
        <v>648</v>
      </c>
      <c r="G44">
        <v>15457.5</v>
      </c>
    </row>
    <row r="45" spans="1:7" x14ac:dyDescent="0.35">
      <c r="A45" s="1" t="s">
        <v>17</v>
      </c>
      <c r="B45" s="1">
        <v>2022</v>
      </c>
      <c r="C45" s="1">
        <v>7</v>
      </c>
      <c r="D45">
        <v>101</v>
      </c>
      <c r="E45">
        <v>22.881188118811881</v>
      </c>
      <c r="F45">
        <v>577</v>
      </c>
      <c r="G45">
        <v>13203.5</v>
      </c>
    </row>
    <row r="46" spans="1:7" x14ac:dyDescent="0.35">
      <c r="A46" s="1" t="s">
        <v>17</v>
      </c>
      <c r="B46" s="1">
        <v>2022</v>
      </c>
      <c r="C46" s="1">
        <v>8</v>
      </c>
      <c r="D46">
        <v>125</v>
      </c>
      <c r="E46">
        <v>22.712</v>
      </c>
      <c r="F46">
        <v>715</v>
      </c>
      <c r="G46">
        <v>16055</v>
      </c>
    </row>
    <row r="47" spans="1:7" x14ac:dyDescent="0.35">
      <c r="A47" s="1" t="s">
        <v>17</v>
      </c>
      <c r="B47" s="1">
        <v>2022</v>
      </c>
      <c r="C47" s="1">
        <v>9</v>
      </c>
      <c r="D47">
        <v>103</v>
      </c>
      <c r="E47">
        <v>25.33009708737864</v>
      </c>
      <c r="F47">
        <v>546</v>
      </c>
      <c r="G47">
        <v>14005.5</v>
      </c>
    </row>
    <row r="48" spans="1:7" x14ac:dyDescent="0.35">
      <c r="A48" s="1" t="s">
        <v>17</v>
      </c>
      <c r="B48" s="1">
        <v>2022</v>
      </c>
      <c r="C48" s="1">
        <v>10</v>
      </c>
      <c r="D48">
        <v>104</v>
      </c>
      <c r="E48">
        <v>22.45192307692308</v>
      </c>
      <c r="F48">
        <v>602</v>
      </c>
      <c r="G48">
        <v>13561</v>
      </c>
    </row>
    <row r="49" spans="1:7" x14ac:dyDescent="0.35">
      <c r="A49" s="1" t="s">
        <v>17</v>
      </c>
      <c r="B49" s="1">
        <v>2022</v>
      </c>
      <c r="C49" s="1">
        <v>11</v>
      </c>
      <c r="D49">
        <v>103</v>
      </c>
      <c r="E49">
        <v>23.49514563106796</v>
      </c>
      <c r="F49">
        <v>535</v>
      </c>
      <c r="G49">
        <v>13061</v>
      </c>
    </row>
    <row r="50" spans="1:7" x14ac:dyDescent="0.35">
      <c r="A50" s="1" t="s">
        <v>17</v>
      </c>
      <c r="B50" s="1">
        <v>2022</v>
      </c>
      <c r="C50" s="1">
        <v>12</v>
      </c>
      <c r="D50">
        <v>99</v>
      </c>
      <c r="E50">
        <v>21.36363636363636</v>
      </c>
      <c r="F50">
        <v>591</v>
      </c>
      <c r="G50">
        <v>12900</v>
      </c>
    </row>
    <row r="51" spans="1:7" x14ac:dyDescent="0.35">
      <c r="A51" s="1" t="s">
        <v>17</v>
      </c>
      <c r="B51" s="1">
        <v>2023</v>
      </c>
      <c r="C51" s="1">
        <v>1</v>
      </c>
      <c r="D51">
        <v>122</v>
      </c>
      <c r="E51">
        <v>23.04918032786885</v>
      </c>
      <c r="F51">
        <v>716</v>
      </c>
      <c r="G51">
        <v>16223.5</v>
      </c>
    </row>
    <row r="52" spans="1:7" x14ac:dyDescent="0.35">
      <c r="A52" s="1" t="s">
        <v>17</v>
      </c>
      <c r="B52" s="1">
        <v>2023</v>
      </c>
      <c r="C52" s="1">
        <v>2</v>
      </c>
      <c r="D52">
        <v>92</v>
      </c>
      <c r="E52">
        <v>22.934782608695649</v>
      </c>
      <c r="F52">
        <v>521</v>
      </c>
      <c r="G52">
        <v>12250</v>
      </c>
    </row>
    <row r="53" spans="1:7" x14ac:dyDescent="0.35">
      <c r="A53" s="1" t="s">
        <v>17</v>
      </c>
      <c r="B53" s="1">
        <v>2023</v>
      </c>
      <c r="C53" s="1">
        <v>3</v>
      </c>
      <c r="D53">
        <v>90</v>
      </c>
      <c r="E53">
        <v>24.9</v>
      </c>
      <c r="F53">
        <v>529</v>
      </c>
      <c r="G53">
        <v>13113.5</v>
      </c>
    </row>
    <row r="54" spans="1:7" x14ac:dyDescent="0.35">
      <c r="A54" s="1" t="s">
        <v>17</v>
      </c>
      <c r="B54" s="1">
        <v>2023</v>
      </c>
      <c r="C54" s="1">
        <v>4</v>
      </c>
      <c r="D54">
        <v>111</v>
      </c>
      <c r="E54">
        <v>24.418918918918919</v>
      </c>
      <c r="F54">
        <v>614</v>
      </c>
      <c r="G54">
        <v>14860</v>
      </c>
    </row>
    <row r="55" spans="1:7" x14ac:dyDescent="0.35">
      <c r="A55" s="1" t="s">
        <v>17</v>
      </c>
      <c r="B55" s="1">
        <v>2023</v>
      </c>
      <c r="C55" s="1">
        <v>5</v>
      </c>
      <c r="D55">
        <v>89</v>
      </c>
      <c r="E55">
        <v>22.662921348314612</v>
      </c>
      <c r="F55">
        <v>497</v>
      </c>
      <c r="G55">
        <v>11512</v>
      </c>
    </row>
    <row r="56" spans="1:7" x14ac:dyDescent="0.35">
      <c r="A56" s="1" t="s">
        <v>17</v>
      </c>
      <c r="B56" s="1">
        <v>2023</v>
      </c>
      <c r="C56" s="1">
        <v>6</v>
      </c>
      <c r="D56">
        <v>110</v>
      </c>
      <c r="E56">
        <v>22.686363636363641</v>
      </c>
      <c r="F56">
        <v>636</v>
      </c>
      <c r="G56">
        <v>14694</v>
      </c>
    </row>
    <row r="57" spans="1:7" x14ac:dyDescent="0.35">
      <c r="A57" s="1" t="s">
        <v>17</v>
      </c>
      <c r="B57" s="1">
        <v>2023</v>
      </c>
      <c r="C57" s="1">
        <v>7</v>
      </c>
      <c r="D57">
        <v>111</v>
      </c>
      <c r="E57">
        <v>23.527027027027032</v>
      </c>
      <c r="F57">
        <v>592</v>
      </c>
      <c r="G57">
        <v>13655</v>
      </c>
    </row>
    <row r="58" spans="1:7" x14ac:dyDescent="0.35">
      <c r="A58" s="1" t="s">
        <v>17</v>
      </c>
      <c r="B58" s="1">
        <v>2023</v>
      </c>
      <c r="C58" s="1">
        <v>8</v>
      </c>
      <c r="D58">
        <v>112</v>
      </c>
      <c r="E58">
        <v>23.575892857142861</v>
      </c>
      <c r="F58">
        <v>627</v>
      </c>
      <c r="G58">
        <v>14331</v>
      </c>
    </row>
    <row r="59" spans="1:7" x14ac:dyDescent="0.35">
      <c r="A59" s="1" t="s">
        <v>17</v>
      </c>
      <c r="B59" s="1">
        <v>2023</v>
      </c>
      <c r="C59" s="1">
        <v>9</v>
      </c>
      <c r="D59">
        <v>115</v>
      </c>
      <c r="E59">
        <v>22.556521739130439</v>
      </c>
      <c r="F59">
        <v>629</v>
      </c>
      <c r="G59">
        <v>14315.5</v>
      </c>
    </row>
    <row r="60" spans="1:7" x14ac:dyDescent="0.35">
      <c r="A60" s="1" t="s">
        <v>17</v>
      </c>
      <c r="B60" s="1">
        <v>2023</v>
      </c>
      <c r="C60" s="1">
        <v>10</v>
      </c>
      <c r="D60">
        <v>97</v>
      </c>
      <c r="E60">
        <v>24.592783505154639</v>
      </c>
      <c r="F60">
        <v>608</v>
      </c>
      <c r="G60">
        <v>14695</v>
      </c>
    </row>
    <row r="61" spans="1:7" x14ac:dyDescent="0.35">
      <c r="A61" s="1" t="s">
        <v>17</v>
      </c>
      <c r="B61" s="1">
        <v>2023</v>
      </c>
      <c r="C61" s="1">
        <v>11</v>
      </c>
      <c r="D61">
        <v>107</v>
      </c>
      <c r="E61">
        <v>22.66355140186916</v>
      </c>
      <c r="F61">
        <v>587</v>
      </c>
      <c r="G61">
        <v>13735</v>
      </c>
    </row>
    <row r="62" spans="1:7" x14ac:dyDescent="0.35">
      <c r="A62" s="1" t="s">
        <v>17</v>
      </c>
      <c r="B62" s="1">
        <v>2023</v>
      </c>
      <c r="C62" s="1">
        <v>12</v>
      </c>
      <c r="D62">
        <v>96</v>
      </c>
      <c r="E62">
        <v>22.40625</v>
      </c>
      <c r="F62">
        <v>484</v>
      </c>
      <c r="G62">
        <v>10895</v>
      </c>
    </row>
    <row r="63" spans="1:7" x14ac:dyDescent="0.35">
      <c r="A63" s="1" t="s">
        <v>17</v>
      </c>
      <c r="B63" s="1">
        <v>2024</v>
      </c>
      <c r="C63" s="1">
        <v>1</v>
      </c>
      <c r="D63">
        <v>115</v>
      </c>
      <c r="E63">
        <v>24.8</v>
      </c>
      <c r="F63">
        <v>638</v>
      </c>
      <c r="G63">
        <v>15592</v>
      </c>
    </row>
    <row r="64" spans="1:7" x14ac:dyDescent="0.35">
      <c r="A64" s="1" t="s">
        <v>17</v>
      </c>
      <c r="B64" s="1">
        <v>2024</v>
      </c>
      <c r="C64" s="1">
        <v>2</v>
      </c>
      <c r="D64">
        <v>114</v>
      </c>
      <c r="E64">
        <v>22.671052631578949</v>
      </c>
      <c r="F64">
        <v>531</v>
      </c>
      <c r="G64">
        <v>12070.5</v>
      </c>
    </row>
    <row r="65" spans="1:7" x14ac:dyDescent="0.35">
      <c r="A65" s="1" t="s">
        <v>17</v>
      </c>
      <c r="B65" s="1">
        <v>2024</v>
      </c>
      <c r="C65" s="1">
        <v>3</v>
      </c>
      <c r="D65">
        <v>111</v>
      </c>
      <c r="E65">
        <v>23.36486486486486</v>
      </c>
      <c r="F65">
        <v>651</v>
      </c>
      <c r="G65">
        <v>15288</v>
      </c>
    </row>
    <row r="66" spans="1:7" x14ac:dyDescent="0.35">
      <c r="A66" s="1" t="s">
        <v>17</v>
      </c>
      <c r="B66" s="1">
        <v>2024</v>
      </c>
      <c r="C66" s="1">
        <v>4</v>
      </c>
      <c r="D66">
        <v>114</v>
      </c>
      <c r="E66">
        <v>24.289473684210531</v>
      </c>
      <c r="F66">
        <v>653</v>
      </c>
      <c r="G66">
        <v>16541.5</v>
      </c>
    </row>
    <row r="67" spans="1:7" x14ac:dyDescent="0.35">
      <c r="A67" s="1" t="s">
        <v>17</v>
      </c>
      <c r="B67" s="1">
        <v>2024</v>
      </c>
      <c r="C67" s="1">
        <v>5</v>
      </c>
      <c r="D67">
        <v>102</v>
      </c>
      <c r="E67">
        <v>23.191176470588239</v>
      </c>
      <c r="F67">
        <v>580</v>
      </c>
      <c r="G67">
        <v>13184</v>
      </c>
    </row>
    <row r="68" spans="1:7" x14ac:dyDescent="0.35">
      <c r="A68" s="1" t="s">
        <v>17</v>
      </c>
      <c r="B68" s="1">
        <v>2024</v>
      </c>
      <c r="C68" s="1">
        <v>6</v>
      </c>
      <c r="D68">
        <v>95</v>
      </c>
      <c r="E68">
        <v>21.65789473684211</v>
      </c>
      <c r="F68">
        <v>486</v>
      </c>
      <c r="G68">
        <v>10554</v>
      </c>
    </row>
    <row r="69" spans="1:7" x14ac:dyDescent="0.35">
      <c r="A69" s="1" t="s">
        <v>17</v>
      </c>
      <c r="B69" s="1">
        <v>2024</v>
      </c>
      <c r="C69" s="1">
        <v>7</v>
      </c>
      <c r="D69">
        <v>102</v>
      </c>
      <c r="E69">
        <v>23</v>
      </c>
      <c r="F69">
        <v>568</v>
      </c>
      <c r="G69">
        <v>13037</v>
      </c>
    </row>
    <row r="70" spans="1:7" x14ac:dyDescent="0.35">
      <c r="A70" s="1" t="s">
        <v>17</v>
      </c>
      <c r="B70" s="1">
        <v>2024</v>
      </c>
      <c r="C70" s="1">
        <v>8</v>
      </c>
      <c r="D70">
        <v>119</v>
      </c>
      <c r="E70">
        <v>21.966386554621849</v>
      </c>
      <c r="F70">
        <v>635</v>
      </c>
      <c r="G70">
        <v>14149</v>
      </c>
    </row>
    <row r="71" spans="1:7" x14ac:dyDescent="0.35">
      <c r="A71" s="1" t="s">
        <v>17</v>
      </c>
      <c r="B71" s="1">
        <v>2024</v>
      </c>
      <c r="C71" s="1">
        <v>9</v>
      </c>
      <c r="D71">
        <v>105</v>
      </c>
      <c r="E71">
        <v>23.142857142857139</v>
      </c>
      <c r="F71">
        <v>556</v>
      </c>
      <c r="G71">
        <v>13218.5</v>
      </c>
    </row>
    <row r="72" spans="1:7" x14ac:dyDescent="0.35">
      <c r="A72" s="1" t="s">
        <v>17</v>
      </c>
      <c r="B72" s="1">
        <v>2024</v>
      </c>
      <c r="C72" s="1">
        <v>10</v>
      </c>
      <c r="D72">
        <v>108</v>
      </c>
      <c r="E72">
        <v>22.791666666666671</v>
      </c>
      <c r="F72">
        <v>542</v>
      </c>
      <c r="G72">
        <v>12007</v>
      </c>
    </row>
    <row r="73" spans="1:7" x14ac:dyDescent="0.35">
      <c r="A73" s="1" t="s">
        <v>17</v>
      </c>
      <c r="B73" s="1">
        <v>2024</v>
      </c>
      <c r="C73" s="1">
        <v>11</v>
      </c>
      <c r="D73">
        <v>111</v>
      </c>
      <c r="E73">
        <v>23.716216216216221</v>
      </c>
      <c r="F73">
        <v>579</v>
      </c>
      <c r="G73">
        <v>14305.5</v>
      </c>
    </row>
    <row r="74" spans="1:7" x14ac:dyDescent="0.35">
      <c r="A74" s="1" t="s">
        <v>17</v>
      </c>
      <c r="B74" s="1">
        <v>2024</v>
      </c>
      <c r="C74" s="1">
        <v>12</v>
      </c>
      <c r="D74">
        <v>116</v>
      </c>
      <c r="E74">
        <v>23.633620689655171</v>
      </c>
      <c r="F74">
        <v>633</v>
      </c>
      <c r="G74">
        <v>15136.5</v>
      </c>
    </row>
    <row r="75" spans="1:7" x14ac:dyDescent="0.35">
      <c r="A75" s="1" t="s">
        <v>17</v>
      </c>
      <c r="B75" s="1">
        <v>2025</v>
      </c>
      <c r="C75" s="1">
        <v>1</v>
      </c>
      <c r="D75">
        <v>66</v>
      </c>
      <c r="E75">
        <v>23.61363636363636</v>
      </c>
      <c r="F75">
        <v>354</v>
      </c>
      <c r="G75">
        <v>8268</v>
      </c>
    </row>
    <row r="76" spans="1:7" x14ac:dyDescent="0.35">
      <c r="A76" s="1" t="s">
        <v>18</v>
      </c>
      <c r="B76" s="1">
        <v>2022</v>
      </c>
      <c r="C76" s="1">
        <v>1</v>
      </c>
      <c r="D76">
        <v>115</v>
      </c>
      <c r="E76">
        <v>24.760869565217391</v>
      </c>
      <c r="F76">
        <v>681</v>
      </c>
      <c r="G76">
        <v>16659</v>
      </c>
    </row>
    <row r="77" spans="1:7" x14ac:dyDescent="0.35">
      <c r="A77" s="1" t="s">
        <v>18</v>
      </c>
      <c r="B77" s="1">
        <v>2022</v>
      </c>
      <c r="C77" s="1">
        <v>2</v>
      </c>
      <c r="D77">
        <v>111</v>
      </c>
      <c r="E77">
        <v>22.824324324324319</v>
      </c>
      <c r="F77">
        <v>650</v>
      </c>
      <c r="G77">
        <v>15526</v>
      </c>
    </row>
    <row r="78" spans="1:7" x14ac:dyDescent="0.35">
      <c r="A78" s="1" t="s">
        <v>18</v>
      </c>
      <c r="B78" s="1">
        <v>2022</v>
      </c>
      <c r="C78" s="1">
        <v>3</v>
      </c>
      <c r="D78">
        <v>120</v>
      </c>
      <c r="E78">
        <v>22.4</v>
      </c>
      <c r="F78">
        <v>612</v>
      </c>
      <c r="G78">
        <v>13831.5</v>
      </c>
    </row>
    <row r="79" spans="1:7" x14ac:dyDescent="0.35">
      <c r="A79" s="1" t="s">
        <v>18</v>
      </c>
      <c r="B79" s="1">
        <v>2022</v>
      </c>
      <c r="C79" s="1">
        <v>4</v>
      </c>
      <c r="D79">
        <v>104</v>
      </c>
      <c r="E79">
        <v>22.63942307692308</v>
      </c>
      <c r="F79">
        <v>597</v>
      </c>
      <c r="G79">
        <v>13597.5</v>
      </c>
    </row>
    <row r="80" spans="1:7" x14ac:dyDescent="0.35">
      <c r="A80" s="1" t="s">
        <v>18</v>
      </c>
      <c r="B80" s="1">
        <v>2022</v>
      </c>
      <c r="C80" s="1">
        <v>5</v>
      </c>
      <c r="D80">
        <v>100</v>
      </c>
      <c r="E80">
        <v>23.405000000000001</v>
      </c>
      <c r="F80">
        <v>532</v>
      </c>
      <c r="G80">
        <v>12411.5</v>
      </c>
    </row>
    <row r="81" spans="1:7" x14ac:dyDescent="0.35">
      <c r="A81" s="1" t="s">
        <v>18</v>
      </c>
      <c r="B81" s="1">
        <v>2022</v>
      </c>
      <c r="C81" s="1">
        <v>6</v>
      </c>
      <c r="D81">
        <v>108</v>
      </c>
      <c r="E81">
        <v>22.597222222222221</v>
      </c>
      <c r="F81">
        <v>593</v>
      </c>
      <c r="G81">
        <v>12898</v>
      </c>
    </row>
    <row r="82" spans="1:7" x14ac:dyDescent="0.35">
      <c r="A82" s="1" t="s">
        <v>18</v>
      </c>
      <c r="B82" s="1">
        <v>2022</v>
      </c>
      <c r="C82" s="1">
        <v>7</v>
      </c>
      <c r="D82">
        <v>131</v>
      </c>
      <c r="E82">
        <v>24.21374045801527</v>
      </c>
      <c r="F82">
        <v>697</v>
      </c>
      <c r="G82">
        <v>16865</v>
      </c>
    </row>
    <row r="83" spans="1:7" x14ac:dyDescent="0.35">
      <c r="A83" s="1" t="s">
        <v>18</v>
      </c>
      <c r="B83" s="1">
        <v>2022</v>
      </c>
      <c r="C83" s="1">
        <v>8</v>
      </c>
      <c r="D83">
        <v>93</v>
      </c>
      <c r="E83">
        <v>22.258064516129028</v>
      </c>
      <c r="F83">
        <v>523</v>
      </c>
      <c r="G83">
        <v>12116</v>
      </c>
    </row>
    <row r="84" spans="1:7" x14ac:dyDescent="0.35">
      <c r="A84" s="1" t="s">
        <v>18</v>
      </c>
      <c r="B84" s="1">
        <v>2022</v>
      </c>
      <c r="C84" s="1">
        <v>9</v>
      </c>
      <c r="D84">
        <v>113</v>
      </c>
      <c r="E84">
        <v>22.09734513274336</v>
      </c>
      <c r="F84">
        <v>611</v>
      </c>
      <c r="G84">
        <v>13754.5</v>
      </c>
    </row>
    <row r="85" spans="1:7" x14ac:dyDescent="0.35">
      <c r="A85" s="1" t="s">
        <v>18</v>
      </c>
      <c r="B85" s="1">
        <v>2022</v>
      </c>
      <c r="C85" s="1">
        <v>10</v>
      </c>
      <c r="D85">
        <v>105</v>
      </c>
      <c r="E85">
        <v>23.028571428571428</v>
      </c>
      <c r="F85">
        <v>574</v>
      </c>
      <c r="G85">
        <v>12798.5</v>
      </c>
    </row>
    <row r="86" spans="1:7" x14ac:dyDescent="0.35">
      <c r="A86" s="1" t="s">
        <v>18</v>
      </c>
      <c r="B86" s="1">
        <v>2022</v>
      </c>
      <c r="C86" s="1">
        <v>11</v>
      </c>
      <c r="D86">
        <v>109</v>
      </c>
      <c r="E86">
        <v>22.38073394495413</v>
      </c>
      <c r="F86">
        <v>609</v>
      </c>
      <c r="G86">
        <v>13569</v>
      </c>
    </row>
    <row r="87" spans="1:7" x14ac:dyDescent="0.35">
      <c r="A87" s="1" t="s">
        <v>18</v>
      </c>
      <c r="B87" s="1">
        <v>2022</v>
      </c>
      <c r="C87" s="1">
        <v>12</v>
      </c>
      <c r="D87">
        <v>96</v>
      </c>
      <c r="E87">
        <v>24.28125</v>
      </c>
      <c r="F87">
        <v>515</v>
      </c>
      <c r="G87">
        <v>12631</v>
      </c>
    </row>
    <row r="88" spans="1:7" x14ac:dyDescent="0.35">
      <c r="A88" s="1" t="s">
        <v>18</v>
      </c>
      <c r="B88" s="1">
        <v>2023</v>
      </c>
      <c r="C88" s="1">
        <v>1</v>
      </c>
      <c r="D88">
        <v>116</v>
      </c>
      <c r="E88">
        <v>24.03448275862069</v>
      </c>
      <c r="F88">
        <v>695</v>
      </c>
      <c r="G88">
        <v>16102</v>
      </c>
    </row>
    <row r="89" spans="1:7" x14ac:dyDescent="0.35">
      <c r="A89" s="1" t="s">
        <v>18</v>
      </c>
      <c r="B89" s="1">
        <v>2023</v>
      </c>
      <c r="C89" s="1">
        <v>2</v>
      </c>
      <c r="D89">
        <v>84</v>
      </c>
      <c r="E89">
        <v>23.107142857142861</v>
      </c>
      <c r="F89">
        <v>488</v>
      </c>
      <c r="G89">
        <v>11434</v>
      </c>
    </row>
    <row r="90" spans="1:7" x14ac:dyDescent="0.35">
      <c r="A90" s="1" t="s">
        <v>18</v>
      </c>
      <c r="B90" s="1">
        <v>2023</v>
      </c>
      <c r="C90" s="1">
        <v>3</v>
      </c>
      <c r="D90">
        <v>95</v>
      </c>
      <c r="E90">
        <v>23.03157894736842</v>
      </c>
      <c r="F90">
        <v>528</v>
      </c>
      <c r="G90">
        <v>12070.5</v>
      </c>
    </row>
    <row r="91" spans="1:7" x14ac:dyDescent="0.35">
      <c r="A91" s="1" t="s">
        <v>18</v>
      </c>
      <c r="B91" s="1">
        <v>2023</v>
      </c>
      <c r="C91" s="1">
        <v>4</v>
      </c>
      <c r="D91">
        <v>104</v>
      </c>
      <c r="E91">
        <v>22.84134615384615</v>
      </c>
      <c r="F91">
        <v>532</v>
      </c>
      <c r="G91">
        <v>12291.5</v>
      </c>
    </row>
    <row r="92" spans="1:7" x14ac:dyDescent="0.35">
      <c r="A92" s="1" t="s">
        <v>18</v>
      </c>
      <c r="B92" s="1">
        <v>2023</v>
      </c>
      <c r="C92" s="1">
        <v>5</v>
      </c>
      <c r="D92">
        <v>106</v>
      </c>
      <c r="E92">
        <v>23.254716981132081</v>
      </c>
      <c r="F92">
        <v>562</v>
      </c>
      <c r="G92">
        <v>12789.5</v>
      </c>
    </row>
    <row r="93" spans="1:7" x14ac:dyDescent="0.35">
      <c r="A93" s="1" t="s">
        <v>18</v>
      </c>
      <c r="B93" s="1">
        <v>2023</v>
      </c>
      <c r="C93" s="1">
        <v>6</v>
      </c>
      <c r="D93">
        <v>113</v>
      </c>
      <c r="E93">
        <v>22.588495575221241</v>
      </c>
      <c r="F93">
        <v>606</v>
      </c>
      <c r="G93">
        <v>13674</v>
      </c>
    </row>
    <row r="94" spans="1:7" x14ac:dyDescent="0.35">
      <c r="A94" s="1" t="s">
        <v>18</v>
      </c>
      <c r="B94" s="1">
        <v>2023</v>
      </c>
      <c r="C94" s="1">
        <v>7</v>
      </c>
      <c r="D94">
        <v>122</v>
      </c>
      <c r="E94">
        <v>24.942622950819668</v>
      </c>
      <c r="F94">
        <v>663</v>
      </c>
      <c r="G94">
        <v>16524</v>
      </c>
    </row>
    <row r="95" spans="1:7" x14ac:dyDescent="0.35">
      <c r="A95" s="1" t="s">
        <v>18</v>
      </c>
      <c r="B95" s="1">
        <v>2023</v>
      </c>
      <c r="C95" s="1">
        <v>8</v>
      </c>
      <c r="D95">
        <v>95</v>
      </c>
      <c r="E95">
        <v>23.48947368421053</v>
      </c>
      <c r="F95">
        <v>505</v>
      </c>
      <c r="G95">
        <v>12072.5</v>
      </c>
    </row>
    <row r="96" spans="1:7" x14ac:dyDescent="0.35">
      <c r="A96" s="1" t="s">
        <v>18</v>
      </c>
      <c r="B96" s="1">
        <v>2023</v>
      </c>
      <c r="C96" s="1">
        <v>9</v>
      </c>
      <c r="D96">
        <v>95</v>
      </c>
      <c r="E96">
        <v>23.36315789473684</v>
      </c>
      <c r="F96">
        <v>520</v>
      </c>
      <c r="G96">
        <v>12267.5</v>
      </c>
    </row>
    <row r="97" spans="1:7" x14ac:dyDescent="0.35">
      <c r="A97" s="1" t="s">
        <v>18</v>
      </c>
      <c r="B97" s="1">
        <v>2023</v>
      </c>
      <c r="C97" s="1">
        <v>10</v>
      </c>
      <c r="D97">
        <v>104</v>
      </c>
      <c r="E97">
        <v>22.10576923076923</v>
      </c>
      <c r="F97">
        <v>548</v>
      </c>
      <c r="G97">
        <v>11980</v>
      </c>
    </row>
    <row r="98" spans="1:7" x14ac:dyDescent="0.35">
      <c r="A98" s="1" t="s">
        <v>18</v>
      </c>
      <c r="B98" s="1">
        <v>2023</v>
      </c>
      <c r="C98" s="1">
        <v>11</v>
      </c>
      <c r="D98">
        <v>85</v>
      </c>
      <c r="E98">
        <v>21.482352941176469</v>
      </c>
      <c r="F98">
        <v>482</v>
      </c>
      <c r="G98">
        <v>10268.5</v>
      </c>
    </row>
    <row r="99" spans="1:7" x14ac:dyDescent="0.35">
      <c r="A99" s="1" t="s">
        <v>18</v>
      </c>
      <c r="B99" s="1">
        <v>2023</v>
      </c>
      <c r="C99" s="1">
        <v>12</v>
      </c>
      <c r="D99">
        <v>119</v>
      </c>
      <c r="E99">
        <v>24.991596638655459</v>
      </c>
      <c r="F99">
        <v>695</v>
      </c>
      <c r="G99">
        <v>17197</v>
      </c>
    </row>
    <row r="100" spans="1:7" x14ac:dyDescent="0.35">
      <c r="A100" s="1" t="s">
        <v>18</v>
      </c>
      <c r="B100" s="1">
        <v>2024</v>
      </c>
      <c r="C100" s="1">
        <v>1</v>
      </c>
      <c r="D100">
        <v>119</v>
      </c>
      <c r="E100">
        <v>23.45378151260504</v>
      </c>
      <c r="F100">
        <v>688</v>
      </c>
      <c r="G100">
        <v>15515</v>
      </c>
    </row>
    <row r="101" spans="1:7" x14ac:dyDescent="0.35">
      <c r="A101" s="1" t="s">
        <v>18</v>
      </c>
      <c r="B101" s="1">
        <v>2024</v>
      </c>
      <c r="C101" s="1">
        <v>2</v>
      </c>
      <c r="D101">
        <v>89</v>
      </c>
      <c r="E101">
        <v>22.54494382022472</v>
      </c>
      <c r="F101">
        <v>543</v>
      </c>
      <c r="G101">
        <v>12337.5</v>
      </c>
    </row>
    <row r="102" spans="1:7" x14ac:dyDescent="0.35">
      <c r="A102" s="1" t="s">
        <v>18</v>
      </c>
      <c r="B102" s="1">
        <v>2024</v>
      </c>
      <c r="C102" s="1">
        <v>3</v>
      </c>
      <c r="D102">
        <v>118</v>
      </c>
      <c r="E102">
        <v>22.898305084745761</v>
      </c>
      <c r="F102">
        <v>619</v>
      </c>
      <c r="G102">
        <v>13992.5</v>
      </c>
    </row>
    <row r="103" spans="1:7" x14ac:dyDescent="0.35">
      <c r="A103" s="1" t="s">
        <v>18</v>
      </c>
      <c r="B103" s="1">
        <v>2024</v>
      </c>
      <c r="C103" s="1">
        <v>4</v>
      </c>
      <c r="D103">
        <v>101</v>
      </c>
      <c r="E103">
        <v>23.60891089108911</v>
      </c>
      <c r="F103">
        <v>595</v>
      </c>
      <c r="G103">
        <v>14354</v>
      </c>
    </row>
    <row r="104" spans="1:7" x14ac:dyDescent="0.35">
      <c r="A104" s="1" t="s">
        <v>18</v>
      </c>
      <c r="B104" s="1">
        <v>2024</v>
      </c>
      <c r="C104" s="1">
        <v>5</v>
      </c>
      <c r="D104">
        <v>120</v>
      </c>
      <c r="E104">
        <v>24.387499999999999</v>
      </c>
      <c r="F104">
        <v>626</v>
      </c>
      <c r="G104">
        <v>14896</v>
      </c>
    </row>
    <row r="105" spans="1:7" x14ac:dyDescent="0.35">
      <c r="A105" s="1" t="s">
        <v>18</v>
      </c>
      <c r="B105" s="1">
        <v>2024</v>
      </c>
      <c r="C105" s="1">
        <v>6</v>
      </c>
      <c r="D105">
        <v>110</v>
      </c>
      <c r="E105">
        <v>24.22727272727273</v>
      </c>
      <c r="F105">
        <v>618</v>
      </c>
      <c r="G105">
        <v>15351</v>
      </c>
    </row>
    <row r="106" spans="1:7" x14ac:dyDescent="0.35">
      <c r="A106" s="1" t="s">
        <v>18</v>
      </c>
      <c r="B106" s="1">
        <v>2024</v>
      </c>
      <c r="C106" s="1">
        <v>7</v>
      </c>
      <c r="D106">
        <v>116</v>
      </c>
      <c r="E106">
        <v>21.293103448275861</v>
      </c>
      <c r="F106">
        <v>627</v>
      </c>
      <c r="G106">
        <v>13393.5</v>
      </c>
    </row>
    <row r="107" spans="1:7" x14ac:dyDescent="0.35">
      <c r="A107" s="1" t="s">
        <v>18</v>
      </c>
      <c r="B107" s="1">
        <v>2024</v>
      </c>
      <c r="C107" s="1">
        <v>8</v>
      </c>
      <c r="D107">
        <v>114</v>
      </c>
      <c r="E107">
        <v>23.118421052631579</v>
      </c>
      <c r="F107">
        <v>566</v>
      </c>
      <c r="G107">
        <v>13093</v>
      </c>
    </row>
    <row r="108" spans="1:7" x14ac:dyDescent="0.35">
      <c r="A108" s="1" t="s">
        <v>18</v>
      </c>
      <c r="B108" s="1">
        <v>2024</v>
      </c>
      <c r="C108" s="1">
        <v>9</v>
      </c>
      <c r="D108">
        <v>105</v>
      </c>
      <c r="E108">
        <v>25</v>
      </c>
      <c r="F108">
        <v>522</v>
      </c>
      <c r="G108">
        <v>13110</v>
      </c>
    </row>
    <row r="109" spans="1:7" x14ac:dyDescent="0.35">
      <c r="A109" s="1" t="s">
        <v>18</v>
      </c>
      <c r="B109" s="1">
        <v>2024</v>
      </c>
      <c r="C109" s="1">
        <v>10</v>
      </c>
      <c r="D109">
        <v>99</v>
      </c>
      <c r="E109">
        <v>25.31818181818182</v>
      </c>
      <c r="F109">
        <v>581</v>
      </c>
      <c r="G109">
        <v>14713</v>
      </c>
    </row>
    <row r="110" spans="1:7" x14ac:dyDescent="0.35">
      <c r="A110" s="1" t="s">
        <v>18</v>
      </c>
      <c r="B110" s="1">
        <v>2024</v>
      </c>
      <c r="C110" s="1">
        <v>11</v>
      </c>
      <c r="D110">
        <v>115</v>
      </c>
      <c r="E110">
        <v>24.486956521739131</v>
      </c>
      <c r="F110">
        <v>638</v>
      </c>
      <c r="G110">
        <v>15472</v>
      </c>
    </row>
    <row r="111" spans="1:7" x14ac:dyDescent="0.35">
      <c r="A111" s="1" t="s">
        <v>18</v>
      </c>
      <c r="B111" s="1">
        <v>2024</v>
      </c>
      <c r="C111" s="1">
        <v>12</v>
      </c>
      <c r="D111">
        <v>116</v>
      </c>
      <c r="E111">
        <v>21.383620689655171</v>
      </c>
      <c r="F111">
        <v>727</v>
      </c>
      <c r="G111">
        <v>16112</v>
      </c>
    </row>
    <row r="112" spans="1:7" x14ac:dyDescent="0.35">
      <c r="A112" s="1" t="s">
        <v>18</v>
      </c>
      <c r="B112" s="1">
        <v>2025</v>
      </c>
      <c r="C112" s="1">
        <v>1</v>
      </c>
      <c r="D112">
        <v>76</v>
      </c>
      <c r="E112">
        <v>23.809210526315791</v>
      </c>
      <c r="F112">
        <v>409</v>
      </c>
      <c r="G112">
        <v>9611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5"/>
  <sheetViews>
    <sheetView workbookViewId="0">
      <selection activeCell="C7" sqref="C7"/>
    </sheetView>
  </sheetViews>
  <sheetFormatPr defaultRowHeight="14.5" x14ac:dyDescent="0.35"/>
  <sheetData>
    <row r="1" spans="1:7" x14ac:dyDescent="0.35">
      <c r="A1" s="1" t="s">
        <v>19</v>
      </c>
      <c r="B1" s="1" t="s">
        <v>1</v>
      </c>
      <c r="C1" s="1" t="s">
        <v>2</v>
      </c>
      <c r="D1" s="1" t="s">
        <v>3</v>
      </c>
      <c r="E1" s="1" t="s">
        <v>4</v>
      </c>
      <c r="F1" s="1" t="s">
        <v>5</v>
      </c>
      <c r="G1" s="1" t="s">
        <v>6</v>
      </c>
    </row>
    <row r="2" spans="1:7" x14ac:dyDescent="0.35">
      <c r="A2" s="1" t="s">
        <v>20</v>
      </c>
      <c r="B2" s="1">
        <v>2022</v>
      </c>
      <c r="C2" s="1">
        <v>1</v>
      </c>
      <c r="D2">
        <v>178</v>
      </c>
      <c r="E2">
        <v>24.963483146067411</v>
      </c>
      <c r="F2">
        <v>1016</v>
      </c>
      <c r="G2">
        <v>25294</v>
      </c>
    </row>
    <row r="3" spans="1:7" x14ac:dyDescent="0.35">
      <c r="A3" s="1" t="s">
        <v>20</v>
      </c>
      <c r="B3" s="1">
        <v>2022</v>
      </c>
      <c r="C3" s="1">
        <v>2</v>
      </c>
      <c r="D3">
        <v>152</v>
      </c>
      <c r="E3">
        <v>24.026315789473681</v>
      </c>
      <c r="F3">
        <v>871</v>
      </c>
      <c r="G3">
        <v>21581</v>
      </c>
    </row>
    <row r="4" spans="1:7" x14ac:dyDescent="0.35">
      <c r="A4" s="1" t="s">
        <v>20</v>
      </c>
      <c r="B4" s="1">
        <v>2022</v>
      </c>
      <c r="C4" s="1">
        <v>3</v>
      </c>
      <c r="D4">
        <v>161</v>
      </c>
      <c r="E4">
        <v>23.493788819875771</v>
      </c>
      <c r="F4">
        <v>887</v>
      </c>
      <c r="G4">
        <v>20998</v>
      </c>
    </row>
    <row r="5" spans="1:7" x14ac:dyDescent="0.35">
      <c r="A5" s="1" t="s">
        <v>20</v>
      </c>
      <c r="B5" s="1">
        <v>2022</v>
      </c>
      <c r="C5" s="1">
        <v>4</v>
      </c>
      <c r="D5">
        <v>166</v>
      </c>
      <c r="E5">
        <v>21.743975903614459</v>
      </c>
      <c r="F5">
        <v>861</v>
      </c>
      <c r="G5">
        <v>18703.5</v>
      </c>
    </row>
    <row r="6" spans="1:7" x14ac:dyDescent="0.35">
      <c r="A6" s="1" t="s">
        <v>20</v>
      </c>
      <c r="B6" s="1">
        <v>2022</v>
      </c>
      <c r="C6" s="1">
        <v>5</v>
      </c>
      <c r="D6">
        <v>138</v>
      </c>
      <c r="E6">
        <v>23.695652173913039</v>
      </c>
      <c r="F6">
        <v>741</v>
      </c>
      <c r="G6">
        <v>17683.5</v>
      </c>
    </row>
    <row r="7" spans="1:7" x14ac:dyDescent="0.35">
      <c r="A7" s="1" t="s">
        <v>20</v>
      </c>
      <c r="B7" s="1">
        <v>2022</v>
      </c>
      <c r="C7" s="1">
        <v>6</v>
      </c>
      <c r="D7">
        <v>147</v>
      </c>
      <c r="E7">
        <v>22.18367346938776</v>
      </c>
      <c r="F7">
        <v>850</v>
      </c>
      <c r="G7">
        <v>19199</v>
      </c>
    </row>
    <row r="8" spans="1:7" x14ac:dyDescent="0.35">
      <c r="A8" s="1" t="s">
        <v>20</v>
      </c>
      <c r="B8" s="1">
        <v>2022</v>
      </c>
      <c r="C8" s="1">
        <v>7</v>
      </c>
      <c r="D8">
        <v>160</v>
      </c>
      <c r="E8">
        <v>24.190625000000001</v>
      </c>
      <c r="F8">
        <v>874</v>
      </c>
      <c r="G8">
        <v>21404</v>
      </c>
    </row>
    <row r="9" spans="1:7" x14ac:dyDescent="0.35">
      <c r="A9" s="1" t="s">
        <v>20</v>
      </c>
      <c r="B9" s="1">
        <v>2022</v>
      </c>
      <c r="C9" s="1">
        <v>8</v>
      </c>
      <c r="D9">
        <v>162</v>
      </c>
      <c r="E9">
        <v>20.75</v>
      </c>
      <c r="F9">
        <v>908</v>
      </c>
      <c r="G9">
        <v>18932.5</v>
      </c>
    </row>
    <row r="10" spans="1:7" x14ac:dyDescent="0.35">
      <c r="A10" s="1" t="s">
        <v>20</v>
      </c>
      <c r="B10" s="1">
        <v>2022</v>
      </c>
      <c r="C10" s="1">
        <v>9</v>
      </c>
      <c r="D10">
        <v>155</v>
      </c>
      <c r="E10">
        <v>23.125806451612899</v>
      </c>
      <c r="F10">
        <v>823</v>
      </c>
      <c r="G10">
        <v>19029.5</v>
      </c>
    </row>
    <row r="11" spans="1:7" x14ac:dyDescent="0.35">
      <c r="A11" s="1" t="s">
        <v>20</v>
      </c>
      <c r="B11" s="1">
        <v>2022</v>
      </c>
      <c r="C11" s="1">
        <v>10</v>
      </c>
      <c r="D11">
        <v>158</v>
      </c>
      <c r="E11">
        <v>22.829113924050631</v>
      </c>
      <c r="F11">
        <v>858</v>
      </c>
      <c r="G11">
        <v>19296</v>
      </c>
    </row>
    <row r="12" spans="1:7" x14ac:dyDescent="0.35">
      <c r="A12" s="1" t="s">
        <v>20</v>
      </c>
      <c r="B12" s="1">
        <v>2022</v>
      </c>
      <c r="C12" s="1">
        <v>11</v>
      </c>
      <c r="D12">
        <v>172</v>
      </c>
      <c r="E12">
        <v>22.345930232558139</v>
      </c>
      <c r="F12">
        <v>920</v>
      </c>
      <c r="G12">
        <v>20576.5</v>
      </c>
    </row>
    <row r="13" spans="1:7" x14ac:dyDescent="0.35">
      <c r="A13" s="1" t="s">
        <v>20</v>
      </c>
      <c r="B13" s="1">
        <v>2022</v>
      </c>
      <c r="C13" s="1">
        <v>12</v>
      </c>
      <c r="D13">
        <v>148</v>
      </c>
      <c r="E13">
        <v>22.20945945945946</v>
      </c>
      <c r="F13">
        <v>828</v>
      </c>
      <c r="G13">
        <v>18717</v>
      </c>
    </row>
    <row r="14" spans="1:7" x14ac:dyDescent="0.35">
      <c r="A14" s="1" t="s">
        <v>20</v>
      </c>
      <c r="B14" s="1">
        <v>2023</v>
      </c>
      <c r="C14" s="1">
        <v>1</v>
      </c>
      <c r="D14">
        <v>198</v>
      </c>
      <c r="E14">
        <v>24.106060606060609</v>
      </c>
      <c r="F14">
        <v>1170</v>
      </c>
      <c r="G14">
        <v>27994.5</v>
      </c>
    </row>
    <row r="15" spans="1:7" x14ac:dyDescent="0.35">
      <c r="A15" s="1" t="s">
        <v>20</v>
      </c>
      <c r="B15" s="1">
        <v>2023</v>
      </c>
      <c r="C15" s="1">
        <v>2</v>
      </c>
      <c r="D15">
        <v>135</v>
      </c>
      <c r="E15">
        <v>23.344444444444441</v>
      </c>
      <c r="F15">
        <v>765</v>
      </c>
      <c r="G15">
        <v>18202.5</v>
      </c>
    </row>
    <row r="16" spans="1:7" x14ac:dyDescent="0.35">
      <c r="A16" s="1" t="s">
        <v>20</v>
      </c>
      <c r="B16" s="1">
        <v>2023</v>
      </c>
      <c r="C16" s="1">
        <v>3</v>
      </c>
      <c r="D16">
        <v>158</v>
      </c>
      <c r="E16">
        <v>24.319620253164562</v>
      </c>
      <c r="F16">
        <v>919</v>
      </c>
      <c r="G16">
        <v>22439</v>
      </c>
    </row>
    <row r="17" spans="1:7" x14ac:dyDescent="0.35">
      <c r="A17" s="1" t="s">
        <v>20</v>
      </c>
      <c r="B17" s="1">
        <v>2023</v>
      </c>
      <c r="C17" s="1">
        <v>4</v>
      </c>
      <c r="D17">
        <v>159</v>
      </c>
      <c r="E17">
        <v>23.433962264150939</v>
      </c>
      <c r="F17">
        <v>860</v>
      </c>
      <c r="G17">
        <v>19990</v>
      </c>
    </row>
    <row r="18" spans="1:7" x14ac:dyDescent="0.35">
      <c r="A18" s="1" t="s">
        <v>20</v>
      </c>
      <c r="B18" s="1">
        <v>2023</v>
      </c>
      <c r="C18" s="1">
        <v>5</v>
      </c>
      <c r="D18">
        <v>154</v>
      </c>
      <c r="E18">
        <v>21.373376623376618</v>
      </c>
      <c r="F18">
        <v>871</v>
      </c>
      <c r="G18">
        <v>18545</v>
      </c>
    </row>
    <row r="19" spans="1:7" x14ac:dyDescent="0.35">
      <c r="A19" s="1" t="s">
        <v>20</v>
      </c>
      <c r="B19" s="1">
        <v>2023</v>
      </c>
      <c r="C19" s="1">
        <v>6</v>
      </c>
      <c r="D19">
        <v>171</v>
      </c>
      <c r="E19">
        <v>22.263157894736839</v>
      </c>
      <c r="F19">
        <v>949</v>
      </c>
      <c r="G19">
        <v>21035</v>
      </c>
    </row>
    <row r="20" spans="1:7" x14ac:dyDescent="0.35">
      <c r="A20" s="1" t="s">
        <v>20</v>
      </c>
      <c r="B20" s="1">
        <v>2023</v>
      </c>
      <c r="C20" s="1">
        <v>7</v>
      </c>
      <c r="D20">
        <v>176</v>
      </c>
      <c r="E20">
        <v>22.94034090909091</v>
      </c>
      <c r="F20">
        <v>961</v>
      </c>
      <c r="G20">
        <v>21702.5</v>
      </c>
    </row>
    <row r="21" spans="1:7" x14ac:dyDescent="0.35">
      <c r="A21" s="1" t="s">
        <v>20</v>
      </c>
      <c r="B21" s="1">
        <v>2023</v>
      </c>
      <c r="C21" s="1">
        <v>8</v>
      </c>
      <c r="D21">
        <v>145</v>
      </c>
      <c r="E21">
        <v>24.086206896551719</v>
      </c>
      <c r="F21">
        <v>779</v>
      </c>
      <c r="G21">
        <v>18983.5</v>
      </c>
    </row>
    <row r="22" spans="1:7" x14ac:dyDescent="0.35">
      <c r="A22" s="1" t="s">
        <v>20</v>
      </c>
      <c r="B22" s="1">
        <v>2023</v>
      </c>
      <c r="C22" s="1">
        <v>9</v>
      </c>
      <c r="D22">
        <v>146</v>
      </c>
      <c r="E22">
        <v>23.041095890410961</v>
      </c>
      <c r="F22">
        <v>810</v>
      </c>
      <c r="G22">
        <v>18669</v>
      </c>
    </row>
    <row r="23" spans="1:7" x14ac:dyDescent="0.35">
      <c r="A23" s="1" t="s">
        <v>20</v>
      </c>
      <c r="B23" s="1">
        <v>2023</v>
      </c>
      <c r="C23" s="1">
        <v>10</v>
      </c>
      <c r="D23">
        <v>148</v>
      </c>
      <c r="E23">
        <v>22.98986486486486</v>
      </c>
      <c r="F23">
        <v>841</v>
      </c>
      <c r="G23">
        <v>19256</v>
      </c>
    </row>
    <row r="24" spans="1:7" x14ac:dyDescent="0.35">
      <c r="A24" s="1" t="s">
        <v>20</v>
      </c>
      <c r="B24" s="1">
        <v>2023</v>
      </c>
      <c r="C24" s="1">
        <v>11</v>
      </c>
      <c r="D24">
        <v>141</v>
      </c>
      <c r="E24">
        <v>24.340425531914889</v>
      </c>
      <c r="F24">
        <v>776</v>
      </c>
      <c r="G24">
        <v>19030</v>
      </c>
    </row>
    <row r="25" spans="1:7" x14ac:dyDescent="0.35">
      <c r="A25" s="1" t="s">
        <v>20</v>
      </c>
      <c r="B25" s="1">
        <v>2023</v>
      </c>
      <c r="C25" s="1">
        <v>12</v>
      </c>
      <c r="D25">
        <v>163</v>
      </c>
      <c r="E25">
        <v>24.361963190184049</v>
      </c>
      <c r="F25">
        <v>838</v>
      </c>
      <c r="G25">
        <v>20355.5</v>
      </c>
    </row>
    <row r="26" spans="1:7" x14ac:dyDescent="0.35">
      <c r="A26" s="1" t="s">
        <v>20</v>
      </c>
      <c r="B26" s="1">
        <v>2024</v>
      </c>
      <c r="C26" s="1">
        <v>1</v>
      </c>
      <c r="D26">
        <v>208</v>
      </c>
      <c r="E26">
        <v>23.47596153846154</v>
      </c>
      <c r="F26">
        <v>1153</v>
      </c>
      <c r="G26">
        <v>26823.5</v>
      </c>
    </row>
    <row r="27" spans="1:7" x14ac:dyDescent="0.35">
      <c r="A27" s="1" t="s">
        <v>20</v>
      </c>
      <c r="B27" s="1">
        <v>2024</v>
      </c>
      <c r="C27" s="1">
        <v>2</v>
      </c>
      <c r="D27">
        <v>157</v>
      </c>
      <c r="E27">
        <v>22.226114649681531</v>
      </c>
      <c r="F27">
        <v>837</v>
      </c>
      <c r="G27">
        <v>19066.5</v>
      </c>
    </row>
    <row r="28" spans="1:7" x14ac:dyDescent="0.35">
      <c r="A28" s="1" t="s">
        <v>20</v>
      </c>
      <c r="B28" s="1">
        <v>2024</v>
      </c>
      <c r="C28" s="1">
        <v>3</v>
      </c>
      <c r="D28">
        <v>159</v>
      </c>
      <c r="E28">
        <v>23.933962264150939</v>
      </c>
      <c r="F28">
        <v>865</v>
      </c>
      <c r="G28">
        <v>20343.5</v>
      </c>
    </row>
    <row r="29" spans="1:7" x14ac:dyDescent="0.35">
      <c r="A29" s="1" t="s">
        <v>20</v>
      </c>
      <c r="B29" s="1">
        <v>2024</v>
      </c>
      <c r="C29" s="1">
        <v>4</v>
      </c>
      <c r="D29">
        <v>146</v>
      </c>
      <c r="E29">
        <v>23.585616438356169</v>
      </c>
      <c r="F29">
        <v>822</v>
      </c>
      <c r="G29">
        <v>19786.5</v>
      </c>
    </row>
    <row r="30" spans="1:7" x14ac:dyDescent="0.35">
      <c r="A30" s="1" t="s">
        <v>20</v>
      </c>
      <c r="B30" s="1">
        <v>2024</v>
      </c>
      <c r="C30" s="1">
        <v>5</v>
      </c>
      <c r="D30">
        <v>185</v>
      </c>
      <c r="E30">
        <v>23.640540540540542</v>
      </c>
      <c r="F30">
        <v>1037</v>
      </c>
      <c r="G30">
        <v>24368.5</v>
      </c>
    </row>
    <row r="31" spans="1:7" x14ac:dyDescent="0.35">
      <c r="A31" s="1" t="s">
        <v>20</v>
      </c>
      <c r="B31" s="1">
        <v>2024</v>
      </c>
      <c r="C31" s="1">
        <v>6</v>
      </c>
      <c r="D31">
        <v>164</v>
      </c>
      <c r="E31">
        <v>23.17378048780488</v>
      </c>
      <c r="F31">
        <v>926</v>
      </c>
      <c r="G31">
        <v>21487</v>
      </c>
    </row>
    <row r="32" spans="1:7" x14ac:dyDescent="0.35">
      <c r="A32" s="1" t="s">
        <v>20</v>
      </c>
      <c r="B32" s="1">
        <v>2024</v>
      </c>
      <c r="C32" s="1">
        <v>7</v>
      </c>
      <c r="D32">
        <v>170</v>
      </c>
      <c r="E32">
        <v>23.06176470588235</v>
      </c>
      <c r="F32">
        <v>934</v>
      </c>
      <c r="G32">
        <v>21188</v>
      </c>
    </row>
    <row r="33" spans="1:7" x14ac:dyDescent="0.35">
      <c r="A33" s="1" t="s">
        <v>20</v>
      </c>
      <c r="B33" s="1">
        <v>2024</v>
      </c>
      <c r="C33" s="1">
        <v>8</v>
      </c>
      <c r="D33">
        <v>161</v>
      </c>
      <c r="E33">
        <v>22.94409937888199</v>
      </c>
      <c r="F33">
        <v>858</v>
      </c>
      <c r="G33">
        <v>19860</v>
      </c>
    </row>
    <row r="34" spans="1:7" x14ac:dyDescent="0.35">
      <c r="A34" s="1" t="s">
        <v>20</v>
      </c>
      <c r="B34" s="1">
        <v>2024</v>
      </c>
      <c r="C34" s="1">
        <v>9</v>
      </c>
      <c r="D34">
        <v>158</v>
      </c>
      <c r="E34">
        <v>23.97784810126582</v>
      </c>
      <c r="F34">
        <v>849</v>
      </c>
      <c r="G34">
        <v>20088</v>
      </c>
    </row>
    <row r="35" spans="1:7" x14ac:dyDescent="0.35">
      <c r="A35" s="1" t="s">
        <v>20</v>
      </c>
      <c r="B35" s="1">
        <v>2024</v>
      </c>
      <c r="C35" s="1">
        <v>10</v>
      </c>
      <c r="D35">
        <v>174</v>
      </c>
      <c r="E35">
        <v>23.508620689655171</v>
      </c>
      <c r="F35">
        <v>928</v>
      </c>
      <c r="G35">
        <v>22014.5</v>
      </c>
    </row>
    <row r="36" spans="1:7" x14ac:dyDescent="0.35">
      <c r="A36" s="1" t="s">
        <v>20</v>
      </c>
      <c r="B36" s="1">
        <v>2024</v>
      </c>
      <c r="C36" s="1">
        <v>11</v>
      </c>
      <c r="D36">
        <v>138</v>
      </c>
      <c r="E36">
        <v>24.010869565217391</v>
      </c>
      <c r="F36">
        <v>740</v>
      </c>
      <c r="G36">
        <v>18478</v>
      </c>
    </row>
    <row r="37" spans="1:7" x14ac:dyDescent="0.35">
      <c r="A37" s="1" t="s">
        <v>20</v>
      </c>
      <c r="B37" s="1">
        <v>2024</v>
      </c>
      <c r="C37" s="1">
        <v>12</v>
      </c>
      <c r="D37">
        <v>182</v>
      </c>
      <c r="E37">
        <v>24.15384615384615</v>
      </c>
      <c r="F37">
        <v>1057</v>
      </c>
      <c r="G37">
        <v>26130.5</v>
      </c>
    </row>
    <row r="38" spans="1:7" x14ac:dyDescent="0.35">
      <c r="A38" s="1" t="s">
        <v>20</v>
      </c>
      <c r="B38" s="1">
        <v>2025</v>
      </c>
      <c r="C38" s="1">
        <v>1</v>
      </c>
      <c r="D38">
        <v>110</v>
      </c>
      <c r="E38">
        <v>24.02272727272727</v>
      </c>
      <c r="F38">
        <v>563</v>
      </c>
      <c r="G38">
        <v>13418.5</v>
      </c>
    </row>
    <row r="39" spans="1:7" x14ac:dyDescent="0.35">
      <c r="A39" s="1" t="s">
        <v>21</v>
      </c>
      <c r="B39" s="1">
        <v>2022</v>
      </c>
      <c r="C39" s="1">
        <v>1</v>
      </c>
      <c r="D39">
        <v>190</v>
      </c>
      <c r="E39">
        <v>24.33421052631579</v>
      </c>
      <c r="F39">
        <v>1142</v>
      </c>
      <c r="G39">
        <v>27617.5</v>
      </c>
    </row>
    <row r="40" spans="1:7" x14ac:dyDescent="0.35">
      <c r="A40" s="1" t="s">
        <v>21</v>
      </c>
      <c r="B40" s="1">
        <v>2022</v>
      </c>
      <c r="C40" s="1">
        <v>2</v>
      </c>
      <c r="D40">
        <v>161</v>
      </c>
      <c r="E40">
        <v>22.841614906832302</v>
      </c>
      <c r="F40">
        <v>946</v>
      </c>
      <c r="G40">
        <v>21744.5</v>
      </c>
    </row>
    <row r="41" spans="1:7" x14ac:dyDescent="0.35">
      <c r="A41" s="1" t="s">
        <v>21</v>
      </c>
      <c r="B41" s="1">
        <v>2022</v>
      </c>
      <c r="C41" s="1">
        <v>3</v>
      </c>
      <c r="D41">
        <v>178</v>
      </c>
      <c r="E41">
        <v>21.82022471910112</v>
      </c>
      <c r="F41">
        <v>921</v>
      </c>
      <c r="G41">
        <v>19998</v>
      </c>
    </row>
    <row r="42" spans="1:7" x14ac:dyDescent="0.35">
      <c r="A42" s="1" t="s">
        <v>21</v>
      </c>
      <c r="B42" s="1">
        <v>2022</v>
      </c>
      <c r="C42" s="1">
        <v>4</v>
      </c>
      <c r="D42">
        <v>168</v>
      </c>
      <c r="E42">
        <v>22.767857142857139</v>
      </c>
      <c r="F42">
        <v>946</v>
      </c>
      <c r="G42">
        <v>21738.5</v>
      </c>
    </row>
    <row r="43" spans="1:7" x14ac:dyDescent="0.35">
      <c r="A43" s="1" t="s">
        <v>21</v>
      </c>
      <c r="B43" s="1">
        <v>2022</v>
      </c>
      <c r="C43" s="1">
        <v>5</v>
      </c>
      <c r="D43">
        <v>177</v>
      </c>
      <c r="E43">
        <v>23.127118644067799</v>
      </c>
      <c r="F43">
        <v>985</v>
      </c>
      <c r="G43">
        <v>22664</v>
      </c>
    </row>
    <row r="44" spans="1:7" x14ac:dyDescent="0.35">
      <c r="A44" s="1" t="s">
        <v>21</v>
      </c>
      <c r="B44" s="1">
        <v>2022</v>
      </c>
      <c r="C44" s="1">
        <v>6</v>
      </c>
      <c r="D44">
        <v>174</v>
      </c>
      <c r="E44">
        <v>24.456896551724139</v>
      </c>
      <c r="F44">
        <v>968</v>
      </c>
      <c r="G44">
        <v>23377</v>
      </c>
    </row>
    <row r="45" spans="1:7" x14ac:dyDescent="0.35">
      <c r="A45" s="1" t="s">
        <v>21</v>
      </c>
      <c r="B45" s="1">
        <v>2022</v>
      </c>
      <c r="C45" s="1">
        <v>7</v>
      </c>
      <c r="D45">
        <v>189</v>
      </c>
      <c r="E45">
        <v>22.19047619047619</v>
      </c>
      <c r="F45">
        <v>1039</v>
      </c>
      <c r="G45">
        <v>23067.5</v>
      </c>
    </row>
    <row r="46" spans="1:7" x14ac:dyDescent="0.35">
      <c r="A46" s="1" t="s">
        <v>21</v>
      </c>
      <c r="B46" s="1">
        <v>2022</v>
      </c>
      <c r="C46" s="1">
        <v>8</v>
      </c>
      <c r="D46">
        <v>169</v>
      </c>
      <c r="E46">
        <v>23.390532544378701</v>
      </c>
      <c r="F46">
        <v>942</v>
      </c>
      <c r="G46">
        <v>22401</v>
      </c>
    </row>
    <row r="47" spans="1:7" x14ac:dyDescent="0.35">
      <c r="A47" s="1" t="s">
        <v>21</v>
      </c>
      <c r="B47" s="1">
        <v>2022</v>
      </c>
      <c r="C47" s="1">
        <v>9</v>
      </c>
      <c r="D47">
        <v>182</v>
      </c>
      <c r="E47">
        <v>25.07692307692308</v>
      </c>
      <c r="F47">
        <v>1059</v>
      </c>
      <c r="G47">
        <v>27084</v>
      </c>
    </row>
    <row r="48" spans="1:7" x14ac:dyDescent="0.35">
      <c r="A48" s="1" t="s">
        <v>21</v>
      </c>
      <c r="B48" s="1">
        <v>2022</v>
      </c>
      <c r="C48" s="1">
        <v>10</v>
      </c>
      <c r="D48">
        <v>145</v>
      </c>
      <c r="E48">
        <v>22.751724137931031</v>
      </c>
      <c r="F48">
        <v>849</v>
      </c>
      <c r="G48">
        <v>19059</v>
      </c>
    </row>
    <row r="49" spans="1:7" x14ac:dyDescent="0.35">
      <c r="A49" s="1" t="s">
        <v>21</v>
      </c>
      <c r="B49" s="1">
        <v>2022</v>
      </c>
      <c r="C49" s="1">
        <v>11</v>
      </c>
      <c r="D49">
        <v>156</v>
      </c>
      <c r="E49">
        <v>23.58653846153846</v>
      </c>
      <c r="F49">
        <v>851</v>
      </c>
      <c r="G49">
        <v>20680</v>
      </c>
    </row>
    <row r="50" spans="1:7" x14ac:dyDescent="0.35">
      <c r="A50" s="1" t="s">
        <v>21</v>
      </c>
      <c r="B50" s="1">
        <v>2022</v>
      </c>
      <c r="C50" s="1">
        <v>12</v>
      </c>
      <c r="D50">
        <v>139</v>
      </c>
      <c r="E50">
        <v>23.82014388489209</v>
      </c>
      <c r="F50">
        <v>811</v>
      </c>
      <c r="G50">
        <v>19484</v>
      </c>
    </row>
    <row r="51" spans="1:7" x14ac:dyDescent="0.35">
      <c r="A51" s="1" t="s">
        <v>21</v>
      </c>
      <c r="B51" s="1">
        <v>2023</v>
      </c>
      <c r="C51" s="1">
        <v>1</v>
      </c>
      <c r="D51">
        <v>164</v>
      </c>
      <c r="E51">
        <v>21.801829268292678</v>
      </c>
      <c r="F51">
        <v>930</v>
      </c>
      <c r="G51">
        <v>20058</v>
      </c>
    </row>
    <row r="52" spans="1:7" x14ac:dyDescent="0.35">
      <c r="A52" s="1" t="s">
        <v>21</v>
      </c>
      <c r="B52" s="1">
        <v>2023</v>
      </c>
      <c r="C52" s="1">
        <v>2</v>
      </c>
      <c r="D52">
        <v>164</v>
      </c>
      <c r="E52">
        <v>23.054878048780491</v>
      </c>
      <c r="F52">
        <v>903</v>
      </c>
      <c r="G52">
        <v>21012</v>
      </c>
    </row>
    <row r="53" spans="1:7" x14ac:dyDescent="0.35">
      <c r="A53" s="1" t="s">
        <v>21</v>
      </c>
      <c r="B53" s="1">
        <v>2023</v>
      </c>
      <c r="C53" s="1">
        <v>3</v>
      </c>
      <c r="D53">
        <v>132</v>
      </c>
      <c r="E53">
        <v>22.36363636363636</v>
      </c>
      <c r="F53">
        <v>742</v>
      </c>
      <c r="G53">
        <v>16095.5</v>
      </c>
    </row>
    <row r="54" spans="1:7" x14ac:dyDescent="0.35">
      <c r="A54" s="1" t="s">
        <v>21</v>
      </c>
      <c r="B54" s="1">
        <v>2023</v>
      </c>
      <c r="C54" s="1">
        <v>4</v>
      </c>
      <c r="D54">
        <v>149</v>
      </c>
      <c r="E54">
        <v>24.238255033557049</v>
      </c>
      <c r="F54">
        <v>775</v>
      </c>
      <c r="G54">
        <v>18915.5</v>
      </c>
    </row>
    <row r="55" spans="1:7" x14ac:dyDescent="0.35">
      <c r="A55" s="1" t="s">
        <v>21</v>
      </c>
      <c r="B55" s="1">
        <v>2023</v>
      </c>
      <c r="C55" s="1">
        <v>5</v>
      </c>
      <c r="D55">
        <v>164</v>
      </c>
      <c r="E55">
        <v>24.49085365853659</v>
      </c>
      <c r="F55">
        <v>878</v>
      </c>
      <c r="G55">
        <v>21935.5</v>
      </c>
    </row>
    <row r="56" spans="1:7" x14ac:dyDescent="0.35">
      <c r="A56" s="1" t="s">
        <v>21</v>
      </c>
      <c r="B56" s="1">
        <v>2023</v>
      </c>
      <c r="C56" s="1">
        <v>6</v>
      </c>
      <c r="D56">
        <v>165</v>
      </c>
      <c r="E56">
        <v>23.390909090909091</v>
      </c>
      <c r="F56">
        <v>914</v>
      </c>
      <c r="G56">
        <v>21439</v>
      </c>
    </row>
    <row r="57" spans="1:7" x14ac:dyDescent="0.35">
      <c r="A57" s="1" t="s">
        <v>21</v>
      </c>
      <c r="B57" s="1">
        <v>2023</v>
      </c>
      <c r="C57" s="1">
        <v>7</v>
      </c>
      <c r="D57">
        <v>180</v>
      </c>
      <c r="E57">
        <v>24.574999999999999</v>
      </c>
      <c r="F57">
        <v>979</v>
      </c>
      <c r="G57">
        <v>23930</v>
      </c>
    </row>
    <row r="58" spans="1:7" x14ac:dyDescent="0.35">
      <c r="A58" s="1" t="s">
        <v>21</v>
      </c>
      <c r="B58" s="1">
        <v>2023</v>
      </c>
      <c r="C58" s="1">
        <v>8</v>
      </c>
      <c r="D58">
        <v>162</v>
      </c>
      <c r="E58">
        <v>23.43518518518519</v>
      </c>
      <c r="F58">
        <v>868</v>
      </c>
      <c r="G58">
        <v>19608.5</v>
      </c>
    </row>
    <row r="59" spans="1:7" x14ac:dyDescent="0.35">
      <c r="A59" s="1" t="s">
        <v>21</v>
      </c>
      <c r="B59" s="1">
        <v>2023</v>
      </c>
      <c r="C59" s="1">
        <v>9</v>
      </c>
      <c r="D59">
        <v>173</v>
      </c>
      <c r="E59">
        <v>23.598265895953759</v>
      </c>
      <c r="F59">
        <v>943</v>
      </c>
      <c r="G59">
        <v>22400</v>
      </c>
    </row>
    <row r="60" spans="1:7" x14ac:dyDescent="0.35">
      <c r="A60" s="1" t="s">
        <v>21</v>
      </c>
      <c r="B60" s="1">
        <v>2023</v>
      </c>
      <c r="C60" s="1">
        <v>10</v>
      </c>
      <c r="D60">
        <v>145</v>
      </c>
      <c r="E60">
        <v>24.251724137931031</v>
      </c>
      <c r="F60">
        <v>800</v>
      </c>
      <c r="G60">
        <v>19066</v>
      </c>
    </row>
    <row r="61" spans="1:7" x14ac:dyDescent="0.35">
      <c r="A61" s="1" t="s">
        <v>21</v>
      </c>
      <c r="B61" s="1">
        <v>2023</v>
      </c>
      <c r="C61" s="1">
        <v>11</v>
      </c>
      <c r="D61">
        <v>149</v>
      </c>
      <c r="E61">
        <v>21.5</v>
      </c>
      <c r="F61">
        <v>823</v>
      </c>
      <c r="G61">
        <v>17984</v>
      </c>
    </row>
    <row r="62" spans="1:7" x14ac:dyDescent="0.35">
      <c r="A62" s="1" t="s">
        <v>21</v>
      </c>
      <c r="B62" s="1">
        <v>2023</v>
      </c>
      <c r="C62" s="1">
        <v>12</v>
      </c>
      <c r="D62">
        <v>167</v>
      </c>
      <c r="E62">
        <v>23.709580838323351</v>
      </c>
      <c r="F62">
        <v>952</v>
      </c>
      <c r="G62">
        <v>22665.5</v>
      </c>
    </row>
    <row r="63" spans="1:7" x14ac:dyDescent="0.35">
      <c r="A63" s="1" t="s">
        <v>21</v>
      </c>
      <c r="B63" s="1">
        <v>2024</v>
      </c>
      <c r="C63" s="1">
        <v>1</v>
      </c>
      <c r="D63">
        <v>155</v>
      </c>
      <c r="E63">
        <v>25.022580645161291</v>
      </c>
      <c r="F63">
        <v>854</v>
      </c>
      <c r="G63">
        <v>21085</v>
      </c>
    </row>
    <row r="64" spans="1:7" x14ac:dyDescent="0.35">
      <c r="A64" s="1" t="s">
        <v>21</v>
      </c>
      <c r="B64" s="1">
        <v>2024</v>
      </c>
      <c r="C64" s="1">
        <v>2</v>
      </c>
      <c r="D64">
        <v>147</v>
      </c>
      <c r="E64">
        <v>23.510204081632651</v>
      </c>
      <c r="F64">
        <v>793</v>
      </c>
      <c r="G64">
        <v>18078.5</v>
      </c>
    </row>
    <row r="65" spans="1:7" x14ac:dyDescent="0.35">
      <c r="A65" s="1" t="s">
        <v>21</v>
      </c>
      <c r="B65" s="1">
        <v>2024</v>
      </c>
      <c r="C65" s="1">
        <v>3</v>
      </c>
      <c r="D65">
        <v>177</v>
      </c>
      <c r="E65">
        <v>23.110169491525419</v>
      </c>
      <c r="F65">
        <v>972</v>
      </c>
      <c r="G65">
        <v>22518</v>
      </c>
    </row>
    <row r="66" spans="1:7" x14ac:dyDescent="0.35">
      <c r="A66" s="1" t="s">
        <v>21</v>
      </c>
      <c r="B66" s="1">
        <v>2024</v>
      </c>
      <c r="C66" s="1">
        <v>4</v>
      </c>
      <c r="D66">
        <v>165</v>
      </c>
      <c r="E66">
        <v>24.554545454545451</v>
      </c>
      <c r="F66">
        <v>1045</v>
      </c>
      <c r="G66">
        <v>26484.5</v>
      </c>
    </row>
    <row r="67" spans="1:7" x14ac:dyDescent="0.35">
      <c r="A67" s="1" t="s">
        <v>21</v>
      </c>
      <c r="B67" s="1">
        <v>2024</v>
      </c>
      <c r="C67" s="1">
        <v>5</v>
      </c>
      <c r="D67">
        <v>160</v>
      </c>
      <c r="E67">
        <v>23.262499999999999</v>
      </c>
      <c r="F67">
        <v>837</v>
      </c>
      <c r="G67">
        <v>19398</v>
      </c>
    </row>
    <row r="68" spans="1:7" x14ac:dyDescent="0.35">
      <c r="A68" s="1" t="s">
        <v>21</v>
      </c>
      <c r="B68" s="1">
        <v>2024</v>
      </c>
      <c r="C68" s="1">
        <v>6</v>
      </c>
      <c r="D68">
        <v>170</v>
      </c>
      <c r="E68">
        <v>23.75</v>
      </c>
      <c r="F68">
        <v>949</v>
      </c>
      <c r="G68">
        <v>23234</v>
      </c>
    </row>
    <row r="69" spans="1:7" x14ac:dyDescent="0.35">
      <c r="A69" s="1" t="s">
        <v>21</v>
      </c>
      <c r="B69" s="1">
        <v>2024</v>
      </c>
      <c r="C69" s="1">
        <v>7</v>
      </c>
      <c r="D69">
        <v>164</v>
      </c>
      <c r="E69">
        <v>21.939024390243901</v>
      </c>
      <c r="F69">
        <v>921</v>
      </c>
      <c r="G69">
        <v>20217</v>
      </c>
    </row>
    <row r="70" spans="1:7" x14ac:dyDescent="0.35">
      <c r="A70" s="1" t="s">
        <v>21</v>
      </c>
      <c r="B70" s="1">
        <v>2024</v>
      </c>
      <c r="C70" s="1">
        <v>8</v>
      </c>
      <c r="D70">
        <v>193</v>
      </c>
      <c r="E70">
        <v>23.124352331606222</v>
      </c>
      <c r="F70">
        <v>996</v>
      </c>
      <c r="G70">
        <v>23502</v>
      </c>
    </row>
    <row r="71" spans="1:7" x14ac:dyDescent="0.35">
      <c r="A71" s="1" t="s">
        <v>21</v>
      </c>
      <c r="B71" s="1">
        <v>2024</v>
      </c>
      <c r="C71" s="1">
        <v>9</v>
      </c>
      <c r="D71">
        <v>170</v>
      </c>
      <c r="E71">
        <v>24.367647058823529</v>
      </c>
      <c r="F71">
        <v>890</v>
      </c>
      <c r="G71">
        <v>22073.5</v>
      </c>
    </row>
    <row r="72" spans="1:7" x14ac:dyDescent="0.35">
      <c r="A72" s="1" t="s">
        <v>21</v>
      </c>
      <c r="B72" s="1">
        <v>2024</v>
      </c>
      <c r="C72" s="1">
        <v>10</v>
      </c>
      <c r="D72">
        <v>164</v>
      </c>
      <c r="E72">
        <v>24.060975609756099</v>
      </c>
      <c r="F72">
        <v>887</v>
      </c>
      <c r="G72">
        <v>20722</v>
      </c>
    </row>
    <row r="73" spans="1:7" x14ac:dyDescent="0.35">
      <c r="A73" s="1" t="s">
        <v>21</v>
      </c>
      <c r="B73" s="1">
        <v>2024</v>
      </c>
      <c r="C73" s="1">
        <v>11</v>
      </c>
      <c r="D73">
        <v>194</v>
      </c>
      <c r="E73">
        <v>24.22164948453608</v>
      </c>
      <c r="F73">
        <v>1057</v>
      </c>
      <c r="G73">
        <v>25598</v>
      </c>
    </row>
    <row r="74" spans="1:7" x14ac:dyDescent="0.35">
      <c r="A74" s="1" t="s">
        <v>21</v>
      </c>
      <c r="B74" s="1">
        <v>2024</v>
      </c>
      <c r="C74" s="1">
        <v>12</v>
      </c>
      <c r="D74">
        <v>175</v>
      </c>
      <c r="E74">
        <v>21.38</v>
      </c>
      <c r="F74">
        <v>1037</v>
      </c>
      <c r="G74">
        <v>22336</v>
      </c>
    </row>
    <row r="75" spans="1:7" x14ac:dyDescent="0.35">
      <c r="A75" s="1" t="s">
        <v>21</v>
      </c>
      <c r="B75" s="1">
        <v>2025</v>
      </c>
      <c r="C75" s="1">
        <v>1</v>
      </c>
      <c r="D75">
        <v>92</v>
      </c>
      <c r="E75">
        <v>23.75</v>
      </c>
      <c r="F75">
        <v>527</v>
      </c>
      <c r="G75">
        <v>12130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BAR CHART CATEGORY</vt:lpstr>
      <vt:lpstr>BAR CHART PYMENT TYPE</vt:lpstr>
      <vt:lpstr>BAR CHART LOCATION</vt:lpstr>
      <vt:lpstr>Pivot_Category</vt:lpstr>
      <vt:lpstr>Pivot_Payment_Method</vt:lpstr>
      <vt:lpstr> Pivot_Location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Bane Andriana Kuzmanovic</cp:lastModifiedBy>
  <dcterms:created xsi:type="dcterms:W3CDTF">2025-05-27T11:40:09Z</dcterms:created>
  <dcterms:modified xsi:type="dcterms:W3CDTF">2025-05-28T17:28:46Z</dcterms:modified>
</cp:coreProperties>
</file>