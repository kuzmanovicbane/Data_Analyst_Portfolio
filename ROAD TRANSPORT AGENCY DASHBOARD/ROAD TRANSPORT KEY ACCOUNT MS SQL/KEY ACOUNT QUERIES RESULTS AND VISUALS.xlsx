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4.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7.xml" ContentType="application/vnd.openxmlformats-officedocument.spreadsheetml.table+xml"/>
  <Override PartName="/xl/queryTables/queryTable7.xml" ContentType="application/vnd.openxmlformats-officedocument.spreadsheetml.queryTable+xml"/>
  <Override PartName="/xl/drawings/drawing5.xml" ContentType="application/vnd.openxmlformats-officedocument.drawing+xml"/>
  <Override PartName="/xl/tables/table8.xml" ContentType="application/vnd.openxmlformats-officedocument.spreadsheetml.table+xml"/>
  <Override PartName="/xl/queryTables/queryTable8.xml" ContentType="application/vnd.openxmlformats-officedocument.spreadsheetml.queryTab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pivotTables/pivotTable2.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tables/table11.xml" ContentType="application/vnd.openxmlformats-officedocument.spreadsheetml.table+xml"/>
  <Override PartName="/xl/queryTables/queryTable11.xml" ContentType="application/vnd.openxmlformats-officedocument.spreadsheetml.queryTable+xml"/>
  <Override PartName="/xl/slicers/slicer3.xml" ContentType="application/vnd.ms-excel.slicer+xml"/>
  <Override PartName="/xl/drawings/drawing8.xml" ContentType="application/vnd.openxmlformats-officedocument.drawing+xml"/>
  <Override PartName="/xl/tables/table12.xml" ContentType="application/vnd.openxmlformats-officedocument.spreadsheetml.table+xml"/>
  <Override PartName="/xl/queryTables/queryTable12.xml" ContentType="application/vnd.openxmlformats-officedocument.spreadsheetml.queryTab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tables/table13.xml" ContentType="application/vnd.openxmlformats-officedocument.spreadsheetml.table+xml"/>
  <Override PartName="/xl/queryTables/queryTable13.xml" ContentType="application/vnd.openxmlformats-officedocument.spreadsheetml.queryTab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E:\POWER BI\ROAD TRANSPORT KEY ACCOUNT MS SQL\"/>
    </mc:Choice>
  </mc:AlternateContent>
  <xr:revisionPtr revIDLastSave="0" documentId="13_ncr:1_{0EEC628E-B7D4-44A7-A6D1-F54AB6FD4BFF}" xr6:coauthVersionLast="47" xr6:coauthVersionMax="47" xr10:uidLastSave="{00000000-0000-0000-0000-000000000000}"/>
  <bookViews>
    <workbookView xWindow="-110" yWindow="-110" windowWidth="19420" windowHeight="10300" firstSheet="4" activeTab="14" xr2:uid="{00000000-000D-0000-FFFF-FFFF00000000}"/>
  </bookViews>
  <sheets>
    <sheet name="1" sheetId="2" r:id="rId1"/>
    <sheet name="2" sheetId="3" r:id="rId2"/>
    <sheet name="3" sheetId="4" r:id="rId3"/>
    <sheet name="4" sheetId="5" r:id="rId4"/>
    <sheet name="5" sheetId="6" r:id="rId5"/>
    <sheet name="6" sheetId="7" r:id="rId6"/>
    <sheet name="7" sheetId="8" r:id="rId7"/>
    <sheet name="8" sheetId="9" r:id="rId8"/>
    <sheet name="9" sheetId="10" r:id="rId9"/>
    <sheet name="10" sheetId="11" r:id="rId10"/>
    <sheet name="10 pivot" sheetId="17" r:id="rId11"/>
    <sheet name="11" sheetId="12" r:id="rId12"/>
    <sheet name="12" sheetId="13" r:id="rId13"/>
    <sheet name="13" sheetId="14" r:id="rId14"/>
    <sheet name="15" sheetId="15" r:id="rId15"/>
    <sheet name="14" sheetId="16" r:id="rId16"/>
  </sheets>
  <definedNames>
    <definedName name="_xlchart.v1.0" hidden="1">'3'!$A$2:$A$33</definedName>
    <definedName name="_xlchart.v1.1" hidden="1">'3'!$C$1</definedName>
    <definedName name="_xlchart.v1.2" hidden="1">'3'!$C$2:$C$33</definedName>
    <definedName name="ExternalData_1" localSheetId="0" hidden="1">'1'!$A$1:$A$2</definedName>
    <definedName name="ExternalData_1" localSheetId="9" hidden="1">'10'!$A$1:$D$301</definedName>
    <definedName name="ExternalData_1" localSheetId="11" hidden="1">'11'!$A$1:$D$61</definedName>
    <definedName name="ExternalData_1" localSheetId="12" hidden="1">'12'!$A$1:$E$25</definedName>
    <definedName name="ExternalData_1" localSheetId="13" hidden="1">'13'!$A$1:$H$25</definedName>
    <definedName name="ExternalData_1" localSheetId="15" hidden="1">'14'!$A$1:$E$61</definedName>
    <definedName name="ExternalData_1" localSheetId="14" hidden="1">'15'!$A$1:$C$3</definedName>
    <definedName name="ExternalData_1" localSheetId="1" hidden="1">'2'!$A$1:$B$61</definedName>
    <definedName name="ExternalData_1" localSheetId="2" hidden="1">'3'!$A$1:$C$33</definedName>
    <definedName name="ExternalData_1" localSheetId="3" hidden="1">'4'!$A$1:$D$301</definedName>
    <definedName name="ExternalData_1" localSheetId="4" hidden="1">'5'!$A$1:$B$5</definedName>
    <definedName name="ExternalData_1" localSheetId="5" hidden="1">'6'!$A$1:$C$11</definedName>
    <definedName name="ExternalData_1" localSheetId="6" hidden="1">'7'!$A$1:$B$6</definedName>
    <definedName name="ExternalData_1" localSheetId="7" hidden="1">'8'!$A$1:$D$25</definedName>
    <definedName name="ExternalData_1" localSheetId="8" hidden="1">'9'!$A$1:$D$8</definedName>
    <definedName name="Slicer_client_rank_in_industry">#N/A</definedName>
    <definedName name="Slicer_Column1">#N/A</definedName>
    <definedName name="Slicer_destination">#N/A</definedName>
    <definedName name="Slicer_origin">#N/A</definedName>
  </definedNames>
  <calcPr calcId="181029"/>
  <pivotCaches>
    <pivotCache cacheId="4" r:id="rId17"/>
    <pivotCache cacheId="10" r:id="rId18"/>
    <pivotCache cacheId="16" r:id="rId19"/>
  </pivotCaches>
  <extLs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14" l="1"/>
  <c r="C3" i="14"/>
  <c r="C4" i="14"/>
  <c r="C5" i="14"/>
  <c r="C6" i="14"/>
  <c r="C7" i="14"/>
  <c r="C8" i="14"/>
  <c r="C9" i="14"/>
  <c r="C10" i="14"/>
  <c r="C11" i="14"/>
  <c r="C12" i="14"/>
  <c r="C13" i="14"/>
  <c r="C14" i="14"/>
  <c r="C15" i="14"/>
  <c r="C16" i="14"/>
  <c r="C17" i="14"/>
  <c r="C18" i="14"/>
  <c r="C19" i="14"/>
  <c r="C20" i="14"/>
  <c r="C21" i="14"/>
  <c r="C22" i="14"/>
  <c r="C23" i="14"/>
  <c r="C24" i="14"/>
  <c r="C25" i="14"/>
  <c r="C2" i="13"/>
  <c r="C3" i="13"/>
  <c r="C4" i="13"/>
  <c r="C5" i="13"/>
  <c r="C6" i="13"/>
  <c r="C7" i="13"/>
  <c r="C8" i="13"/>
  <c r="C9" i="13"/>
  <c r="C10" i="13"/>
  <c r="C11" i="13"/>
  <c r="C12" i="13"/>
  <c r="C13" i="13"/>
  <c r="C14" i="13"/>
  <c r="C15" i="13"/>
  <c r="C16" i="13"/>
  <c r="C17" i="13"/>
  <c r="C18" i="13"/>
  <c r="C19" i="13"/>
  <c r="C20" i="13"/>
  <c r="C21" i="13"/>
  <c r="C22" i="13"/>
  <c r="C23" i="13"/>
  <c r="C24" i="13"/>
  <c r="C25" i="13"/>
  <c r="C3" i="9"/>
  <c r="C2" i="9"/>
  <c r="C4" i="9"/>
  <c r="C5" i="9"/>
  <c r="C6" i="9"/>
  <c r="C7" i="9"/>
  <c r="C8" i="9"/>
  <c r="C9" i="9"/>
  <c r="C10" i="9"/>
  <c r="C11" i="9"/>
  <c r="C12" i="9"/>
  <c r="C13" i="9"/>
  <c r="C14" i="9"/>
  <c r="C15" i="9"/>
  <c r="C16" i="9"/>
  <c r="C17" i="9"/>
  <c r="C18" i="9"/>
  <c r="C19" i="9"/>
  <c r="C20" i="9"/>
  <c r="C21" i="9"/>
  <c r="C22" i="9"/>
  <c r="C23" i="9"/>
  <c r="C24" i="9"/>
  <c r="C25" i="9"/>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B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29BCA1-DF6B-4ADA-AD5F-8FB66C357A81}" keepAlive="1" name="Query - ka ras 14" description="Connection to the 'ka ras 14' query in the workbook." type="5" refreshedVersion="8" background="1" saveData="1">
    <dbPr connection="Provider=Microsoft.Mashup.OleDb.1;Data Source=$Workbook$;Location=&quot;ka ras 14&quot;;Extended Properties=&quot;&quot;" command="SELECT * FROM [ka ras 14]"/>
  </connection>
  <connection id="2" xr16:uid="{D91A9D65-8D9F-4F38-AFF8-AAA9804FD2CD}" keepAlive="1" name="Query - ka res 1" description="Connection to the 'ka res 1' query in the workbook." type="5" refreshedVersion="8" background="1" saveData="1">
    <dbPr connection="Provider=Microsoft.Mashup.OleDb.1;Data Source=$Workbook$;Location=&quot;ka res 1&quot;;Extended Properties=&quot;&quot;" command="SELECT * FROM [ka res 1]"/>
  </connection>
  <connection id="3" xr16:uid="{360176EA-A1C3-41AD-9F17-708B2E18E6E8}" keepAlive="1" name="Query - ka res 10" description="Connection to the 'ka res 10' query in the workbook." type="5" refreshedVersion="8" background="1" saveData="1">
    <dbPr connection="Provider=Microsoft.Mashup.OleDb.1;Data Source=$Workbook$;Location=&quot;ka res 10&quot;;Extended Properties=&quot;&quot;" command="SELECT * FROM [ka res 10]"/>
  </connection>
  <connection id="4" xr16:uid="{F8FCBAE0-111E-48F1-885C-753FA9AD33D2}" keepAlive="1" name="Query - ka res 11" description="Connection to the 'ka res 11' query in the workbook." type="5" refreshedVersion="8" background="1" saveData="1">
    <dbPr connection="Provider=Microsoft.Mashup.OleDb.1;Data Source=$Workbook$;Location=&quot;ka res 11&quot;;Extended Properties=&quot;&quot;" command="SELECT * FROM [ka res 11]"/>
  </connection>
  <connection id="5" xr16:uid="{CED4ADC5-F392-4CC6-AA5F-0326A406A6AB}" keepAlive="1" name="Query - ka res 12" description="Connection to the 'ka res 12' query in the workbook." type="5" refreshedVersion="8" background="1" saveData="1">
    <dbPr connection="Provider=Microsoft.Mashup.OleDb.1;Data Source=$Workbook$;Location=&quot;ka res 12&quot;;Extended Properties=&quot;&quot;" command="SELECT * FROM [ka res 12]"/>
  </connection>
  <connection id="6" xr16:uid="{28E68785-F9C0-4C15-848D-7C3F04A368DA}" keepAlive="1" name="Query - ka res 13" description="Connection to the 'ka res 13' query in the workbook." type="5" refreshedVersion="8" background="1" saveData="1">
    <dbPr connection="Provider=Microsoft.Mashup.OleDb.1;Data Source=$Workbook$;Location=&quot;ka res 13&quot;;Extended Properties=&quot;&quot;" command="SELECT * FROM [ka res 13]"/>
  </connection>
  <connection id="7" xr16:uid="{348AB98F-EB1F-4AA5-85E2-1C2769C984B2}" keepAlive="1" name="Query - ka res 15" description="Connection to the 'ka res 15' query in the workbook." type="5" refreshedVersion="8" background="1" saveData="1">
    <dbPr connection="Provider=Microsoft.Mashup.OleDb.1;Data Source=$Workbook$;Location=&quot;ka res 15&quot;;Extended Properties=&quot;&quot;" command="SELECT * FROM [ka res 15]"/>
  </connection>
  <connection id="8" xr16:uid="{0173E8CC-3528-4606-8918-7EFDC6E6674E}" keepAlive="1" name="Query - ka res 2" description="Connection to the 'ka res 2' query in the workbook." type="5" refreshedVersion="8" background="1" saveData="1">
    <dbPr connection="Provider=Microsoft.Mashup.OleDb.1;Data Source=$Workbook$;Location=&quot;ka res 2&quot;;Extended Properties=&quot;&quot;" command="SELECT * FROM [ka res 2]"/>
  </connection>
  <connection id="9" xr16:uid="{5E20A73F-961C-4F72-A8B3-58481E3C8B60}" keepAlive="1" name="Query - ka res 3" description="Connection to the 'ka res 3' query in the workbook." type="5" refreshedVersion="8" background="1" saveData="1">
    <dbPr connection="Provider=Microsoft.Mashup.OleDb.1;Data Source=$Workbook$;Location=&quot;ka res 3&quot;;Extended Properties=&quot;&quot;" command="SELECT * FROM [ka res 3]"/>
  </connection>
  <connection id="10" xr16:uid="{1F4B8E89-1BD8-49A9-AE1D-86898982F631}" keepAlive="1" name="Query - ka res 4" description="Connection to the 'ka res 4' query in the workbook." type="5" refreshedVersion="8" background="1" saveData="1">
    <dbPr connection="Provider=Microsoft.Mashup.OleDb.1;Data Source=$Workbook$;Location=&quot;ka res 4&quot;;Extended Properties=&quot;&quot;" command="SELECT * FROM [ka res 4]"/>
  </connection>
  <connection id="11" xr16:uid="{36B16793-1BBD-4E2B-A2A0-0A85E8EDDCA0}" keepAlive="1" name="Query - ka res 5" description="Connection to the 'ka res 5' query in the workbook." type="5" refreshedVersion="8" background="1" saveData="1">
    <dbPr connection="Provider=Microsoft.Mashup.OleDb.1;Data Source=$Workbook$;Location=&quot;ka res 5&quot;;Extended Properties=&quot;&quot;" command="SELECT * FROM [ka res 5]"/>
  </connection>
  <connection id="12" xr16:uid="{F1FDFD62-109F-4918-AB37-4B70757C7CD4}" keepAlive="1" name="Query - ka res 6" description="Connection to the 'ka res 6' query in the workbook." type="5" refreshedVersion="8" background="1" saveData="1">
    <dbPr connection="Provider=Microsoft.Mashup.OleDb.1;Data Source=$Workbook$;Location=&quot;ka res 6&quot;;Extended Properties=&quot;&quot;" command="SELECT * FROM [ka res 6]"/>
  </connection>
  <connection id="13" xr16:uid="{32672668-05EE-49CC-A2EF-E5F9B24C6616}" keepAlive="1" name="Query - ka res 7" description="Connection to the 'ka res 7' query in the workbook." type="5" refreshedVersion="8" background="1" saveData="1">
    <dbPr connection="Provider=Microsoft.Mashup.OleDb.1;Data Source=$Workbook$;Location=&quot;ka res 7&quot;;Extended Properties=&quot;&quot;" command="SELECT * FROM [ka res 7]"/>
  </connection>
  <connection id="14" xr16:uid="{32123E2D-CE1B-4466-BDF3-CF974814B8B6}" keepAlive="1" name="Query - ka res 8" description="Connection to the 'ka res 8' query in the workbook." type="5" refreshedVersion="8" background="1" saveData="1">
    <dbPr connection="Provider=Microsoft.Mashup.OleDb.1;Data Source=$Workbook$;Location=&quot;ka res 8&quot;;Extended Properties=&quot;&quot;" command="SELECT * FROM [ka res 8]"/>
  </connection>
  <connection id="15" xr16:uid="{9398A796-87B3-485B-B43D-C4EC14A2234D}" keepAlive="1" name="Query - ka res 9" description="Connection to the 'ka res 9' query in the workbook." type="5" refreshedVersion="8" background="1" saveData="1">
    <dbPr connection="Provider=Microsoft.Mashup.OleDb.1;Data Source=$Workbook$;Location=&quot;ka res 9&quot;;Extended Properties=&quot;&quot;" command="SELECT * FROM [ka res 9]"/>
  </connection>
</connections>
</file>

<file path=xl/sharedStrings.xml><?xml version="1.0" encoding="utf-8"?>
<sst xmlns="http://schemas.openxmlformats.org/spreadsheetml/2006/main" count="1287" uniqueCount="152">
  <si>
    <t>Column1</t>
  </si>
  <si>
    <t>Column2</t>
  </si>
  <si>
    <t>Key Client 60</t>
  </si>
  <si>
    <t>Key Client 45</t>
  </si>
  <si>
    <t>Key Client 46</t>
  </si>
  <si>
    <t>Key Client 40</t>
  </si>
  <si>
    <t>Key Client 18</t>
  </si>
  <si>
    <t>Key Client 56</t>
  </si>
  <si>
    <t>Key Client 10</t>
  </si>
  <si>
    <t>Key Client 27</t>
  </si>
  <si>
    <t>Key Client 24</t>
  </si>
  <si>
    <t>Key Client 21</t>
  </si>
  <si>
    <t>Key Client 33</t>
  </si>
  <si>
    <t>Key Client 32</t>
  </si>
  <si>
    <t>Key Client 26</t>
  </si>
  <si>
    <t>Key Client 22</t>
  </si>
  <si>
    <t>Key Client 19</t>
  </si>
  <si>
    <t>Key Client 13</t>
  </si>
  <si>
    <t>Key Client 43</t>
  </si>
  <si>
    <t>Key Client 52</t>
  </si>
  <si>
    <t>Key Client 7</t>
  </si>
  <si>
    <t>Key Client 20</t>
  </si>
  <si>
    <t>Key Client 53</t>
  </si>
  <si>
    <t>Key Client 35</t>
  </si>
  <si>
    <t>Key Client 2</t>
  </si>
  <si>
    <t>Key Client 9</t>
  </si>
  <si>
    <t>Key Client 25</t>
  </si>
  <si>
    <t>Key Client 48</t>
  </si>
  <si>
    <t>Key Client 12</t>
  </si>
  <si>
    <t>Key Client 42</t>
  </si>
  <si>
    <t>Key Client 1</t>
  </si>
  <si>
    <t>Key Client 31</t>
  </si>
  <si>
    <t>Key Client 59</t>
  </si>
  <si>
    <t>Key Client 36</t>
  </si>
  <si>
    <t>Key Client 3</t>
  </si>
  <si>
    <t>Key Client 44</t>
  </si>
  <si>
    <t>Key Client 39</t>
  </si>
  <si>
    <t>Key Client 41</t>
  </si>
  <si>
    <t>Key Client 50</t>
  </si>
  <si>
    <t>Key Client 8</t>
  </si>
  <si>
    <t>Key Client 49</t>
  </si>
  <si>
    <t>Key Client 16</t>
  </si>
  <si>
    <t>Key Client 55</t>
  </si>
  <si>
    <t>Key Client 28</t>
  </si>
  <si>
    <t>Key Client 30</t>
  </si>
  <si>
    <t>Key Client 37</t>
  </si>
  <si>
    <t>Key Client 57</t>
  </si>
  <si>
    <t>Key Client 47</t>
  </si>
  <si>
    <t>Key Client 11</t>
  </si>
  <si>
    <t>Key Client 23</t>
  </si>
  <si>
    <t>Key Client 14</t>
  </si>
  <si>
    <t>Key Client 17</t>
  </si>
  <si>
    <t>Key Client 58</t>
  </si>
  <si>
    <t>Key Client 38</t>
  </si>
  <si>
    <t>Key Client 5</t>
  </si>
  <si>
    <t>Key Client 29</t>
  </si>
  <si>
    <t>Key Client 15</t>
  </si>
  <si>
    <t>Key Client 51</t>
  </si>
  <si>
    <t>Key Client 54</t>
  </si>
  <si>
    <t>Key Client 4</t>
  </si>
  <si>
    <t>Key Client 6</t>
  </si>
  <si>
    <t>Key Client 34</t>
  </si>
  <si>
    <t>Column3</t>
  </si>
  <si>
    <t>Abu Dhabi</t>
  </si>
  <si>
    <t>Tel Aviv</t>
  </si>
  <si>
    <t>Rijad</t>
  </si>
  <si>
    <t>Dzeda</t>
  </si>
  <si>
    <t>Dubai</t>
  </si>
  <si>
    <t>Doha</t>
  </si>
  <si>
    <t>Hamburg</t>
  </si>
  <si>
    <t>Sofija</t>
  </si>
  <si>
    <t>Barselona</t>
  </si>
  <si>
    <t>Amsterdam</t>
  </si>
  <si>
    <t>Budimpesta</t>
  </si>
  <si>
    <t>Madrid</t>
  </si>
  <si>
    <t>Milano</t>
  </si>
  <si>
    <t>Standard Truck</t>
  </si>
  <si>
    <t>Mega Trailer</t>
  </si>
  <si>
    <t>Reefer</t>
  </si>
  <si>
    <t>ADR</t>
  </si>
  <si>
    <t>Automotive</t>
  </si>
  <si>
    <t>Middle East</t>
  </si>
  <si>
    <t>Europe</t>
  </si>
  <si>
    <t>FMCG</t>
  </si>
  <si>
    <t>Industrial</t>
  </si>
  <si>
    <t>Pharma</t>
  </si>
  <si>
    <t>Retail</t>
  </si>
  <si>
    <t>Column4</t>
  </si>
  <si>
    <t>Sandra Kovac Andric</t>
  </si>
  <si>
    <t>Ivana Stojanovic</t>
  </si>
  <si>
    <t>Ana Petrovic</t>
  </si>
  <si>
    <t>Milica Nikolic</t>
  </si>
  <si>
    <t>Teodora Markovic</t>
  </si>
  <si>
    <t>Jelena Ilic</t>
  </si>
  <si>
    <t>Marija Jovanovic</t>
  </si>
  <si>
    <t>Atina</t>
  </si>
  <si>
    <t>Ankara</t>
  </si>
  <si>
    <t>Varsava</t>
  </si>
  <si>
    <t>Frankfurt</t>
  </si>
  <si>
    <t>Prag</t>
  </si>
  <si>
    <t>Lion</t>
  </si>
  <si>
    <t>Pariz</t>
  </si>
  <si>
    <t>Roterdam</t>
  </si>
  <si>
    <t>Torino</t>
  </si>
  <si>
    <t>Beograd</t>
  </si>
  <si>
    <t>Zagreb</t>
  </si>
  <si>
    <t>Ljubljana</t>
  </si>
  <si>
    <t>Bukurest</t>
  </si>
  <si>
    <t>Minhen</t>
  </si>
  <si>
    <t>Novi Sad</t>
  </si>
  <si>
    <t>Istanbul</t>
  </si>
  <si>
    <t>Viena�</t>
  </si>
  <si>
    <t>Column12</t>
  </si>
  <si>
    <t>Total Shipments</t>
  </si>
  <si>
    <t>Vehicle Type</t>
  </si>
  <si>
    <t>Row Labels</t>
  </si>
  <si>
    <t>Grand Total</t>
  </si>
  <si>
    <t>Sum of Column3</t>
  </si>
  <si>
    <t>REVENUE PER TONE</t>
  </si>
  <si>
    <t>top 5 clients by revenue per ton</t>
  </si>
  <si>
    <t>YEAR</t>
  </si>
  <si>
    <t>MONTH</t>
  </si>
  <si>
    <t>AVERAGE REVENUE</t>
  </si>
  <si>
    <t>Manager</t>
  </si>
  <si>
    <t>Numb_of_clients</t>
  </si>
  <si>
    <t>Total Margin</t>
  </si>
  <si>
    <t>MarginPerClient</t>
  </si>
  <si>
    <t>origin</t>
  </si>
  <si>
    <t>destination</t>
  </si>
  <si>
    <t>Sum of Column4</t>
  </si>
  <si>
    <t>industry</t>
  </si>
  <si>
    <t>client</t>
  </si>
  <si>
    <t>client rank in industry</t>
  </si>
  <si>
    <t>revenue</t>
  </si>
  <si>
    <t>Column Labels</t>
  </si>
  <si>
    <t>Sum of revenue</t>
  </si>
  <si>
    <t>TOTAL REVENUE</t>
  </si>
  <si>
    <t>CUMULATIVE REVENUE</t>
  </si>
  <si>
    <t>YearMonth</t>
  </si>
  <si>
    <t>TotalRevenueTY</t>
  </si>
  <si>
    <t>TotalRevenueLY</t>
  </si>
  <si>
    <t>YoY_RevenueGrowth</t>
  </si>
  <si>
    <t>RevenueLM</t>
  </si>
  <si>
    <t>MoM_RevenueGrowth</t>
  </si>
  <si>
    <t>Margin pct</t>
  </si>
  <si>
    <t>Avg margin pct</t>
  </si>
  <si>
    <t>Difference from avg</t>
  </si>
  <si>
    <t>revenue share of total</t>
  </si>
  <si>
    <t>Client</t>
  </si>
  <si>
    <t>Region</t>
  </si>
  <si>
    <t>Rute</t>
  </si>
  <si>
    <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</si>
</sst>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0"/>
      <name val="Calibri"/>
      <family val="2"/>
      <scheme val="minor"/>
    </font>
    <font>
      <sz val="8"/>
      <name val="Calibri"/>
      <family val="2"/>
      <scheme val="minor"/>
    </font>
    <font>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4" fontId="0" fillId="0" borderId="0" xfId="0" applyNumberFormat="1"/>
    <xf numFmtId="0" fontId="3" fillId="0" borderId="0" xfId="0" applyNumberFormat="1" applyFont="1"/>
    <xf numFmtId="10" fontId="0" fillId="0" borderId="0" xfId="0" applyNumberFormat="1"/>
    <xf numFmtId="10" fontId="1" fillId="0" borderId="0" xfId="0" applyNumberFormat="1" applyFont="1"/>
  </cellXfs>
  <cellStyles count="1">
    <cellStyle name="Normal" xfId="0" builtinId="0"/>
  </cellStyles>
  <dxfs count="58">
    <dxf>
      <font>
        <sz val="24"/>
      </font>
    </dxf>
    <dxf>
      <font>
        <sz val="24"/>
      </font>
    </dxf>
    <dxf>
      <font>
        <sz val="24"/>
      </font>
    </dxf>
    <dxf>
      <font>
        <sz val="24"/>
      </font>
    </dxf>
    <dxf>
      <font>
        <sz val="24"/>
      </font>
    </dxf>
    <dxf>
      <font>
        <sz val="24"/>
      </font>
    </dxf>
    <dxf>
      <font>
        <sz val="24"/>
      </font>
    </dxf>
    <dxf>
      <font>
        <sz val="24"/>
      </font>
    </dxf>
    <dxf>
      <font>
        <sz val="24"/>
      </font>
    </dxf>
    <dxf>
      <font>
        <strike val="0"/>
        <outline val="0"/>
        <shadow val="0"/>
        <u val="none"/>
        <vertAlign val="baseline"/>
        <sz val="11"/>
        <color theme="0"/>
        <name val="Calibri"/>
        <family val="2"/>
        <scheme val="minor"/>
      </font>
      <numFmt numFmtId="14" formatCode="0.00%"/>
    </dxf>
    <dxf>
      <numFmt numFmtId="14" formatCode="0.00%"/>
    </dxf>
    <dxf>
      <numFmt numFmtId="14" formatCode="0.00%"/>
    </dxf>
    <dxf>
      <numFmt numFmtId="14" formatCode="0.00%"/>
    </dxf>
    <dxf>
      <numFmt numFmtId="4" formatCode="#,##0.00"/>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4" formatCode="#,##0.00"/>
    </dxf>
    <dxf>
      <numFmt numFmtId="4" formatCode="#,##0.00"/>
    </dxf>
    <dxf>
      <numFmt numFmtId="0" formatCode="General"/>
    </dxf>
    <dxf>
      <numFmt numFmtId="0" formatCode="General"/>
    </dxf>
    <dxf>
      <font>
        <sz val="24"/>
      </font>
    </dxf>
    <dxf>
      <numFmt numFmtId="4" formatCode="#,##0.00"/>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A72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Per Client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2617891513560806"/>
          <c:y val="0.10180867316958514"/>
          <c:w val="0.80093219597550303"/>
          <c:h val="0.84386813961687623"/>
        </c:manualLayout>
      </c:layout>
      <c:barChart>
        <c:barDir val="bar"/>
        <c:grouping val="clustered"/>
        <c:varyColors val="0"/>
        <c:ser>
          <c:idx val="0"/>
          <c:order val="0"/>
          <c:tx>
            <c:strRef>
              <c:f>'2'!$B$1</c:f>
              <c:strCache>
                <c:ptCount val="1"/>
                <c:pt idx="0">
                  <c:v>Column2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'2'!$A$2:$A$61</c:f>
              <c:strCache>
                <c:ptCount val="60"/>
                <c:pt idx="0">
                  <c:v>Key Client 34</c:v>
                </c:pt>
                <c:pt idx="1">
                  <c:v>Key Client 6</c:v>
                </c:pt>
                <c:pt idx="2">
                  <c:v>Key Client 4</c:v>
                </c:pt>
                <c:pt idx="3">
                  <c:v>Key Client 54</c:v>
                </c:pt>
                <c:pt idx="4">
                  <c:v>Key Client 51</c:v>
                </c:pt>
                <c:pt idx="5">
                  <c:v>Key Client 15</c:v>
                </c:pt>
                <c:pt idx="6">
                  <c:v>Key Client 29</c:v>
                </c:pt>
                <c:pt idx="7">
                  <c:v>Key Client 5</c:v>
                </c:pt>
                <c:pt idx="8">
                  <c:v>Key Client 38</c:v>
                </c:pt>
                <c:pt idx="9">
                  <c:v>Key Client 58</c:v>
                </c:pt>
                <c:pt idx="10">
                  <c:v>Key Client 17</c:v>
                </c:pt>
                <c:pt idx="11">
                  <c:v>Key Client 14</c:v>
                </c:pt>
                <c:pt idx="12">
                  <c:v>Key Client 23</c:v>
                </c:pt>
                <c:pt idx="13">
                  <c:v>Key Client 11</c:v>
                </c:pt>
                <c:pt idx="14">
                  <c:v>Key Client 47</c:v>
                </c:pt>
                <c:pt idx="15">
                  <c:v>Key Client 57</c:v>
                </c:pt>
                <c:pt idx="16">
                  <c:v>Key Client 37</c:v>
                </c:pt>
                <c:pt idx="17">
                  <c:v>Key Client 30</c:v>
                </c:pt>
                <c:pt idx="18">
                  <c:v>Key Client 28</c:v>
                </c:pt>
                <c:pt idx="19">
                  <c:v>Key Client 55</c:v>
                </c:pt>
                <c:pt idx="20">
                  <c:v>Key Client 16</c:v>
                </c:pt>
                <c:pt idx="21">
                  <c:v>Key Client 49</c:v>
                </c:pt>
                <c:pt idx="22">
                  <c:v>Key Client 8</c:v>
                </c:pt>
                <c:pt idx="23">
                  <c:v>Key Client 50</c:v>
                </c:pt>
                <c:pt idx="24">
                  <c:v>Key Client 41</c:v>
                </c:pt>
                <c:pt idx="25">
                  <c:v>Key Client 39</c:v>
                </c:pt>
                <c:pt idx="26">
                  <c:v>Key Client 44</c:v>
                </c:pt>
                <c:pt idx="27">
                  <c:v>Key Client 3</c:v>
                </c:pt>
                <c:pt idx="28">
                  <c:v>Key Client 36</c:v>
                </c:pt>
                <c:pt idx="29">
                  <c:v>Key Client 59</c:v>
                </c:pt>
                <c:pt idx="30">
                  <c:v>Key Client 31</c:v>
                </c:pt>
                <c:pt idx="31">
                  <c:v>Key Client 1</c:v>
                </c:pt>
                <c:pt idx="32">
                  <c:v>Key Client 42</c:v>
                </c:pt>
                <c:pt idx="33">
                  <c:v>Key Client 12</c:v>
                </c:pt>
                <c:pt idx="34">
                  <c:v>Key Client 48</c:v>
                </c:pt>
                <c:pt idx="35">
                  <c:v>Key Client 25</c:v>
                </c:pt>
                <c:pt idx="36">
                  <c:v>Key Client 9</c:v>
                </c:pt>
                <c:pt idx="37">
                  <c:v>Key Client 2</c:v>
                </c:pt>
                <c:pt idx="38">
                  <c:v>Key Client 35</c:v>
                </c:pt>
                <c:pt idx="39">
                  <c:v>Key Client 53</c:v>
                </c:pt>
                <c:pt idx="40">
                  <c:v>Key Client 20</c:v>
                </c:pt>
                <c:pt idx="41">
                  <c:v>Key Client 7</c:v>
                </c:pt>
                <c:pt idx="42">
                  <c:v>Key Client 52</c:v>
                </c:pt>
                <c:pt idx="43">
                  <c:v>Key Client 43</c:v>
                </c:pt>
                <c:pt idx="44">
                  <c:v>Key Client 13</c:v>
                </c:pt>
                <c:pt idx="45">
                  <c:v>Key Client 19</c:v>
                </c:pt>
                <c:pt idx="46">
                  <c:v>Key Client 22</c:v>
                </c:pt>
                <c:pt idx="47">
                  <c:v>Key Client 26</c:v>
                </c:pt>
                <c:pt idx="48">
                  <c:v>Key Client 32</c:v>
                </c:pt>
                <c:pt idx="49">
                  <c:v>Key Client 33</c:v>
                </c:pt>
                <c:pt idx="50">
                  <c:v>Key Client 21</c:v>
                </c:pt>
                <c:pt idx="51">
                  <c:v>Key Client 24</c:v>
                </c:pt>
                <c:pt idx="52">
                  <c:v>Key Client 27</c:v>
                </c:pt>
                <c:pt idx="53">
                  <c:v>Key Client 10</c:v>
                </c:pt>
                <c:pt idx="54">
                  <c:v>Key Client 56</c:v>
                </c:pt>
                <c:pt idx="55">
                  <c:v>Key Client 18</c:v>
                </c:pt>
                <c:pt idx="56">
                  <c:v>Key Client 40</c:v>
                </c:pt>
                <c:pt idx="57">
                  <c:v>Key Client 46</c:v>
                </c:pt>
                <c:pt idx="58">
                  <c:v>Key Client 45</c:v>
                </c:pt>
                <c:pt idx="59">
                  <c:v>Key Client 60</c:v>
                </c:pt>
              </c:strCache>
            </c:strRef>
          </c:cat>
          <c:val>
            <c:numRef>
              <c:f>'2'!$B$2:$B$61</c:f>
              <c:numCache>
                <c:formatCode>General</c:formatCode>
                <c:ptCount val="60"/>
                <c:pt idx="0">
                  <c:v>10997.34</c:v>
                </c:pt>
                <c:pt idx="1">
                  <c:v>21508.240000000002</c:v>
                </c:pt>
                <c:pt idx="2">
                  <c:v>24789.439999999999</c:v>
                </c:pt>
                <c:pt idx="3">
                  <c:v>34317.72</c:v>
                </c:pt>
                <c:pt idx="4">
                  <c:v>34805.730000000003</c:v>
                </c:pt>
                <c:pt idx="5">
                  <c:v>51727.85</c:v>
                </c:pt>
                <c:pt idx="6">
                  <c:v>80465.3</c:v>
                </c:pt>
                <c:pt idx="7">
                  <c:v>83253.98</c:v>
                </c:pt>
                <c:pt idx="8">
                  <c:v>121964.75</c:v>
                </c:pt>
                <c:pt idx="9">
                  <c:v>132245.17000000001</c:v>
                </c:pt>
                <c:pt idx="10">
                  <c:v>146329.85999999999</c:v>
                </c:pt>
                <c:pt idx="11">
                  <c:v>163684.32</c:v>
                </c:pt>
                <c:pt idx="12">
                  <c:v>184353.58</c:v>
                </c:pt>
                <c:pt idx="13">
                  <c:v>208081.12</c:v>
                </c:pt>
                <c:pt idx="14">
                  <c:v>236807.14</c:v>
                </c:pt>
                <c:pt idx="15">
                  <c:v>240222.12</c:v>
                </c:pt>
                <c:pt idx="16">
                  <c:v>263888.63</c:v>
                </c:pt>
                <c:pt idx="17">
                  <c:v>268375.48</c:v>
                </c:pt>
                <c:pt idx="18">
                  <c:v>280729.68</c:v>
                </c:pt>
                <c:pt idx="19">
                  <c:v>324298.13</c:v>
                </c:pt>
                <c:pt idx="20">
                  <c:v>334923.15999999997</c:v>
                </c:pt>
                <c:pt idx="21">
                  <c:v>346973.24</c:v>
                </c:pt>
                <c:pt idx="22">
                  <c:v>366615.12</c:v>
                </c:pt>
                <c:pt idx="23">
                  <c:v>376185.18</c:v>
                </c:pt>
                <c:pt idx="24">
                  <c:v>381738.78</c:v>
                </c:pt>
                <c:pt idx="25">
                  <c:v>384858.87</c:v>
                </c:pt>
                <c:pt idx="26">
                  <c:v>527885.79</c:v>
                </c:pt>
                <c:pt idx="27">
                  <c:v>536569.43999999994</c:v>
                </c:pt>
                <c:pt idx="28">
                  <c:v>539785.86</c:v>
                </c:pt>
                <c:pt idx="29">
                  <c:v>570321.25</c:v>
                </c:pt>
                <c:pt idx="30">
                  <c:v>572556.56999999995</c:v>
                </c:pt>
                <c:pt idx="31">
                  <c:v>613735.69999999995</c:v>
                </c:pt>
                <c:pt idx="32">
                  <c:v>653933.92000000004</c:v>
                </c:pt>
                <c:pt idx="33">
                  <c:v>663629.54</c:v>
                </c:pt>
                <c:pt idx="34">
                  <c:v>709124.86</c:v>
                </c:pt>
                <c:pt idx="35">
                  <c:v>751189.02</c:v>
                </c:pt>
                <c:pt idx="36">
                  <c:v>767787.52000000002</c:v>
                </c:pt>
                <c:pt idx="37">
                  <c:v>846055.88</c:v>
                </c:pt>
                <c:pt idx="38">
                  <c:v>851426.03</c:v>
                </c:pt>
                <c:pt idx="39">
                  <c:v>871676.36</c:v>
                </c:pt>
                <c:pt idx="40">
                  <c:v>880420.89</c:v>
                </c:pt>
                <c:pt idx="41">
                  <c:v>1077860.03</c:v>
                </c:pt>
                <c:pt idx="42">
                  <c:v>1116004.48</c:v>
                </c:pt>
                <c:pt idx="43">
                  <c:v>1379593.23</c:v>
                </c:pt>
                <c:pt idx="44">
                  <c:v>1875364.96</c:v>
                </c:pt>
                <c:pt idx="45">
                  <c:v>2062959.21</c:v>
                </c:pt>
                <c:pt idx="46">
                  <c:v>2152007.11</c:v>
                </c:pt>
                <c:pt idx="47">
                  <c:v>2338645.5</c:v>
                </c:pt>
                <c:pt idx="48">
                  <c:v>2448626.5699999998</c:v>
                </c:pt>
                <c:pt idx="49">
                  <c:v>3063712.63</c:v>
                </c:pt>
                <c:pt idx="50">
                  <c:v>3486773.51</c:v>
                </c:pt>
                <c:pt idx="51">
                  <c:v>3701107.69</c:v>
                </c:pt>
                <c:pt idx="52">
                  <c:v>3714062.42</c:v>
                </c:pt>
                <c:pt idx="53">
                  <c:v>4698859.9400000004</c:v>
                </c:pt>
                <c:pt idx="54">
                  <c:v>5444614.7999999998</c:v>
                </c:pt>
                <c:pt idx="55">
                  <c:v>5563490.1399999997</c:v>
                </c:pt>
                <c:pt idx="56">
                  <c:v>5654245.1900000004</c:v>
                </c:pt>
                <c:pt idx="57">
                  <c:v>8817583.9299999997</c:v>
                </c:pt>
                <c:pt idx="58">
                  <c:v>9428403.5399999991</c:v>
                </c:pt>
                <c:pt idx="59">
                  <c:v>15680172.560000001</c:v>
                </c:pt>
              </c:numCache>
            </c:numRef>
          </c:val>
          <c:extLst>
            <c:ext xmlns:c16="http://schemas.microsoft.com/office/drawing/2014/chart" uri="{C3380CC4-5D6E-409C-BE32-E72D297353CC}">
              <c16:uniqueId val="{00000000-646D-4168-AF96-4F0F1218A30F}"/>
            </c:ext>
          </c:extLst>
        </c:ser>
        <c:dLbls>
          <c:showLegendKey val="0"/>
          <c:showVal val="0"/>
          <c:showCatName val="0"/>
          <c:showSerName val="0"/>
          <c:showPercent val="0"/>
          <c:showBubbleSize val="0"/>
        </c:dLbls>
        <c:gapWidth val="115"/>
        <c:overlap val="-20"/>
        <c:axId val="995765792"/>
        <c:axId val="995769392"/>
      </c:barChart>
      <c:catAx>
        <c:axId val="9957657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995769392"/>
        <c:crosses val="autoZero"/>
        <c:auto val="1"/>
        <c:lblAlgn val="ctr"/>
        <c:lblOffset val="100"/>
        <c:noMultiLvlLbl val="0"/>
      </c:catAx>
      <c:valAx>
        <c:axId val="9957693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5765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2710892388451445"/>
          <c:y val="7.4236629512220056E-2"/>
          <c:w val="0.81700218722659668"/>
          <c:h val="0.87098587883126199"/>
        </c:manualLayout>
      </c:layout>
      <c:barChart>
        <c:barDir val="bar"/>
        <c:grouping val="clustered"/>
        <c:varyColors val="0"/>
        <c:ser>
          <c:idx val="0"/>
          <c:order val="0"/>
          <c:tx>
            <c:strRef>
              <c:f>'4'!$D$1</c:f>
              <c:strCache>
                <c:ptCount val="1"/>
                <c:pt idx="0">
                  <c:v>Column3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'4'!$B$2:$B$301</c:f>
              <c:strCache>
                <c:ptCount val="15"/>
                <c:pt idx="0">
                  <c:v>ruta 259</c:v>
                </c:pt>
                <c:pt idx="1">
                  <c:v>ruta 20</c:v>
                </c:pt>
                <c:pt idx="2">
                  <c:v>ruta 78</c:v>
                </c:pt>
                <c:pt idx="3">
                  <c:v>ruta 148</c:v>
                </c:pt>
                <c:pt idx="4">
                  <c:v>ruta 210</c:v>
                </c:pt>
                <c:pt idx="5">
                  <c:v>ruta 31</c:v>
                </c:pt>
                <c:pt idx="6">
                  <c:v>ruta 144</c:v>
                </c:pt>
                <c:pt idx="7">
                  <c:v>ruta 181</c:v>
                </c:pt>
                <c:pt idx="8">
                  <c:v>ruta 158</c:v>
                </c:pt>
                <c:pt idx="9">
                  <c:v>ruta 25</c:v>
                </c:pt>
                <c:pt idx="10">
                  <c:v>ruta 172</c:v>
                </c:pt>
                <c:pt idx="11">
                  <c:v>ruta 285</c:v>
                </c:pt>
                <c:pt idx="12">
                  <c:v>ruta 42</c:v>
                </c:pt>
                <c:pt idx="13">
                  <c:v>ruta 34</c:v>
                </c:pt>
                <c:pt idx="14">
                  <c:v>ruta 140</c:v>
                </c:pt>
              </c:strCache>
            </c:strRef>
          </c:cat>
          <c:val>
            <c:numRef>
              <c:f>'4'!$D$2:$D$301</c:f>
              <c:numCache>
                <c:formatCode>General</c:formatCode>
                <c:ptCount val="15"/>
                <c:pt idx="0">
                  <c:v>1305.9000000000001</c:v>
                </c:pt>
                <c:pt idx="1">
                  <c:v>1337.51</c:v>
                </c:pt>
                <c:pt idx="2">
                  <c:v>1338.73</c:v>
                </c:pt>
                <c:pt idx="3">
                  <c:v>1348.45</c:v>
                </c:pt>
                <c:pt idx="4">
                  <c:v>1349.92</c:v>
                </c:pt>
                <c:pt idx="5">
                  <c:v>1358.9</c:v>
                </c:pt>
                <c:pt idx="6">
                  <c:v>1375.11</c:v>
                </c:pt>
                <c:pt idx="7">
                  <c:v>1404.85</c:v>
                </c:pt>
                <c:pt idx="8">
                  <c:v>1410.32</c:v>
                </c:pt>
                <c:pt idx="9">
                  <c:v>1438.5</c:v>
                </c:pt>
                <c:pt idx="10">
                  <c:v>1439.25</c:v>
                </c:pt>
                <c:pt idx="11">
                  <c:v>1450.72</c:v>
                </c:pt>
                <c:pt idx="12">
                  <c:v>1453.28</c:v>
                </c:pt>
                <c:pt idx="13">
                  <c:v>1465.16</c:v>
                </c:pt>
                <c:pt idx="14">
                  <c:v>1511.15</c:v>
                </c:pt>
              </c:numCache>
            </c:numRef>
          </c:val>
          <c:extLst>
            <c:ext xmlns:c16="http://schemas.microsoft.com/office/drawing/2014/chart" uri="{C3380CC4-5D6E-409C-BE32-E72D297353CC}">
              <c16:uniqueId val="{00000000-7E15-49F6-91C8-6367E61C7AFA}"/>
            </c:ext>
          </c:extLst>
        </c:ser>
        <c:dLbls>
          <c:showLegendKey val="0"/>
          <c:showVal val="0"/>
          <c:showCatName val="0"/>
          <c:showSerName val="0"/>
          <c:showPercent val="0"/>
          <c:showBubbleSize val="0"/>
        </c:dLbls>
        <c:gapWidth val="115"/>
        <c:overlap val="-20"/>
        <c:axId val="111228536"/>
        <c:axId val="111234296"/>
      </c:barChart>
      <c:catAx>
        <c:axId val="111228536"/>
        <c:scaling>
          <c:orientation val="minMax"/>
        </c:scaling>
        <c:delete val="0"/>
        <c:axPos val="l"/>
        <c:numFmt formatCode="General" sourceLinked="1"/>
        <c:majorTickMark val="none"/>
        <c:minorTickMark val="none"/>
        <c:tickLblPos val="nextTo"/>
        <c:spPr>
          <a:noFill/>
          <a:ln w="12700" cap="flat" cmpd="sng" algn="ctr">
            <a:solidFill>
              <a:schemeClr val="accent1">
                <a:alpha val="65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111234296"/>
        <c:crosses val="autoZero"/>
        <c:auto val="1"/>
        <c:lblAlgn val="ctr"/>
        <c:lblOffset val="100"/>
        <c:noMultiLvlLbl val="0"/>
      </c:catAx>
      <c:valAx>
        <c:axId val="1112342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228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15 </a:t>
            </a:r>
            <a:r>
              <a:rPr lang="en-US" sz="1400" b="1" i="0" u="none" strike="noStrike" cap="none" baseline="0">
                <a:effectLst/>
              </a:rPr>
              <a:t>average margin (margin_eur) per route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'4'!$D$1</c:f>
              <c:strCache>
                <c:ptCount val="1"/>
                <c:pt idx="0">
                  <c:v>Column3</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'4'!$B$2:$B$301</c:f>
              <c:strCache>
                <c:ptCount val="15"/>
                <c:pt idx="0">
                  <c:v>ruta 259</c:v>
                </c:pt>
                <c:pt idx="1">
                  <c:v>ruta 20</c:v>
                </c:pt>
                <c:pt idx="2">
                  <c:v>ruta 78</c:v>
                </c:pt>
                <c:pt idx="3">
                  <c:v>ruta 148</c:v>
                </c:pt>
                <c:pt idx="4">
                  <c:v>ruta 210</c:v>
                </c:pt>
                <c:pt idx="5">
                  <c:v>ruta 31</c:v>
                </c:pt>
                <c:pt idx="6">
                  <c:v>ruta 144</c:v>
                </c:pt>
                <c:pt idx="7">
                  <c:v>ruta 181</c:v>
                </c:pt>
                <c:pt idx="8">
                  <c:v>ruta 158</c:v>
                </c:pt>
                <c:pt idx="9">
                  <c:v>ruta 25</c:v>
                </c:pt>
                <c:pt idx="10">
                  <c:v>ruta 172</c:v>
                </c:pt>
                <c:pt idx="11">
                  <c:v>ruta 285</c:v>
                </c:pt>
                <c:pt idx="12">
                  <c:v>ruta 42</c:v>
                </c:pt>
                <c:pt idx="13">
                  <c:v>ruta 34</c:v>
                </c:pt>
                <c:pt idx="14">
                  <c:v>ruta 140</c:v>
                </c:pt>
              </c:strCache>
            </c:strRef>
          </c:cat>
          <c:val>
            <c:numRef>
              <c:f>'4'!$D$2:$D$301</c:f>
              <c:numCache>
                <c:formatCode>General</c:formatCode>
                <c:ptCount val="15"/>
                <c:pt idx="0">
                  <c:v>1305.9000000000001</c:v>
                </c:pt>
                <c:pt idx="1">
                  <c:v>1337.51</c:v>
                </c:pt>
                <c:pt idx="2">
                  <c:v>1338.73</c:v>
                </c:pt>
                <c:pt idx="3">
                  <c:v>1348.45</c:v>
                </c:pt>
                <c:pt idx="4">
                  <c:v>1349.92</c:v>
                </c:pt>
                <c:pt idx="5">
                  <c:v>1358.9</c:v>
                </c:pt>
                <c:pt idx="6">
                  <c:v>1375.11</c:v>
                </c:pt>
                <c:pt idx="7">
                  <c:v>1404.85</c:v>
                </c:pt>
                <c:pt idx="8">
                  <c:v>1410.32</c:v>
                </c:pt>
                <c:pt idx="9">
                  <c:v>1438.5</c:v>
                </c:pt>
                <c:pt idx="10">
                  <c:v>1439.25</c:v>
                </c:pt>
                <c:pt idx="11">
                  <c:v>1450.72</c:v>
                </c:pt>
                <c:pt idx="12">
                  <c:v>1453.28</c:v>
                </c:pt>
                <c:pt idx="13">
                  <c:v>1465.16</c:v>
                </c:pt>
                <c:pt idx="14">
                  <c:v>1511.15</c:v>
                </c:pt>
              </c:numCache>
            </c:numRef>
          </c:val>
          <c:extLst>
            <c:ext xmlns:c16="http://schemas.microsoft.com/office/drawing/2014/chart" uri="{C3380CC4-5D6E-409C-BE32-E72D297353CC}">
              <c16:uniqueId val="{00000000-C9BF-4749-A97C-DD5643752EA3}"/>
            </c:ext>
          </c:extLst>
        </c:ser>
        <c:dLbls>
          <c:showLegendKey val="0"/>
          <c:showVal val="0"/>
          <c:showCatName val="0"/>
          <c:showSerName val="0"/>
          <c:showPercent val="0"/>
          <c:showBubbleSize val="0"/>
        </c:dLbls>
        <c:gapWidth val="182"/>
        <c:overlap val="-50"/>
        <c:axId val="1270118752"/>
        <c:axId val="1270115872"/>
      </c:barChart>
      <c:catAx>
        <c:axId val="127011875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0115872"/>
        <c:crosses val="autoZero"/>
        <c:auto val="1"/>
        <c:lblAlgn val="ctr"/>
        <c:lblOffset val="100"/>
        <c:noMultiLvlLbl val="0"/>
      </c:catAx>
      <c:valAx>
        <c:axId val="127011587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011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[KEY ACOUNT QUERIES RESULTS AND VISUALS.xlsx]6!PivotTable1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total margin per region within each industry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'6'!$F$3:$F$5</c:f>
              <c:strCache>
                <c:ptCount val="2"/>
                <c:pt idx="0">
                  <c:v>Europe</c:v>
                </c:pt>
                <c:pt idx="1">
                  <c:v>Middle East</c:v>
                </c:pt>
              </c:strCache>
            </c:strRef>
          </c:cat>
          <c:val>
            <c:numRef>
              <c:f>'6'!$G$3:$G$5</c:f>
              <c:numCache>
                <c:formatCode>#,##0.00</c:formatCode>
                <c:ptCount val="2"/>
                <c:pt idx="0">
                  <c:v>6651939.2200000007</c:v>
                </c:pt>
                <c:pt idx="1">
                  <c:v>8877833.8000000007</c:v>
                </c:pt>
              </c:numCache>
            </c:numRef>
          </c:val>
          <c:extLst>
            <c:ext xmlns:c16="http://schemas.microsoft.com/office/drawing/2014/chart" uri="{C3380CC4-5D6E-409C-BE32-E72D297353CC}">
              <c16:uniqueId val="{00000000-7164-41FC-BAB1-59DB2AED27F0}"/>
            </c:ext>
          </c:extLst>
        </c:ser>
        <c:dLbls>
          <c:showLegendKey val="0"/>
          <c:showVal val="0"/>
          <c:showCatName val="0"/>
          <c:showSerName val="0"/>
          <c:showPercent val="0"/>
          <c:showBubbleSize val="0"/>
        </c:dLbls>
        <c:gapWidth val="219"/>
        <c:overlap val="-27"/>
        <c:axId val="1270075912"/>
        <c:axId val="1270078072"/>
      </c:barChart>
      <c:catAx>
        <c:axId val="1270075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078072"/>
        <c:crosses val="autoZero"/>
        <c:auto val="1"/>
        <c:lblAlgn val="ctr"/>
        <c:lblOffset val="100"/>
        <c:noMultiLvlLbl val="0"/>
      </c:catAx>
      <c:valAx>
        <c:axId val="1270078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075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REVENUE FROM 2023 - 2024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'8'!$D$1</c:f>
              <c:strCache>
                <c:ptCount val="1"/>
                <c:pt idx="0">
                  <c:v>AVERAGE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'8'!$C$2:$C$25</c:f>
              <c:strCache>
                <c:ptCount val="24"/>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strCache>
            </c:strRef>
          </c:cat>
          <c:val>
            <c:numRef>
              <c:f>'8'!$D$2:$D$25</c:f>
              <c:numCache>
                <c:formatCode>General</c:formatCode>
                <c:ptCount val="24"/>
                <c:pt idx="0">
                  <c:v>2302.29</c:v>
                </c:pt>
                <c:pt idx="1">
                  <c:v>2344.9299999999998</c:v>
                </c:pt>
                <c:pt idx="2">
                  <c:v>2308.33</c:v>
                </c:pt>
                <c:pt idx="3">
                  <c:v>2323.04</c:v>
                </c:pt>
                <c:pt idx="4">
                  <c:v>2202.61</c:v>
                </c:pt>
                <c:pt idx="5">
                  <c:v>2186.0500000000002</c:v>
                </c:pt>
                <c:pt idx="6">
                  <c:v>2309.06</c:v>
                </c:pt>
                <c:pt idx="7">
                  <c:v>2277.29</c:v>
                </c:pt>
                <c:pt idx="8">
                  <c:v>2233.81</c:v>
                </c:pt>
                <c:pt idx="9">
                  <c:v>2255.27</c:v>
                </c:pt>
                <c:pt idx="10">
                  <c:v>2288.36</c:v>
                </c:pt>
                <c:pt idx="11">
                  <c:v>2244.19</c:v>
                </c:pt>
                <c:pt idx="12">
                  <c:v>2577.9699999999998</c:v>
                </c:pt>
                <c:pt idx="13">
                  <c:v>2489.52</c:v>
                </c:pt>
                <c:pt idx="14">
                  <c:v>2413.5300000000002</c:v>
                </c:pt>
                <c:pt idx="15">
                  <c:v>2464.7800000000002</c:v>
                </c:pt>
                <c:pt idx="16">
                  <c:v>2445.15</c:v>
                </c:pt>
                <c:pt idx="17">
                  <c:v>2439.19</c:v>
                </c:pt>
                <c:pt idx="18">
                  <c:v>2361.39</c:v>
                </c:pt>
                <c:pt idx="19">
                  <c:v>2542.5100000000002</c:v>
                </c:pt>
                <c:pt idx="20">
                  <c:v>2376.61</c:v>
                </c:pt>
                <c:pt idx="21">
                  <c:v>2527.38</c:v>
                </c:pt>
                <c:pt idx="22">
                  <c:v>2403.8200000000002</c:v>
                </c:pt>
                <c:pt idx="23">
                  <c:v>2422.3200000000002</c:v>
                </c:pt>
              </c:numCache>
            </c:numRef>
          </c:val>
          <c:smooth val="0"/>
          <c:extLst>
            <c:ext xmlns:c16="http://schemas.microsoft.com/office/drawing/2014/chart" uri="{C3380CC4-5D6E-409C-BE32-E72D297353CC}">
              <c16:uniqueId val="{00000000-CEFC-4A1E-B8E7-C3C9609A2956}"/>
            </c:ext>
          </c:extLst>
        </c:ser>
        <c:dLbls>
          <c:showLegendKey val="0"/>
          <c:showVal val="0"/>
          <c:showCatName val="0"/>
          <c:showSerName val="0"/>
          <c:showPercent val="0"/>
          <c:showBubbleSize val="0"/>
        </c:dLbls>
        <c:smooth val="0"/>
        <c:axId val="1270136392"/>
        <c:axId val="1270077712"/>
      </c:lineChart>
      <c:catAx>
        <c:axId val="12701363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077712"/>
        <c:crosses val="autoZero"/>
        <c:auto val="1"/>
        <c:lblAlgn val="ctr"/>
        <c:lblOffset val="100"/>
        <c:noMultiLvlLbl val="0"/>
      </c:catAx>
      <c:valAx>
        <c:axId val="12700777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136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[KEY ACOUNT QUERIES RESULTS AND VISUALS.xlsx]10 pivot!PivotTable2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800"/>
              <a:t>Total KM</a:t>
            </a:r>
          </a:p>
        </c:rich>
      </c:tx>
      <c:layout>
        <c:manualLayout>
          <c:xMode val="edge"/>
          <c:yMode val="edge"/>
          <c:x val="0.33141604823360943"/>
          <c:y val="6.11676649968210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'10 pivot'!$B$3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'10 pivot'!$A$4:$A$13</c:f>
              <c:strCache>
                <c:ptCount val="9"/>
                <c:pt idx="0">
                  <c:v>41</c:v>
                </c:pt>
                <c:pt idx="1">
                  <c:v>116</c:v>
                </c:pt>
                <c:pt idx="2">
                  <c:v>69</c:v>
                </c:pt>
                <c:pt idx="3">
                  <c:v>226</c:v>
                </c:pt>
                <c:pt idx="4">
                  <c:v>94</c:v>
                </c:pt>
                <c:pt idx="5">
                  <c:v>204</c:v>
                </c:pt>
                <c:pt idx="6">
                  <c:v>126</c:v>
                </c:pt>
                <c:pt idx="7">
                  <c:v>264</c:v>
                </c:pt>
                <c:pt idx="8">
                  <c:v>172</c:v>
                </c:pt>
              </c:strCache>
            </c:strRef>
          </c:cat>
          <c:val>
            <c:numRef>
              <c:f>'10 pivot'!$B$4:$B$13</c:f>
              <c:numCache>
                <c:formatCode>General</c:formatCode>
                <c:ptCount val="9"/>
                <c:pt idx="0">
                  <c:v>740</c:v>
                </c:pt>
                <c:pt idx="1">
                  <c:v>944</c:v>
                </c:pt>
                <c:pt idx="2">
                  <c:v>1654</c:v>
                </c:pt>
                <c:pt idx="3">
                  <c:v>1675</c:v>
                </c:pt>
                <c:pt idx="4">
                  <c:v>1793</c:v>
                </c:pt>
                <c:pt idx="5">
                  <c:v>1798</c:v>
                </c:pt>
                <c:pt idx="6">
                  <c:v>2305</c:v>
                </c:pt>
                <c:pt idx="7">
                  <c:v>2768</c:v>
                </c:pt>
                <c:pt idx="8">
                  <c:v>3278</c:v>
                </c:pt>
              </c:numCache>
            </c:numRef>
          </c:val>
          <c:extLst>
            <c:ext xmlns:c16="http://schemas.microsoft.com/office/drawing/2014/chart" uri="{C3380CC4-5D6E-409C-BE32-E72D297353CC}">
              <c16:uniqueId val="{00000000-7E79-48D6-AC70-0D17A8BCDDC3}"/>
            </c:ext>
          </c:extLst>
        </c:ser>
        <c:dLbls>
          <c:dLblPos val="inEnd"/>
          <c:showLegendKey val="0"/>
          <c:showVal val="1"/>
          <c:showCatName val="0"/>
          <c:showSerName val="0"/>
          <c:showPercent val="0"/>
          <c:showBubbleSize val="0"/>
        </c:dLbls>
        <c:gapWidth val="65"/>
        <c:axId val="1508800136"/>
        <c:axId val="1508805176"/>
      </c:barChart>
      <c:catAx>
        <c:axId val="15088001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08805176"/>
        <c:crosses val="autoZero"/>
        <c:auto val="1"/>
        <c:lblAlgn val="ctr"/>
        <c:lblOffset val="100"/>
        <c:noMultiLvlLbl val="0"/>
      </c:catAx>
      <c:valAx>
        <c:axId val="150880517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088001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5524759405074365"/>
          <c:y val="0.16245370370370371"/>
          <c:w val="0.83215489368176809"/>
          <c:h val="0.6323228346456693"/>
        </c:manualLayout>
      </c:layout>
      <c:lineChart>
        <c:grouping val="standard"/>
        <c:varyColors val="0"/>
        <c:ser>
          <c:idx val="0"/>
          <c:order val="0"/>
          <c:tx>
            <c:strRef>
              <c:f>'12'!$E$1</c:f>
              <c:strCache>
                <c:ptCount val="1"/>
                <c:pt idx="0">
                  <c:v>CUMULATIVE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dLbl>
              <c:idx val="0"/>
              <c:layout>
                <c:manualLayout>
                  <c:x val="-4.2941492216854553E-2"/>
                  <c:y val="-0.1738836410436878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666666666666667"/>
                      <c:h val="0.17381351764500833"/>
                    </c:manualLayout>
                  </c15:layout>
                </c:ext>
                <c:ext xmlns:c16="http://schemas.microsoft.com/office/drawing/2014/chart" uri="{C3380CC4-5D6E-409C-BE32-E72D297353CC}">
                  <c16:uniqueId val="{00000001-AE76-4052-AB4F-4AEAD6B8582E}"/>
                </c:ext>
              </c:extLst>
            </c:dLbl>
            <c:dLbl>
              <c:idx val="23"/>
              <c:layout>
                <c:manualLayout>
                  <c:x val="-2.147074610842727E-2"/>
                  <c:y val="-7.9892568732957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76-4052-AB4F-4AEAD6B858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'12'!$C$2:$C$25</c:f>
              <c:strCache>
                <c:ptCount val="24"/>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strCache>
            </c:strRef>
          </c:cat>
          <c:val>
            <c:numRef>
              <c:f>'12'!$E$2:$E$25</c:f>
              <c:numCache>
                <c:formatCode>#,##0.00</c:formatCode>
                <c:ptCount val="24"/>
                <c:pt idx="0">
                  <c:v>3322210.09</c:v>
                </c:pt>
                <c:pt idx="1">
                  <c:v>6820848.3899999997</c:v>
                </c:pt>
                <c:pt idx="2">
                  <c:v>11100486.27</c:v>
                </c:pt>
                <c:pt idx="3">
                  <c:v>15702433.390000001</c:v>
                </c:pt>
                <c:pt idx="4">
                  <c:v>19841137.370000001</c:v>
                </c:pt>
                <c:pt idx="5">
                  <c:v>23907193.640000001</c:v>
                </c:pt>
                <c:pt idx="6">
                  <c:v>28225141.780000001</c:v>
                </c:pt>
                <c:pt idx="7">
                  <c:v>30759760.07</c:v>
                </c:pt>
                <c:pt idx="8">
                  <c:v>34675623.240000002</c:v>
                </c:pt>
                <c:pt idx="9">
                  <c:v>39091450.140000001</c:v>
                </c:pt>
                <c:pt idx="10">
                  <c:v>43299735.560000002</c:v>
                </c:pt>
                <c:pt idx="11">
                  <c:v>47206862.479999997</c:v>
                </c:pt>
                <c:pt idx="12">
                  <c:v>50924292.039999999</c:v>
                </c:pt>
                <c:pt idx="13">
                  <c:v>54949852.859999999</c:v>
                </c:pt>
                <c:pt idx="14">
                  <c:v>59528327.850000001</c:v>
                </c:pt>
                <c:pt idx="15">
                  <c:v>63960007.189999998</c:v>
                </c:pt>
                <c:pt idx="16">
                  <c:v>68703592.950000003</c:v>
                </c:pt>
                <c:pt idx="17">
                  <c:v>73308784.040000007</c:v>
                </c:pt>
                <c:pt idx="18">
                  <c:v>77939473.599999994</c:v>
                </c:pt>
                <c:pt idx="19">
                  <c:v>80700634.980000004</c:v>
                </c:pt>
                <c:pt idx="20">
                  <c:v>85199563.439999998</c:v>
                </c:pt>
                <c:pt idx="21">
                  <c:v>90097623.950000003</c:v>
                </c:pt>
                <c:pt idx="22">
                  <c:v>94511040.739999995</c:v>
                </c:pt>
                <c:pt idx="23">
                  <c:v>99164325.980000004</c:v>
                </c:pt>
              </c:numCache>
            </c:numRef>
          </c:val>
          <c:smooth val="0"/>
          <c:extLst>
            <c:ext xmlns:c16="http://schemas.microsoft.com/office/drawing/2014/chart" uri="{C3380CC4-5D6E-409C-BE32-E72D297353CC}">
              <c16:uniqueId val="{00000000-AE76-4052-AB4F-4AEAD6B8582E}"/>
            </c:ext>
          </c:extLst>
        </c:ser>
        <c:dLbls>
          <c:showLegendKey val="0"/>
          <c:showVal val="0"/>
          <c:showCatName val="0"/>
          <c:showSerName val="0"/>
          <c:showPercent val="0"/>
          <c:showBubbleSize val="0"/>
        </c:dLbls>
        <c:smooth val="0"/>
        <c:axId val="1270083472"/>
        <c:axId val="1270087792"/>
      </c:lineChart>
      <c:catAx>
        <c:axId val="127008347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087792"/>
        <c:crosses val="autoZero"/>
        <c:auto val="1"/>
        <c:lblAlgn val="ctr"/>
        <c:lblOffset val="100"/>
        <c:noMultiLvlLbl val="0"/>
      </c:catAx>
      <c:valAx>
        <c:axId val="127008779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08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'12'!$D$1</c:f>
              <c:strCache>
                <c:ptCount val="1"/>
                <c:pt idx="0">
                  <c:v>TOTAL REVENUE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dLbl>
              <c:idx val="14"/>
              <c:layout>
                <c:manualLayout>
                  <c:x val="-1.1713378760337156E-2"/>
                  <c:y val="-1.40986885999336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24-4818-9DAB-8E5815A98603}"/>
                </c:ext>
              </c:extLst>
            </c:dLbl>
            <c:dLbl>
              <c:idx val="16"/>
              <c:layout>
                <c:manualLayout>
                  <c:x val="1.6733398229053079E-3"/>
                  <c:y val="-1.87982514665781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24-4818-9DAB-8E5815A98603}"/>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'12'!$C$2:$C$25</c:f>
              <c:strCache>
                <c:ptCount val="24"/>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strCache>
            </c:strRef>
          </c:cat>
          <c:val>
            <c:numRef>
              <c:f>'12'!$D$2:$D$25</c:f>
              <c:numCache>
                <c:formatCode>#,##0.00</c:formatCode>
                <c:ptCount val="24"/>
                <c:pt idx="0">
                  <c:v>3322210.09</c:v>
                </c:pt>
                <c:pt idx="1">
                  <c:v>3498638.3</c:v>
                </c:pt>
                <c:pt idx="2">
                  <c:v>4279637.88</c:v>
                </c:pt>
                <c:pt idx="3">
                  <c:v>4601947.12</c:v>
                </c:pt>
                <c:pt idx="4">
                  <c:v>4138703.98</c:v>
                </c:pt>
                <c:pt idx="5">
                  <c:v>4066056.27</c:v>
                </c:pt>
                <c:pt idx="6">
                  <c:v>4317948.1399999997</c:v>
                </c:pt>
                <c:pt idx="7">
                  <c:v>2534618.29</c:v>
                </c:pt>
                <c:pt idx="8">
                  <c:v>3915863.17</c:v>
                </c:pt>
                <c:pt idx="9">
                  <c:v>4415826.9000000004</c:v>
                </c:pt>
                <c:pt idx="10">
                  <c:v>4208285.42</c:v>
                </c:pt>
                <c:pt idx="11">
                  <c:v>3907126.92</c:v>
                </c:pt>
                <c:pt idx="12">
                  <c:v>3717429.56</c:v>
                </c:pt>
                <c:pt idx="13">
                  <c:v>4025560.82</c:v>
                </c:pt>
                <c:pt idx="14">
                  <c:v>4578474.99</c:v>
                </c:pt>
                <c:pt idx="15">
                  <c:v>4431679.34</c:v>
                </c:pt>
                <c:pt idx="16">
                  <c:v>4743585.76</c:v>
                </c:pt>
                <c:pt idx="17">
                  <c:v>4605191.09</c:v>
                </c:pt>
                <c:pt idx="18">
                  <c:v>4630689.5599999996</c:v>
                </c:pt>
                <c:pt idx="19">
                  <c:v>2761161.38</c:v>
                </c:pt>
                <c:pt idx="20">
                  <c:v>4498928.46</c:v>
                </c:pt>
                <c:pt idx="21">
                  <c:v>4898060.51</c:v>
                </c:pt>
                <c:pt idx="22">
                  <c:v>4413416.79</c:v>
                </c:pt>
                <c:pt idx="23">
                  <c:v>4653285.24</c:v>
                </c:pt>
              </c:numCache>
            </c:numRef>
          </c:val>
          <c:extLst>
            <c:ext xmlns:c16="http://schemas.microsoft.com/office/drawing/2014/chart" uri="{C3380CC4-5D6E-409C-BE32-E72D297353CC}">
              <c16:uniqueId val="{00000000-E424-4818-9DAB-8E5815A98603}"/>
            </c:ext>
          </c:extLst>
        </c:ser>
        <c:dLbls>
          <c:showLegendKey val="0"/>
          <c:showVal val="0"/>
          <c:showCatName val="0"/>
          <c:showSerName val="0"/>
          <c:showPercent val="0"/>
          <c:showBubbleSize val="0"/>
        </c:dLbls>
        <c:gapWidth val="315"/>
        <c:overlap val="-40"/>
        <c:axId val="1270077352"/>
        <c:axId val="1270068712"/>
      </c:barChart>
      <c:catAx>
        <c:axId val="12700773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0068712"/>
        <c:crosses val="autoZero"/>
        <c:auto val="1"/>
        <c:lblAlgn val="ctr"/>
        <c:lblOffset val="100"/>
        <c:noMultiLvlLbl val="0"/>
      </c:catAx>
      <c:valAx>
        <c:axId val="12700687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0077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Revenue TY and LY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7125959940151164E-2"/>
          <c:y val="0.13164572513542191"/>
          <c:w val="0.90716090550726747"/>
          <c:h val="0.70587100016753224"/>
        </c:manualLayout>
      </c:layout>
      <c:barChart>
        <c:barDir val="col"/>
        <c:grouping val="clustered"/>
        <c:varyColors val="0"/>
        <c:ser>
          <c:idx val="0"/>
          <c:order val="0"/>
          <c:tx>
            <c:strRef>
              <c:f>'13'!$D$1</c:f>
              <c:strCache>
                <c:ptCount val="1"/>
                <c:pt idx="0">
                  <c:v>TotalRevenueTY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4"/>
              <c:layout>
                <c:manualLayout>
                  <c:x val="9.6424254572179714E-3"/>
                  <c:y val="-1.70212765957446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47D-43AA-9BA2-0EA39049A6F6}"/>
                </c:ext>
              </c:extLst>
            </c:dLbl>
            <c:dLbl>
              <c:idx val="5"/>
              <c:layout>
                <c:manualLayout>
                  <c:x val="4.821212728608971E-3"/>
                  <c:y val="-5.3900709219858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47D-43AA-9BA2-0EA39049A6F6}"/>
                </c:ext>
              </c:extLst>
            </c:dLbl>
            <c:dLbl>
              <c:idx val="6"/>
              <c:layout>
                <c:manualLayout>
                  <c:x val="2.2498992733508669E-2"/>
                  <c:y val="-4.82269503546099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7D-43AA-9BA2-0EA39049A6F6}"/>
                </c:ext>
              </c:extLst>
            </c:dLbl>
            <c:dLbl>
              <c:idx val="16"/>
              <c:layout>
                <c:manualLayout>
                  <c:x val="-1.2856567276290668E-2"/>
                  <c:y val="-3.40425531914893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7D-43AA-9BA2-0EA39049A6F6}"/>
                </c:ext>
              </c:extLst>
            </c:dLbl>
            <c:dLbl>
              <c:idx val="18"/>
              <c:layout>
                <c:manualLayout>
                  <c:x val="3.2141418190725492E-3"/>
                  <c:y val="-3.12056737588652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7D-43AA-9BA2-0EA39049A6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'13'!$C$2:$C$25</c:f>
              <c:strCache>
                <c:ptCount val="24"/>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strCache>
            </c:strRef>
          </c:cat>
          <c:val>
            <c:numRef>
              <c:f>'13'!$D$2:$D$25</c:f>
              <c:numCache>
                <c:formatCode>General</c:formatCode>
                <c:ptCount val="24"/>
                <c:pt idx="0">
                  <c:v>3322210.09</c:v>
                </c:pt>
                <c:pt idx="1">
                  <c:v>3498638.3</c:v>
                </c:pt>
                <c:pt idx="2">
                  <c:v>4279637.88</c:v>
                </c:pt>
                <c:pt idx="3">
                  <c:v>4601947.12</c:v>
                </c:pt>
                <c:pt idx="4">
                  <c:v>4138703.98</c:v>
                </c:pt>
                <c:pt idx="5">
                  <c:v>4066056.27</c:v>
                </c:pt>
                <c:pt idx="6">
                  <c:v>4317948.1399999997</c:v>
                </c:pt>
                <c:pt idx="7">
                  <c:v>2534618.29</c:v>
                </c:pt>
                <c:pt idx="8">
                  <c:v>3915863.17</c:v>
                </c:pt>
                <c:pt idx="9">
                  <c:v>4415826.9000000004</c:v>
                </c:pt>
                <c:pt idx="10">
                  <c:v>4208285.42</c:v>
                </c:pt>
                <c:pt idx="11">
                  <c:v>3907126.92</c:v>
                </c:pt>
                <c:pt idx="12">
                  <c:v>3717429.56</c:v>
                </c:pt>
                <c:pt idx="13">
                  <c:v>4025560.82</c:v>
                </c:pt>
                <c:pt idx="14">
                  <c:v>4578474.99</c:v>
                </c:pt>
                <c:pt idx="15">
                  <c:v>4431679.34</c:v>
                </c:pt>
                <c:pt idx="16">
                  <c:v>4743585.76</c:v>
                </c:pt>
                <c:pt idx="17">
                  <c:v>4605191.09</c:v>
                </c:pt>
                <c:pt idx="18">
                  <c:v>4630689.5599999996</c:v>
                </c:pt>
                <c:pt idx="19">
                  <c:v>2761161.38</c:v>
                </c:pt>
                <c:pt idx="20">
                  <c:v>4498928.46</c:v>
                </c:pt>
                <c:pt idx="21">
                  <c:v>4898060.51</c:v>
                </c:pt>
                <c:pt idx="22">
                  <c:v>4413416.79</c:v>
                </c:pt>
                <c:pt idx="23">
                  <c:v>4653285.24</c:v>
                </c:pt>
              </c:numCache>
            </c:numRef>
          </c:val>
          <c:extLst>
            <c:ext xmlns:c16="http://schemas.microsoft.com/office/drawing/2014/chart" uri="{C3380CC4-5D6E-409C-BE32-E72D297353CC}">
              <c16:uniqueId val="{00000000-D47D-43AA-9BA2-0EA39049A6F6}"/>
            </c:ext>
          </c:extLst>
        </c:ser>
        <c:ser>
          <c:idx val="1"/>
          <c:order val="1"/>
          <c:tx>
            <c:strRef>
              <c:f>'13'!$E$1</c:f>
              <c:strCache>
                <c:ptCount val="1"/>
                <c:pt idx="0">
                  <c:v>TotalRevenueLY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'13'!$C$2:$C$25</c:f>
              <c:strCache>
                <c:ptCount val="24"/>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strCache>
            </c:strRef>
          </c:cat>
          <c:val>
            <c:numRef>
              <c:f>'13'!$E$2:$E$25</c:f>
              <c:numCache>
                <c:formatCode>General</c:formatCode>
                <c:ptCount val="24"/>
                <c:pt idx="12">
                  <c:v>3322210.09</c:v>
                </c:pt>
                <c:pt idx="13">
                  <c:v>3498638.3</c:v>
                </c:pt>
                <c:pt idx="14">
                  <c:v>4279637.88</c:v>
                </c:pt>
                <c:pt idx="15">
                  <c:v>4601947.12</c:v>
                </c:pt>
                <c:pt idx="16">
                  <c:v>4138703.98</c:v>
                </c:pt>
                <c:pt idx="17">
                  <c:v>4066056.27</c:v>
                </c:pt>
                <c:pt idx="18">
                  <c:v>4317948.1399999997</c:v>
                </c:pt>
                <c:pt idx="19">
                  <c:v>2534618.29</c:v>
                </c:pt>
                <c:pt idx="20">
                  <c:v>3915863.17</c:v>
                </c:pt>
                <c:pt idx="21">
                  <c:v>4415826.9000000004</c:v>
                </c:pt>
                <c:pt idx="22">
                  <c:v>4208285.42</c:v>
                </c:pt>
                <c:pt idx="23">
                  <c:v>3907126.92</c:v>
                </c:pt>
              </c:numCache>
            </c:numRef>
          </c:val>
          <c:extLst>
            <c:ext xmlns:c16="http://schemas.microsoft.com/office/drawing/2014/chart" uri="{C3380CC4-5D6E-409C-BE32-E72D297353CC}">
              <c16:uniqueId val="{00000001-D47D-43AA-9BA2-0EA39049A6F6}"/>
            </c:ext>
          </c:extLst>
        </c:ser>
        <c:dLbls>
          <c:showLegendKey val="0"/>
          <c:showVal val="0"/>
          <c:showCatName val="0"/>
          <c:showSerName val="0"/>
          <c:showPercent val="0"/>
          <c:showBubbleSize val="0"/>
        </c:dLbls>
        <c:gapWidth val="100"/>
        <c:overlap val="-24"/>
        <c:axId val="1270079152"/>
        <c:axId val="1270084192"/>
      </c:barChart>
      <c:catAx>
        <c:axId val="12700791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084192"/>
        <c:crosses val="autoZero"/>
        <c:auto val="1"/>
        <c:lblAlgn val="ctr"/>
        <c:lblOffset val="100"/>
        <c:noMultiLvlLbl val="0"/>
      </c:catAx>
      <c:valAx>
        <c:axId val="12700841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079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2097003499562554"/>
          <c:y val="0.13630269786306445"/>
          <c:w val="0.84569663167104114"/>
          <c:h val="0.77736111111111106"/>
        </c:manualLayout>
      </c:layout>
      <c:barChart>
        <c:barDir val="col"/>
        <c:grouping val="clustered"/>
        <c:varyColors val="0"/>
        <c:ser>
          <c:idx val="0"/>
          <c:order val="0"/>
          <c:tx>
            <c:strRef>
              <c:f>'13'!$F$1</c:f>
              <c:strCache>
                <c:ptCount val="1"/>
                <c:pt idx="0">
                  <c:v>YoY_RevenueGrowth</c:v>
                </c:pt>
              </c:strCache>
            </c:strRef>
          </c:tx>
          <c:spPr>
            <a:solidFill>
              <a:srgbClr val="2E75B6"/>
            </a:solidFill>
            <a:ln>
              <a:noFill/>
            </a:ln>
            <a:effectLst>
              <a:outerShdw blurRad="57150" dist="19050" dir="5400000" algn="ctr" rotWithShape="0">
                <a:srgbClr val="000000">
                  <a:alpha val="63000"/>
                </a:srgbClr>
              </a:outerShdw>
            </a:effectLst>
          </c:spPr>
          <c:invertIfNegative val="1"/>
          <c:dLbls>
            <c:dLbl>
              <c:idx val="15"/>
              <c:layout>
                <c:manualLayout>
                  <c:x val="-1.0185067526415994E-16"/>
                  <c:y val="-4.268308872434865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9277777777777775E-2"/>
                      <c:h val="9.8106861229086614E-2"/>
                    </c:manualLayout>
                  </c15:layout>
                </c:ext>
                <c:ext xmlns:c16="http://schemas.microsoft.com/office/drawing/2014/chart" uri="{C3380CC4-5D6E-409C-BE32-E72D297353CC}">
                  <c16:uniqueId val="{00000001-7824-415A-ACCF-35C153DEE8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'13'!$C$2:$C$25</c:f>
              <c:strCache>
                <c:ptCount val="24"/>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strCache>
            </c:strRef>
          </c:cat>
          <c:val>
            <c:numRef>
              <c:f>'13'!$F$2:$F$25</c:f>
              <c:numCache>
                <c:formatCode>0.00%</c:formatCode>
                <c:ptCount val="24"/>
                <c:pt idx="12">
                  <c:v>0.12</c:v>
                </c:pt>
                <c:pt idx="13">
                  <c:v>0.15</c:v>
                </c:pt>
                <c:pt idx="14">
                  <c:v>7.0000000000000007E-2</c:v>
                </c:pt>
                <c:pt idx="15">
                  <c:v>-0.04</c:v>
                </c:pt>
                <c:pt idx="16">
                  <c:v>0.15</c:v>
                </c:pt>
                <c:pt idx="17">
                  <c:v>0.13</c:v>
                </c:pt>
                <c:pt idx="18">
                  <c:v>7.0000000000000007E-2</c:v>
                </c:pt>
                <c:pt idx="19">
                  <c:v>0.09</c:v>
                </c:pt>
                <c:pt idx="20">
                  <c:v>0.15</c:v>
                </c:pt>
                <c:pt idx="21">
                  <c:v>0.11</c:v>
                </c:pt>
                <c:pt idx="22">
                  <c:v>0.05</c:v>
                </c:pt>
                <c:pt idx="23">
                  <c:v>0.19</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a:outerShdw blurRad="57150" dist="19050" dir="5400000" algn="ctr" rotWithShape="0">
                      <a:srgbClr val="000000">
                        <a:alpha val="63000"/>
                      </a:srgbClr>
                    </a:outerShdw>
                  </a:effectLst>
                </c14:spPr>
              </c14:invertSolidFillFmt>
            </c:ext>
            <c:ext xmlns:c16="http://schemas.microsoft.com/office/drawing/2014/chart" uri="{C3380CC4-5D6E-409C-BE32-E72D297353CC}">
              <c16:uniqueId val="{00000000-7824-415A-ACCF-35C153DEE88F}"/>
            </c:ext>
          </c:extLst>
        </c:ser>
        <c:dLbls>
          <c:showLegendKey val="0"/>
          <c:showVal val="0"/>
          <c:showCatName val="0"/>
          <c:showSerName val="0"/>
          <c:showPercent val="0"/>
          <c:showBubbleSize val="0"/>
        </c:dLbls>
        <c:gapWidth val="100"/>
        <c:overlap val="-24"/>
        <c:axId val="1270090672"/>
        <c:axId val="1270091032"/>
      </c:barChart>
      <c:catAx>
        <c:axId val="1270090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091032"/>
        <c:crosses val="autoZero"/>
        <c:auto val="1"/>
        <c:lblAlgn val="ctr"/>
        <c:lblOffset val="100"/>
        <c:noMultiLvlLbl val="0"/>
      </c:catAx>
      <c:valAx>
        <c:axId val="127009103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09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MoM growth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7.6229567078082025E-2"/>
          <c:y val="0.12628406142166937"/>
          <c:w val="0.9025895702712986"/>
          <c:h val="0.85831503940691689"/>
        </c:manualLayout>
      </c:layout>
      <c:areaChart>
        <c:grouping val="stacked"/>
        <c:varyColors val="0"/>
        <c:ser>
          <c:idx val="0"/>
          <c:order val="0"/>
          <c:spPr>
            <a:solidFill>
              <a:schemeClr val="bg1"/>
            </a:solidFill>
            <a:ln>
              <a:noFill/>
            </a:ln>
            <a:effectLst>
              <a:outerShdw blurRad="57150" dist="19050" dir="5400000" algn="ctr" rotWithShape="0">
                <a:srgbClr val="000000">
                  <a:alpha val="63000"/>
                </a:srgbClr>
              </a:outerShdw>
            </a:effectLst>
          </c:spPr>
          <c:dLbls>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'13'!$C$2:$C$25</c:f>
              <c:strCache>
                <c:ptCount val="24"/>
                <c:pt idx="0">
                  <c:v>2023-1</c:v>
                </c:pt>
                <c:pt idx="1">
                  <c:v>2023-2</c:v>
                </c:pt>
                <c:pt idx="2">
                  <c:v>2023-3</c:v>
                </c:pt>
                <c:pt idx="3">
                  <c:v>2023-4</c:v>
                </c:pt>
                <c:pt idx="4">
                  <c:v>2023-5</c:v>
                </c:pt>
                <c:pt idx="5">
                  <c:v>2023-6</c:v>
                </c:pt>
                <c:pt idx="6">
                  <c:v>2023-7</c:v>
                </c:pt>
                <c:pt idx="7">
                  <c:v>2023-8</c:v>
                </c:pt>
                <c:pt idx="8">
                  <c:v>2023-9</c:v>
                </c:pt>
                <c:pt idx="9">
                  <c:v>2023-10</c:v>
                </c:pt>
                <c:pt idx="10">
                  <c:v>2023-11</c:v>
                </c:pt>
                <c:pt idx="11">
                  <c:v>2023-12</c:v>
                </c:pt>
                <c:pt idx="12">
                  <c:v>2024-1</c:v>
                </c:pt>
                <c:pt idx="13">
                  <c:v>2024-2</c:v>
                </c:pt>
                <c:pt idx="14">
                  <c:v>2024-3</c:v>
                </c:pt>
                <c:pt idx="15">
                  <c:v>2024-4</c:v>
                </c:pt>
                <c:pt idx="16">
                  <c:v>2024-5</c:v>
                </c:pt>
                <c:pt idx="17">
                  <c:v>2024-6</c:v>
                </c:pt>
                <c:pt idx="18">
                  <c:v>2024-7</c:v>
                </c:pt>
                <c:pt idx="19">
                  <c:v>2024-8</c:v>
                </c:pt>
                <c:pt idx="20">
                  <c:v>2024-9</c:v>
                </c:pt>
                <c:pt idx="21">
                  <c:v>2024-10</c:v>
                </c:pt>
                <c:pt idx="22">
                  <c:v>2024-11</c:v>
                </c:pt>
                <c:pt idx="23">
                  <c:v>2024-12</c:v>
                </c:pt>
              </c:strCache>
            </c:strRef>
          </c:cat>
          <c:val>
            <c:numRef>
              <c:f>'13'!$H$2:$H$25</c:f>
              <c:numCache>
                <c:formatCode>0.00%</c:formatCode>
                <c:ptCount val="24"/>
                <c:pt idx="1">
                  <c:v>0.05</c:v>
                </c:pt>
                <c:pt idx="2">
                  <c:v>0.22</c:v>
                </c:pt>
                <c:pt idx="3">
                  <c:v>0.08</c:v>
                </c:pt>
                <c:pt idx="4">
                  <c:v>-0.1</c:v>
                </c:pt>
                <c:pt idx="5">
                  <c:v>-0.02</c:v>
                </c:pt>
                <c:pt idx="6">
                  <c:v>0.06</c:v>
                </c:pt>
                <c:pt idx="7">
                  <c:v>-0.41</c:v>
                </c:pt>
                <c:pt idx="8">
                  <c:v>0.54</c:v>
                </c:pt>
                <c:pt idx="9">
                  <c:v>0.13</c:v>
                </c:pt>
                <c:pt idx="10">
                  <c:v>-0.05</c:v>
                </c:pt>
                <c:pt idx="11">
                  <c:v>-7.0000000000000007E-2</c:v>
                </c:pt>
                <c:pt idx="12">
                  <c:v>-0.05</c:v>
                </c:pt>
                <c:pt idx="13">
                  <c:v>0.08</c:v>
                </c:pt>
                <c:pt idx="14">
                  <c:v>0.14000000000000001</c:v>
                </c:pt>
                <c:pt idx="15">
                  <c:v>-0.03</c:v>
                </c:pt>
                <c:pt idx="16">
                  <c:v>7.0000000000000007E-2</c:v>
                </c:pt>
                <c:pt idx="17">
                  <c:v>-0.03</c:v>
                </c:pt>
                <c:pt idx="18">
                  <c:v>0.01</c:v>
                </c:pt>
                <c:pt idx="19">
                  <c:v>-0.4</c:v>
                </c:pt>
                <c:pt idx="20">
                  <c:v>0.63</c:v>
                </c:pt>
                <c:pt idx="21">
                  <c:v>0.09</c:v>
                </c:pt>
                <c:pt idx="22">
                  <c:v>-0.1</c:v>
                </c:pt>
                <c:pt idx="23">
                  <c:v>0.05</c:v>
                </c:pt>
              </c:numCache>
            </c:numRef>
          </c:val>
          <c:extLst>
            <c:ext xmlns:c16="http://schemas.microsoft.com/office/drawing/2014/chart" uri="{C3380CC4-5D6E-409C-BE32-E72D297353CC}">
              <c16:uniqueId val="{00000000-1BD1-4A4E-BECB-C4EF1EF88C64}"/>
            </c:ext>
          </c:extLst>
        </c:ser>
        <c:dLbls>
          <c:showLegendKey val="0"/>
          <c:showVal val="0"/>
          <c:showCatName val="0"/>
          <c:showSerName val="0"/>
          <c:showPercent val="0"/>
          <c:showBubbleSize val="0"/>
        </c:dLbls>
        <c:axId val="1270092832"/>
        <c:axId val="1270093192"/>
      </c:areaChart>
      <c:catAx>
        <c:axId val="127009283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093192"/>
        <c:crosses val="autoZero"/>
        <c:auto val="1"/>
        <c:lblAlgn val="ctr"/>
        <c:lblOffset val="100"/>
        <c:noMultiLvlLbl val="0"/>
      </c:catAx>
      <c:valAx>
        <c:axId val="127009319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00928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1"/>
      </a:solid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latin typeface="Calibri" panose="020F0502020204030204"/>
                <a:ea typeface="Calibri" panose="020F0502020204030204" pitchFamily="34" charset="0"/>
                <a:cs typeface="Calibri" panose="020F0502020204030204" pitchFamily="34" charset="0"/>
              </a:rPr>
              <a:t>Clients with more than 100 shipments in 2024</a:t>
            </a:r>
            <a:endPar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endParaRPr>
          </a:p>
        </cx:rich>
      </cx:tx>
    </cx:title>
    <cx:plotArea>
      <cx:plotAreaRegion>
        <cx:series layoutId="treemap" uniqueId="{B16CEE20-ED22-40EC-ADA3-B2ABB8988E71}">
          <cx:tx>
            <cx:txData>
              <cx:f>_xlchart.v1.1</cx:f>
              <cx:v>Column3</cx:v>
            </cx:txData>
          </cx:tx>
          <cx:dataLabels pos="inEnd">
            <cx:numFmt formatCode="#,##0.00" sourceLinked="0"/>
            <cx:txPr>
              <a:bodyPr spcFirstLastPara="1" vertOverflow="ellipsis" horzOverflow="overflow" wrap="square" lIns="0" tIns="0" rIns="0" bIns="0" anchor="ctr" anchorCtr="1"/>
              <a:lstStyle/>
              <a:p>
                <a:pPr algn="ctr" rtl="0">
                  <a:defRPr sz="600"/>
                </a:pPr>
                <a:endParaRPr lang="en-US" sz="600" b="0" i="0" u="none" strike="noStrike" baseline="0">
                  <a:solidFill>
                    <a:sysClr val="window" lastClr="FFFFFF">
                      <a:lumMod val="95000"/>
                    </a:sysClr>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600075</xdr:colOff>
      <xdr:row>1</xdr:row>
      <xdr:rowOff>6350</xdr:rowOff>
    </xdr:from>
    <xdr:to>
      <xdr:col>10</xdr:col>
      <xdr:colOff>295275</xdr:colOff>
      <xdr:row>31</xdr:row>
      <xdr:rowOff>171450</xdr:rowOff>
    </xdr:to>
    <xdr:graphicFrame macro="">
      <xdr:nvGraphicFramePr>
        <xdr:cNvPr id="2" name="Chart 1">
          <a:extLst>
            <a:ext uri="{FF2B5EF4-FFF2-40B4-BE49-F238E27FC236}">
              <a16:creationId xmlns:a16="http://schemas.microsoft.com/office/drawing/2014/main" id="{BE1388B6-364D-CA73-6D61-F1D9ECD74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238124</xdr:colOff>
      <xdr:row>1</xdr:row>
      <xdr:rowOff>31750</xdr:rowOff>
    </xdr:from>
    <xdr:to>
      <xdr:col>12</xdr:col>
      <xdr:colOff>438149</xdr:colOff>
      <xdr:row>22</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715A668-C132-1A26-59D7-81846F20D9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05074" y="215900"/>
              <a:ext cx="5686425" cy="3835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168275</xdr:colOff>
      <xdr:row>1</xdr:row>
      <xdr:rowOff>101600</xdr:rowOff>
    </xdr:from>
    <xdr:to>
      <xdr:col>12</xdr:col>
      <xdr:colOff>473075</xdr:colOff>
      <xdr:row>30</xdr:row>
      <xdr:rowOff>139700</xdr:rowOff>
    </xdr:to>
    <xdr:graphicFrame macro="">
      <xdr:nvGraphicFramePr>
        <xdr:cNvPr id="8" name="Chart 7">
          <a:extLst>
            <a:ext uri="{FF2B5EF4-FFF2-40B4-BE49-F238E27FC236}">
              <a16:creationId xmlns:a16="http://schemas.microsoft.com/office/drawing/2014/main" id="{1D6E0C98-7C2A-F870-06A7-C7AEC60DD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49892</xdr:colOff>
      <xdr:row>286</xdr:row>
      <xdr:rowOff>93434</xdr:rowOff>
    </xdr:from>
    <xdr:to>
      <xdr:col>15</xdr:col>
      <xdr:colOff>344713</xdr:colOff>
      <xdr:row>310</xdr:row>
      <xdr:rowOff>145143</xdr:rowOff>
    </xdr:to>
    <xdr:graphicFrame macro="">
      <xdr:nvGraphicFramePr>
        <xdr:cNvPr id="9" name="Chart 8">
          <a:extLst>
            <a:ext uri="{FF2B5EF4-FFF2-40B4-BE49-F238E27FC236}">
              <a16:creationId xmlns:a16="http://schemas.microsoft.com/office/drawing/2014/main" id="{2BF4616A-9992-8D81-0176-8ABAAB830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857250</xdr:colOff>
      <xdr:row>6</xdr:row>
      <xdr:rowOff>95250</xdr:rowOff>
    </xdr:from>
    <xdr:to>
      <xdr:col>12</xdr:col>
      <xdr:colOff>495300</xdr:colOff>
      <xdr:row>21</xdr:row>
      <xdr:rowOff>76200</xdr:rowOff>
    </xdr:to>
    <xdr:graphicFrame macro="">
      <xdr:nvGraphicFramePr>
        <xdr:cNvPr id="2" name="Chart 1">
          <a:extLst>
            <a:ext uri="{FF2B5EF4-FFF2-40B4-BE49-F238E27FC236}">
              <a16:creationId xmlns:a16="http://schemas.microsoft.com/office/drawing/2014/main" id="{BFF5EA7F-67E5-14EC-99AD-2B1512B27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139700</xdr:colOff>
      <xdr:row>7</xdr:row>
      <xdr:rowOff>38100</xdr:rowOff>
    </xdr:from>
    <xdr:to>
      <xdr:col>5</xdr:col>
      <xdr:colOff>749300</xdr:colOff>
      <xdr:row>20</xdr:row>
      <xdr:rowOff>168275</xdr:rowOff>
    </xdr:to>
    <mc:AlternateContent xmlns:mc="http://schemas.openxmlformats.org/markup-compatibility/2006">
      <mc:Choice xmlns:a14="http://schemas.microsoft.com/office/drawing/2010/main" Requires="a14">
        <xdr:graphicFrame macro="">
          <xdr:nvGraphicFramePr>
            <xdr:cNvPr id="3" name="Column1">
              <a:extLst>
                <a:ext uri="{FF2B5EF4-FFF2-40B4-BE49-F238E27FC236}">
                  <a16:creationId xmlns:a16="http://schemas.microsoft.com/office/drawing/2014/main" id="{8E49E899-D595-FF26-8631-C3F282DF29C8}"/>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2702112" y="1345453"/>
              <a:ext cx="1834776" cy="2558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250824</xdr:colOff>
      <xdr:row>2</xdr:row>
      <xdr:rowOff>38100</xdr:rowOff>
    </xdr:from>
    <xdr:to>
      <xdr:col>13</xdr:col>
      <xdr:colOff>12699</xdr:colOff>
      <xdr:row>19</xdr:row>
      <xdr:rowOff>139700</xdr:rowOff>
    </xdr:to>
    <xdr:graphicFrame macro="">
      <xdr:nvGraphicFramePr>
        <xdr:cNvPr id="3" name="Chart 2">
          <a:extLst>
            <a:ext uri="{FF2B5EF4-FFF2-40B4-BE49-F238E27FC236}">
              <a16:creationId xmlns:a16="http://schemas.microsoft.com/office/drawing/2014/main" id="{E0489942-E743-79B4-5980-D7977FFCA2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415017</xdr:colOff>
      <xdr:row>2</xdr:row>
      <xdr:rowOff>12700</xdr:rowOff>
    </xdr:from>
    <xdr:to>
      <xdr:col>13</xdr:col>
      <xdr:colOff>110217</xdr:colOff>
      <xdr:row>25</xdr:row>
      <xdr:rowOff>154214</xdr:rowOff>
    </xdr:to>
    <xdr:graphicFrame macro="">
      <xdr:nvGraphicFramePr>
        <xdr:cNvPr id="2" name="Chart 1">
          <a:extLst>
            <a:ext uri="{FF2B5EF4-FFF2-40B4-BE49-F238E27FC236}">
              <a16:creationId xmlns:a16="http://schemas.microsoft.com/office/drawing/2014/main" id="{FCFE1FCE-05AC-5612-7597-26DA91B34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241300</xdr:colOff>
      <xdr:row>1</xdr:row>
      <xdr:rowOff>177801</xdr:rowOff>
    </xdr:from>
    <xdr:to>
      <xdr:col>5</xdr:col>
      <xdr:colOff>241300</xdr:colOff>
      <xdr:row>22</xdr:row>
      <xdr:rowOff>127001</xdr:rowOff>
    </xdr:to>
    <mc:AlternateContent xmlns:mc="http://schemas.openxmlformats.org/markup-compatibility/2006">
      <mc:Choice xmlns:a14="http://schemas.microsoft.com/office/drawing/2010/main" Requires="a14">
        <xdr:graphicFrame macro="">
          <xdr:nvGraphicFramePr>
            <xdr:cNvPr id="3" name="origin">
              <a:extLst>
                <a:ext uri="{FF2B5EF4-FFF2-40B4-BE49-F238E27FC236}">
                  <a16:creationId xmlns:a16="http://schemas.microsoft.com/office/drawing/2014/main" id="{99B9B98B-4065-9C2F-DBC5-454E1B15DB03}"/>
                </a:ext>
              </a:extLst>
            </xdr:cNvPr>
            <xdr:cNvGraphicFramePr/>
          </xdr:nvGraphicFramePr>
          <xdr:xfrm>
            <a:off x="0" y="0"/>
            <a:ext cx="0" cy="0"/>
          </xdr:xfrm>
          <a:graphic>
            <a:graphicData uri="http://schemas.microsoft.com/office/drawing/2010/slicer">
              <sle:slicer xmlns:sle="http://schemas.microsoft.com/office/drawing/2010/slicer" name="origin"/>
            </a:graphicData>
          </a:graphic>
        </xdr:graphicFrame>
      </mc:Choice>
      <mc:Fallback>
        <xdr:sp macro="" textlink="">
          <xdr:nvSpPr>
            <xdr:cNvPr id="0" name=""/>
            <xdr:cNvSpPr>
              <a:spLocks noTextEdit="1"/>
            </xdr:cNvSpPr>
          </xdr:nvSpPr>
          <xdr:spPr>
            <a:xfrm>
              <a:off x="2182586" y="359230"/>
              <a:ext cx="1823357" cy="43851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292099</xdr:colOff>
      <xdr:row>1</xdr:row>
      <xdr:rowOff>140607</xdr:rowOff>
    </xdr:from>
    <xdr:to>
      <xdr:col>16</xdr:col>
      <xdr:colOff>297542</xdr:colOff>
      <xdr:row>22</xdr:row>
      <xdr:rowOff>117929</xdr:rowOff>
    </xdr:to>
    <mc:AlternateContent xmlns:mc="http://schemas.openxmlformats.org/markup-compatibility/2006">
      <mc:Choice xmlns:a14="http://schemas.microsoft.com/office/drawing/2010/main" Requires="a14">
        <xdr:graphicFrame macro="">
          <xdr:nvGraphicFramePr>
            <xdr:cNvPr id="4" name="destination">
              <a:extLst>
                <a:ext uri="{FF2B5EF4-FFF2-40B4-BE49-F238E27FC236}">
                  <a16:creationId xmlns:a16="http://schemas.microsoft.com/office/drawing/2014/main" id="{C10D976D-EAF7-A87D-B1F2-62287983FD42}"/>
                </a:ext>
              </a:extLst>
            </xdr:cNvPr>
            <xdr:cNvGraphicFramePr/>
          </xdr:nvGraphicFramePr>
          <xdr:xfrm>
            <a:off x="0" y="0"/>
            <a:ext cx="0" cy="0"/>
          </xdr:xfrm>
          <a:graphic>
            <a:graphicData uri="http://schemas.microsoft.com/office/drawing/2010/slicer">
              <sle:slicer xmlns:sle="http://schemas.microsoft.com/office/drawing/2010/slicer" name="destination"/>
            </a:graphicData>
          </a:graphic>
        </xdr:graphicFrame>
      </mc:Choice>
      <mc:Fallback>
        <xdr:sp macro="" textlink="">
          <xdr:nvSpPr>
            <xdr:cNvPr id="0" name=""/>
            <xdr:cNvSpPr>
              <a:spLocks noTextEdit="1"/>
            </xdr:cNvSpPr>
          </xdr:nvSpPr>
          <xdr:spPr>
            <a:xfrm>
              <a:off x="8919028" y="322036"/>
              <a:ext cx="1828800" cy="4413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139700</xdr:colOff>
      <xdr:row>2</xdr:row>
      <xdr:rowOff>69850</xdr:rowOff>
    </xdr:from>
    <xdr:to>
      <xdr:col>16</xdr:col>
      <xdr:colOff>265546</xdr:colOff>
      <xdr:row>33</xdr:row>
      <xdr:rowOff>101600</xdr:rowOff>
    </xdr:to>
    <mc:AlternateContent xmlns:mc="http://schemas.openxmlformats.org/markup-compatibility/2006">
      <mc:Choice xmlns:a14="http://schemas.microsoft.com/office/drawing/2010/main" Requires="a14">
        <xdr:graphicFrame macro="">
          <xdr:nvGraphicFramePr>
            <xdr:cNvPr id="2" name="client rank in industry">
              <a:extLst>
                <a:ext uri="{FF2B5EF4-FFF2-40B4-BE49-F238E27FC236}">
                  <a16:creationId xmlns:a16="http://schemas.microsoft.com/office/drawing/2014/main" id="{E3EC9B74-593E-B0D9-7D98-2877EA0997F0}"/>
                </a:ext>
              </a:extLst>
            </xdr:cNvPr>
            <xdr:cNvGraphicFramePr/>
          </xdr:nvGraphicFramePr>
          <xdr:xfrm>
            <a:off x="0" y="0"/>
            <a:ext cx="0" cy="0"/>
          </xdr:xfrm>
          <a:graphic>
            <a:graphicData uri="http://schemas.microsoft.com/office/drawing/2010/slicer">
              <sle:slicer xmlns:sle="http://schemas.microsoft.com/office/drawing/2010/slicer" name="client rank in industry"/>
            </a:graphicData>
          </a:graphic>
        </xdr:graphicFrame>
      </mc:Choice>
      <mc:Fallback>
        <xdr:sp macro="" textlink="">
          <xdr:nvSpPr>
            <xdr:cNvPr id="0" name=""/>
            <xdr:cNvSpPr>
              <a:spLocks noTextEdit="1"/>
            </xdr:cNvSpPr>
          </xdr:nvSpPr>
          <xdr:spPr>
            <a:xfrm>
              <a:off x="10853882" y="439305"/>
              <a:ext cx="2573482" cy="5758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561974</xdr:colOff>
      <xdr:row>0</xdr:row>
      <xdr:rowOff>171450</xdr:rowOff>
    </xdr:from>
    <xdr:to>
      <xdr:col>18</xdr:col>
      <xdr:colOff>244928</xdr:colOff>
      <xdr:row>15</xdr:row>
      <xdr:rowOff>152400</xdr:rowOff>
    </xdr:to>
    <xdr:graphicFrame macro="">
      <xdr:nvGraphicFramePr>
        <xdr:cNvPr id="3" name="Chart 2">
          <a:extLst>
            <a:ext uri="{FF2B5EF4-FFF2-40B4-BE49-F238E27FC236}">
              <a16:creationId xmlns:a16="http://schemas.microsoft.com/office/drawing/2014/main" id="{EB93A362-FC34-7B73-0066-749523B29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290287</xdr:colOff>
      <xdr:row>16</xdr:row>
      <xdr:rowOff>69850</xdr:rowOff>
    </xdr:from>
    <xdr:to>
      <xdr:col>18</xdr:col>
      <xdr:colOff>263072</xdr:colOff>
      <xdr:row>31</xdr:row>
      <xdr:rowOff>50800</xdr:rowOff>
    </xdr:to>
    <xdr:graphicFrame macro="">
      <xdr:nvGraphicFramePr>
        <xdr:cNvPr id="4" name="Chart 3">
          <a:extLst>
            <a:ext uri="{FF2B5EF4-FFF2-40B4-BE49-F238E27FC236}">
              <a16:creationId xmlns:a16="http://schemas.microsoft.com/office/drawing/2014/main" id="{6339B9B9-9302-AA71-95E4-E56EFEC6CB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9071</xdr:colOff>
      <xdr:row>42</xdr:row>
      <xdr:rowOff>88899</xdr:rowOff>
    </xdr:from>
    <xdr:to>
      <xdr:col>8</xdr:col>
      <xdr:colOff>209097</xdr:colOff>
      <xdr:row>66</xdr:row>
      <xdr:rowOff>143328</xdr:rowOff>
    </xdr:to>
    <xdr:graphicFrame macro="">
      <xdr:nvGraphicFramePr>
        <xdr:cNvPr id="2" name="Chart 1">
          <a:extLst>
            <a:ext uri="{FF2B5EF4-FFF2-40B4-BE49-F238E27FC236}">
              <a16:creationId xmlns:a16="http://schemas.microsoft.com/office/drawing/2014/main" id="{7E6792AF-F9D7-ED42-614B-1E6A7F001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18143</xdr:colOff>
      <xdr:row>25</xdr:row>
      <xdr:rowOff>45357</xdr:rowOff>
    </xdr:from>
    <xdr:to>
      <xdr:col>8</xdr:col>
      <xdr:colOff>204106</xdr:colOff>
      <xdr:row>41</xdr:row>
      <xdr:rowOff>117929</xdr:rowOff>
    </xdr:to>
    <xdr:graphicFrame macro="">
      <xdr:nvGraphicFramePr>
        <xdr:cNvPr id="3" name="Chart 2">
          <a:extLst>
            <a:ext uri="{FF2B5EF4-FFF2-40B4-BE49-F238E27FC236}">
              <a16:creationId xmlns:a16="http://schemas.microsoft.com/office/drawing/2014/main" id="{9D6FE1CC-D9FF-59DE-5ACC-213AC5434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727364</xdr:colOff>
      <xdr:row>67</xdr:row>
      <xdr:rowOff>158172</xdr:rowOff>
    </xdr:from>
    <xdr:to>
      <xdr:col>8</xdr:col>
      <xdr:colOff>288637</xdr:colOff>
      <xdr:row>92</xdr:row>
      <xdr:rowOff>69271</xdr:rowOff>
    </xdr:to>
    <xdr:graphicFrame macro="">
      <xdr:nvGraphicFramePr>
        <xdr:cNvPr id="4" name="Chart 3">
          <a:extLst>
            <a:ext uri="{FF2B5EF4-FFF2-40B4-BE49-F238E27FC236}">
              <a16:creationId xmlns:a16="http://schemas.microsoft.com/office/drawing/2014/main" id="{20B31A55-1E12-EDB0-9D9B-FA61159AA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Andriana Kuzmanovic" refreshedDate="46069.618492824076" createdVersion="8" refreshedVersion="8" minRefreshableVersion="3" recordCount="10" xr:uid="{2EF5EC74-0403-487B-8C22-71509E045EF8}">
  <cacheSource type="worksheet">
    <worksheetSource name="ka_res_6"/>
  </cacheSource>
  <cacheFields count="3">
    <cacheField name="Column1" numFmtId="0">
      <sharedItems count="5">
        <s v="Automotive"/>
        <s v="FMCG"/>
        <s v="Industrial"/>
        <s v="Pharma"/>
        <s v="Retail"/>
      </sharedItems>
    </cacheField>
    <cacheField name="Column2" numFmtId="0">
      <sharedItems count="2">
        <s v="Middle East"/>
        <s v="Europe"/>
      </sharedItems>
    </cacheField>
    <cacheField name="Column3" numFmtId="0">
      <sharedItems containsSemiMixedTypes="0" containsString="0" containsNumber="1" minValue="625103.02" maxValue="3579536.72"/>
    </cacheField>
  </cacheFields>
  <extLst>
    <ext xmlns:x14="http://schemas.microsoft.com/office/spreadsheetml/2009/9/main" uri="{725AE2AE-9491-48be-B2B4-4EB974FC3084}">
      <x14:pivotCacheDefinition pivotCacheId="8445105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Andriana Kuzmanovic" refreshedDate="46069.634137384259" createdVersion="8" refreshedVersion="8" minRefreshableVersion="3" recordCount="300" xr:uid="{22188EDA-B35A-4508-A544-CB7EDDD7E56B}">
  <cacheSource type="worksheet">
    <worksheetSource name="ka_res_10"/>
  </cacheSource>
  <cacheFields count="4">
    <cacheField name="Column1" numFmtId="0">
      <sharedItems containsSemiMixedTypes="0" containsString="0" containsNumber="1" containsInteger="1" minValue="1" maxValue="300" count="300">
        <n v="42"/>
        <n v="34"/>
        <n v="140"/>
        <n v="285"/>
        <n v="172"/>
        <n v="158"/>
        <n v="210"/>
        <n v="25"/>
        <n v="181"/>
        <n v="78"/>
        <n v="144"/>
        <n v="20"/>
        <n v="148"/>
        <n v="31"/>
        <n v="102"/>
        <n v="27"/>
        <n v="259"/>
        <n v="182"/>
        <n v="119"/>
        <n v="257"/>
        <n v="264"/>
        <n v="97"/>
        <n v="170"/>
        <n v="231"/>
        <n v="168"/>
        <n v="272"/>
        <n v="147"/>
        <n v="28"/>
        <n v="133"/>
        <n v="120"/>
        <n v="228"/>
        <n v="49"/>
        <n v="286"/>
        <n v="105"/>
        <n v="60"/>
        <n v="174"/>
        <n v="129"/>
        <n v="233"/>
        <n v="126"/>
        <n v="248"/>
        <n v="70"/>
        <n v="234"/>
        <n v="258"/>
        <n v="218"/>
        <n v="83"/>
        <n v="65"/>
        <n v="289"/>
        <n v="80"/>
        <n v="136"/>
        <n v="16"/>
        <n v="139"/>
        <n v="203"/>
        <n v="199"/>
        <n v="14"/>
        <n v="171"/>
        <n v="204"/>
        <n v="220"/>
        <n v="53"/>
        <n v="94"/>
        <n v="277"/>
        <n v="261"/>
        <n v="159"/>
        <n v="173"/>
        <n v="115"/>
        <n v="24"/>
        <n v="223"/>
        <n v="245"/>
        <n v="66"/>
        <n v="86"/>
        <n v="26"/>
        <n v="36"/>
        <n v="221"/>
        <n v="101"/>
        <n v="104"/>
        <n v="87"/>
        <n v="161"/>
        <n v="146"/>
        <n v="9"/>
        <n v="279"/>
        <n v="226"/>
        <n v="84"/>
        <n v="256"/>
        <n v="69"/>
        <n v="271"/>
        <n v="118"/>
        <n v="280"/>
        <n v="227"/>
        <n v="88"/>
        <n v="281"/>
        <n v="121"/>
        <n v="164"/>
        <n v="100"/>
        <n v="1"/>
        <n v="91"/>
        <n v="246"/>
        <n v="61"/>
        <n v="179"/>
        <n v="62"/>
        <n v="90"/>
        <n v="183"/>
        <n v="216"/>
        <n v="50"/>
        <n v="191"/>
        <n v="152"/>
        <n v="12"/>
        <n v="241"/>
        <n v="238"/>
        <n v="130"/>
        <n v="132"/>
        <n v="64"/>
        <n v="263"/>
        <n v="262"/>
        <n v="201"/>
        <n v="114"/>
        <n v="127"/>
        <n v="22"/>
        <n v="239"/>
        <n v="156"/>
        <n v="59"/>
        <n v="212"/>
        <n v="10"/>
        <n v="188"/>
        <n v="219"/>
        <n v="128"/>
        <n v="162"/>
        <n v="55"/>
        <n v="291"/>
        <n v="93"/>
        <n v="207"/>
        <n v="189"/>
        <n v="154"/>
        <n v="215"/>
        <n v="230"/>
        <n v="253"/>
        <n v="137"/>
        <n v="177"/>
        <n v="19"/>
        <n v="175"/>
        <n v="138"/>
        <n v="193"/>
        <n v="205"/>
        <n v="211"/>
        <n v="266"/>
        <n v="153"/>
        <n v="276"/>
        <n v="297"/>
        <n v="54"/>
        <n v="122"/>
        <n v="77"/>
        <n v="30"/>
        <n v="292"/>
        <n v="300"/>
        <n v="229"/>
        <n v="131"/>
        <n v="274"/>
        <n v="217"/>
        <n v="37"/>
        <n v="13"/>
        <n v="294"/>
        <n v="275"/>
        <n v="267"/>
        <n v="284"/>
        <n v="110"/>
        <n v="225"/>
        <n v="150"/>
        <n v="151"/>
        <n v="75"/>
        <n v="46"/>
        <n v="98"/>
        <n v="57"/>
        <n v="186"/>
        <n v="81"/>
        <n v="79"/>
        <n v="196"/>
        <n v="134"/>
        <n v="63"/>
        <n v="48"/>
        <n v="82"/>
        <n v="273"/>
        <n v="165"/>
        <n v="38"/>
        <n v="236"/>
        <n v="43"/>
        <n v="251"/>
        <n v="192"/>
        <n v="109"/>
        <n v="116"/>
        <n v="224"/>
        <n v="197"/>
        <n v="180"/>
        <n v="167"/>
        <n v="71"/>
        <n v="255"/>
        <n v="296"/>
        <n v="39"/>
        <n v="32"/>
        <n v="76"/>
        <n v="4"/>
        <n v="99"/>
        <n v="111"/>
        <n v="85"/>
        <n v="163"/>
        <n v="214"/>
        <n v="124"/>
        <n v="51"/>
        <n v="155"/>
        <n v="298"/>
        <n v="288"/>
        <n v="5"/>
        <n v="95"/>
        <n v="265"/>
        <n v="200"/>
        <n v="198"/>
        <n v="254"/>
        <n v="73"/>
        <n v="18"/>
        <n v="240"/>
        <n v="107"/>
        <n v="6"/>
        <n v="29"/>
        <n v="242"/>
        <n v="103"/>
        <n v="135"/>
        <n v="17"/>
        <n v="41"/>
        <n v="117"/>
        <n v="113"/>
        <n v="222"/>
        <n v="184"/>
        <n v="23"/>
        <n v="268"/>
        <n v="290"/>
        <n v="295"/>
        <n v="176"/>
        <n v="92"/>
        <n v="213"/>
        <n v="96"/>
        <n v="187"/>
        <n v="145"/>
        <n v="35"/>
        <n v="169"/>
        <n v="40"/>
        <n v="143"/>
        <n v="185"/>
        <n v="123"/>
        <n v="293"/>
        <n v="125"/>
        <n v="7"/>
        <n v="260"/>
        <n v="209"/>
        <n v="208"/>
        <n v="56"/>
        <n v="232"/>
        <n v="160"/>
        <n v="195"/>
        <n v="166"/>
        <n v="2"/>
        <n v="142"/>
        <n v="287"/>
        <n v="178"/>
        <n v="8"/>
        <n v="44"/>
        <n v="74"/>
        <n v="282"/>
        <n v="270"/>
        <n v="47"/>
        <n v="269"/>
        <n v="45"/>
        <n v="11"/>
        <n v="72"/>
        <n v="58"/>
        <n v="202"/>
        <n v="299"/>
        <n v="89"/>
        <n v="244"/>
        <n v="252"/>
        <n v="67"/>
        <n v="206"/>
        <n v="249"/>
        <n v="112"/>
        <n v="235"/>
        <n v="149"/>
        <n v="283"/>
        <n v="247"/>
        <n v="106"/>
        <n v="278"/>
        <n v="141"/>
        <n v="68"/>
        <n v="52"/>
        <n v="108"/>
        <n v="250"/>
        <n v="15"/>
        <n v="21"/>
        <n v="3"/>
        <n v="237"/>
        <n v="194"/>
        <n v="157"/>
        <n v="243"/>
        <n v="33"/>
        <n v="190"/>
      </sharedItems>
    </cacheField>
    <cacheField name="origin" numFmtId="0">
      <sharedItems count="30">
        <s v="Atina"/>
        <s v="Ankara"/>
        <s v="Varsava"/>
        <s v="Frankfurt"/>
        <s v="Prag"/>
        <s v="Lion"/>
        <s v="Pariz"/>
        <s v="Sofija"/>
        <s v="Barselona"/>
        <s v="Budimpesta"/>
        <s v="Roterdam"/>
        <s v="Tel Aviv"/>
        <s v="Torino"/>
        <s v="Dzeda"/>
        <s v="Beograd"/>
        <s v="Rijad"/>
        <s v="Zagreb"/>
        <s v="Dubai"/>
        <s v="Milano"/>
        <s v="Doha"/>
        <s v="Madrid"/>
        <s v="Ljubljana"/>
        <s v="Bukurest"/>
        <s v="Minhen"/>
        <s v="Novi Sad"/>
        <s v="Istanbul"/>
        <s v="Abu Dhabi"/>
        <s v="Viena�"/>
        <s v="Hamburg"/>
        <s v="Amsterdam"/>
      </sharedItems>
    </cacheField>
    <cacheField name="destination" numFmtId="0">
      <sharedItems count="30">
        <s v="Rijad"/>
        <s v="Tel Aviv"/>
        <s v="Abu Dhabi"/>
        <s v="Dzeda"/>
        <s v="Dubai"/>
        <s v="Doha"/>
        <s v="Sofija"/>
        <s v="Barselona"/>
        <s v="Hamburg"/>
        <s v="Madrid"/>
        <s v="Budimpesta"/>
        <s v="Amsterdam"/>
        <s v="Milano"/>
        <s v="Prag"/>
        <s v="Torino"/>
        <s v="Ankara"/>
        <s v="Istanbul"/>
        <s v="Viena�"/>
        <s v="Minhen"/>
        <s v="Lion"/>
        <s v="Roterdam"/>
        <s v="Bukurest"/>
        <s v="Atina"/>
        <s v="Pariz"/>
        <s v="Varsava"/>
        <s v="Frankfurt"/>
        <s v="Beograd"/>
        <s v="Ljubljana"/>
        <s v="Novi Sad"/>
        <s v="Zagreb"/>
      </sharedItems>
    </cacheField>
    <cacheField name="Column4" numFmtId="0">
      <sharedItems containsSemiMixedTypes="0" containsString="0" containsNumber="1" containsInteger="1" minValue="301" maxValue="3363"/>
    </cacheField>
  </cacheFields>
  <extLst>
    <ext xmlns:x14="http://schemas.microsoft.com/office/spreadsheetml/2009/9/main" uri="{725AE2AE-9491-48be-B2B4-4EB974FC3084}">
      <x14:pivotCacheDefinition pivotCacheId="118135040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e Andriana Kuzmanovic" refreshedDate="46069.640032523152" createdVersion="8" refreshedVersion="8" minRefreshableVersion="3" recordCount="60" xr:uid="{147E8FED-127B-4D72-AE3F-E7569CAAE97F}">
  <cacheSource type="worksheet">
    <worksheetSource name="ka_res_11"/>
  </cacheSource>
  <cacheFields count="4">
    <cacheField name="industry" numFmtId="0">
      <sharedItems count="5">
        <s v="Automotive"/>
        <s v="FMCG"/>
        <s v="Industrial"/>
        <s v="Pharma"/>
        <s v="Retail"/>
      </sharedItems>
    </cacheField>
    <cacheField name="client" numFmtId="0">
      <sharedItems count="60">
        <s v="Key Client 60"/>
        <s v="Key Client 45"/>
        <s v="Key Client 40"/>
        <s v="Key Client 24"/>
        <s v="Key Client 19"/>
        <s v="Key Client 20"/>
        <s v="Key Client 25"/>
        <s v="Key Client 42"/>
        <s v="Key Client 1"/>
        <s v="Key Client 37"/>
        <s v="Key Client 47"/>
        <s v="Key Client 23"/>
        <s v="Key Client 17"/>
        <s v="Key Client 46"/>
        <s v="Key Client 18"/>
        <s v="Key Client 21"/>
        <s v="Key Client 9"/>
        <s v="Key Client 48"/>
        <s v="Key Client 31"/>
        <s v="Key Client 39"/>
        <s v="Key Client 49"/>
        <s v="Key Client 55"/>
        <s v="Key Client 28"/>
        <s v="Key Client 29"/>
        <s v="Key Client 4"/>
        <s v="Key Client 10"/>
        <s v="Key Client 26"/>
        <s v="Key Client 13"/>
        <s v="Key Client 52"/>
        <s v="Key Client 36"/>
        <s v="Key Client 3"/>
        <s v="Key Client 8"/>
        <s v="Key Client 54"/>
        <s v="Key Client 56"/>
        <s v="Key Client 53"/>
        <s v="Key Client 35"/>
        <s v="Key Client 2"/>
        <s v="Key Client 12"/>
        <s v="Key Client 44"/>
        <s v="Key Client 51"/>
        <s v="Key Client 34"/>
        <s v="Key Client 27"/>
        <s v="Key Client 33"/>
        <s v="Key Client 32"/>
        <s v="Key Client 22"/>
        <s v="Key Client 43"/>
        <s v="Key Client 7"/>
        <s v="Key Client 59"/>
        <s v="Key Client 41"/>
        <s v="Key Client 50"/>
        <s v="Key Client 16"/>
        <s v="Key Client 30"/>
        <s v="Key Client 57"/>
        <s v="Key Client 11"/>
        <s v="Key Client 14"/>
        <s v="Key Client 58"/>
        <s v="Key Client 38"/>
        <s v="Key Client 5"/>
        <s v="Key Client 15"/>
        <s v="Key Client 6"/>
      </sharedItems>
    </cacheField>
    <cacheField name="revenue" numFmtId="0">
      <sharedItems containsSemiMixedTypes="0" containsString="0" containsNumber="1" minValue="10997.33984375" maxValue="15680172.564514199"/>
    </cacheField>
    <cacheField name="client rank in industry" numFmtId="0">
      <sharedItems containsSemiMixedTypes="0" containsString="0" containsNumber="1" containsInteger="1" minValue="1" maxValue="19" count="19">
        <n v="1"/>
        <n v="2"/>
        <n v="3"/>
        <n v="4"/>
        <n v="5"/>
        <n v="6"/>
        <n v="7"/>
        <n v="8"/>
        <n v="9"/>
        <n v="10"/>
        <n v="11"/>
        <n v="12"/>
        <n v="13"/>
        <n v="14"/>
        <n v="15"/>
        <n v="16"/>
        <n v="17"/>
        <n v="18"/>
        <n v="19"/>
      </sharedItems>
    </cacheField>
  </cacheFields>
  <extLst>
    <ext xmlns:x14="http://schemas.microsoft.com/office/spreadsheetml/2009/9/main" uri="{725AE2AE-9491-48be-B2B4-4EB974FC3084}">
      <x14:pivotCacheDefinition pivotCacheId="1262380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3579536.72"/>
  </r>
  <r>
    <x v="0"/>
    <x v="1"/>
    <n v="2712538.35"/>
  </r>
  <r>
    <x v="1"/>
    <x v="0"/>
    <n v="1893364.99"/>
  </r>
  <r>
    <x v="1"/>
    <x v="1"/>
    <n v="1440761.11"/>
  </r>
  <r>
    <x v="2"/>
    <x v="0"/>
    <n v="1034486.76"/>
  </r>
  <r>
    <x v="2"/>
    <x v="1"/>
    <n v="772234.59"/>
  </r>
  <r>
    <x v="3"/>
    <x v="0"/>
    <n v="820581.44"/>
  </r>
  <r>
    <x v="3"/>
    <x v="1"/>
    <n v="625103.02"/>
  </r>
  <r>
    <x v="4"/>
    <x v="0"/>
    <n v="1549863.89"/>
  </r>
  <r>
    <x v="4"/>
    <x v="1"/>
    <n v="1101302.14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n v="3363"/>
  </r>
  <r>
    <x v="1"/>
    <x v="1"/>
    <x v="1"/>
    <n v="3354"/>
  </r>
  <r>
    <x v="2"/>
    <x v="1"/>
    <x v="2"/>
    <n v="3347"/>
  </r>
  <r>
    <x v="3"/>
    <x v="2"/>
    <x v="1"/>
    <n v="3291"/>
  </r>
  <r>
    <x v="4"/>
    <x v="3"/>
    <x v="3"/>
    <n v="3278"/>
  </r>
  <r>
    <x v="5"/>
    <x v="4"/>
    <x v="3"/>
    <n v="3193"/>
  </r>
  <r>
    <x v="6"/>
    <x v="5"/>
    <x v="4"/>
    <n v="3151"/>
  </r>
  <r>
    <x v="7"/>
    <x v="6"/>
    <x v="4"/>
    <n v="3130"/>
  </r>
  <r>
    <x v="8"/>
    <x v="7"/>
    <x v="2"/>
    <n v="3108"/>
  </r>
  <r>
    <x v="9"/>
    <x v="8"/>
    <x v="1"/>
    <n v="3101"/>
  </r>
  <r>
    <x v="10"/>
    <x v="9"/>
    <x v="5"/>
    <n v="3085"/>
  </r>
  <r>
    <x v="11"/>
    <x v="10"/>
    <x v="0"/>
    <n v="3032"/>
  </r>
  <r>
    <x v="12"/>
    <x v="11"/>
    <x v="3"/>
    <n v="3021"/>
  </r>
  <r>
    <x v="13"/>
    <x v="12"/>
    <x v="2"/>
    <n v="3006"/>
  </r>
  <r>
    <x v="14"/>
    <x v="13"/>
    <x v="4"/>
    <n v="2940"/>
  </r>
  <r>
    <x v="15"/>
    <x v="14"/>
    <x v="1"/>
    <n v="2916"/>
  </r>
  <r>
    <x v="16"/>
    <x v="15"/>
    <x v="2"/>
    <n v="2904"/>
  </r>
  <r>
    <x v="17"/>
    <x v="5"/>
    <x v="5"/>
    <n v="2839"/>
  </r>
  <r>
    <x v="18"/>
    <x v="16"/>
    <x v="5"/>
    <n v="2822"/>
  </r>
  <r>
    <x v="19"/>
    <x v="16"/>
    <x v="1"/>
    <n v="2794"/>
  </r>
  <r>
    <x v="20"/>
    <x v="3"/>
    <x v="0"/>
    <n v="2768"/>
  </r>
  <r>
    <x v="21"/>
    <x v="17"/>
    <x v="5"/>
    <n v="2746"/>
  </r>
  <r>
    <x v="22"/>
    <x v="4"/>
    <x v="0"/>
    <n v="2729"/>
  </r>
  <r>
    <x v="23"/>
    <x v="1"/>
    <x v="0"/>
    <n v="2724"/>
  </r>
  <r>
    <x v="24"/>
    <x v="1"/>
    <x v="3"/>
    <n v="2690"/>
  </r>
  <r>
    <x v="25"/>
    <x v="4"/>
    <x v="0"/>
    <n v="2682"/>
  </r>
  <r>
    <x v="26"/>
    <x v="6"/>
    <x v="0"/>
    <n v="2664"/>
  </r>
  <r>
    <x v="27"/>
    <x v="18"/>
    <x v="2"/>
    <n v="2659"/>
  </r>
  <r>
    <x v="28"/>
    <x v="6"/>
    <x v="3"/>
    <n v="2617"/>
  </r>
  <r>
    <x v="29"/>
    <x v="0"/>
    <x v="4"/>
    <n v="2610"/>
  </r>
  <r>
    <x v="30"/>
    <x v="19"/>
    <x v="4"/>
    <n v="2564"/>
  </r>
  <r>
    <x v="31"/>
    <x v="20"/>
    <x v="3"/>
    <n v="2504"/>
  </r>
  <r>
    <x v="32"/>
    <x v="21"/>
    <x v="2"/>
    <n v="2494"/>
  </r>
  <r>
    <x v="33"/>
    <x v="20"/>
    <x v="2"/>
    <n v="2464"/>
  </r>
  <r>
    <x v="34"/>
    <x v="0"/>
    <x v="4"/>
    <n v="2400"/>
  </r>
  <r>
    <x v="35"/>
    <x v="10"/>
    <x v="2"/>
    <n v="2339"/>
  </r>
  <r>
    <x v="36"/>
    <x v="22"/>
    <x v="0"/>
    <n v="2338"/>
  </r>
  <r>
    <x v="37"/>
    <x v="23"/>
    <x v="5"/>
    <n v="2307"/>
  </r>
  <r>
    <x v="38"/>
    <x v="3"/>
    <x v="1"/>
    <n v="2305"/>
  </r>
  <r>
    <x v="39"/>
    <x v="15"/>
    <x v="5"/>
    <n v="2268"/>
  </r>
  <r>
    <x v="40"/>
    <x v="24"/>
    <x v="1"/>
    <n v="2266"/>
  </r>
  <r>
    <x v="41"/>
    <x v="25"/>
    <x v="3"/>
    <n v="2260"/>
  </r>
  <r>
    <x v="42"/>
    <x v="6"/>
    <x v="1"/>
    <n v="2238"/>
  </r>
  <r>
    <x v="43"/>
    <x v="23"/>
    <x v="2"/>
    <n v="2233"/>
  </r>
  <r>
    <x v="44"/>
    <x v="22"/>
    <x v="5"/>
    <n v="2229"/>
  </r>
  <r>
    <x v="45"/>
    <x v="15"/>
    <x v="4"/>
    <n v="2193"/>
  </r>
  <r>
    <x v="46"/>
    <x v="18"/>
    <x v="5"/>
    <n v="2192"/>
  </r>
  <r>
    <x v="47"/>
    <x v="21"/>
    <x v="0"/>
    <n v="2133"/>
  </r>
  <r>
    <x v="48"/>
    <x v="21"/>
    <x v="0"/>
    <n v="2083"/>
  </r>
  <r>
    <x v="49"/>
    <x v="25"/>
    <x v="3"/>
    <n v="1991"/>
  </r>
  <r>
    <x v="50"/>
    <x v="24"/>
    <x v="3"/>
    <n v="1986"/>
  </r>
  <r>
    <x v="51"/>
    <x v="9"/>
    <x v="4"/>
    <n v="1975"/>
  </r>
  <r>
    <x v="52"/>
    <x v="20"/>
    <x v="4"/>
    <n v="1918"/>
  </r>
  <r>
    <x v="53"/>
    <x v="23"/>
    <x v="2"/>
    <n v="1865"/>
  </r>
  <r>
    <x v="54"/>
    <x v="6"/>
    <x v="2"/>
    <n v="1806"/>
  </r>
  <r>
    <x v="55"/>
    <x v="3"/>
    <x v="6"/>
    <n v="1798"/>
  </r>
  <r>
    <x v="56"/>
    <x v="1"/>
    <x v="7"/>
    <n v="1794"/>
  </r>
  <r>
    <x v="57"/>
    <x v="18"/>
    <x v="7"/>
    <n v="1794"/>
  </r>
  <r>
    <x v="58"/>
    <x v="3"/>
    <x v="8"/>
    <n v="1793"/>
  </r>
  <r>
    <x v="59"/>
    <x v="16"/>
    <x v="6"/>
    <n v="1793"/>
  </r>
  <r>
    <x v="60"/>
    <x v="16"/>
    <x v="9"/>
    <n v="1781"/>
  </r>
  <r>
    <x v="61"/>
    <x v="15"/>
    <x v="10"/>
    <n v="1776"/>
  </r>
  <r>
    <x v="62"/>
    <x v="22"/>
    <x v="11"/>
    <n v="1773"/>
  </r>
  <r>
    <x v="63"/>
    <x v="17"/>
    <x v="11"/>
    <n v="1770"/>
  </r>
  <r>
    <x v="64"/>
    <x v="25"/>
    <x v="12"/>
    <n v="1766"/>
  </r>
  <r>
    <x v="65"/>
    <x v="10"/>
    <x v="13"/>
    <n v="1760"/>
  </r>
  <r>
    <x v="66"/>
    <x v="1"/>
    <x v="14"/>
    <n v="1749"/>
  </r>
  <r>
    <x v="67"/>
    <x v="0"/>
    <x v="15"/>
    <n v="1742"/>
  </r>
  <r>
    <x v="68"/>
    <x v="26"/>
    <x v="16"/>
    <n v="1737"/>
  </r>
  <r>
    <x v="69"/>
    <x v="22"/>
    <x v="7"/>
    <n v="1736"/>
  </r>
  <r>
    <x v="70"/>
    <x v="19"/>
    <x v="17"/>
    <n v="1729"/>
  </r>
  <r>
    <x v="71"/>
    <x v="2"/>
    <x v="14"/>
    <n v="1712"/>
  </r>
  <r>
    <x v="72"/>
    <x v="7"/>
    <x v="17"/>
    <n v="1709"/>
  </r>
  <r>
    <x v="73"/>
    <x v="26"/>
    <x v="18"/>
    <n v="1702"/>
  </r>
  <r>
    <x v="74"/>
    <x v="27"/>
    <x v="12"/>
    <n v="1699"/>
  </r>
  <r>
    <x v="75"/>
    <x v="20"/>
    <x v="16"/>
    <n v="1696"/>
  </r>
  <r>
    <x v="76"/>
    <x v="27"/>
    <x v="8"/>
    <n v="1693"/>
  </r>
  <r>
    <x v="77"/>
    <x v="5"/>
    <x v="14"/>
    <n v="1685"/>
  </r>
  <r>
    <x v="78"/>
    <x v="24"/>
    <x v="19"/>
    <n v="1679"/>
  </r>
  <r>
    <x v="79"/>
    <x v="3"/>
    <x v="20"/>
    <n v="1675"/>
  </r>
  <r>
    <x v="80"/>
    <x v="5"/>
    <x v="20"/>
    <n v="1672"/>
  </r>
  <r>
    <x v="81"/>
    <x v="0"/>
    <x v="15"/>
    <n v="1670"/>
  </r>
  <r>
    <x v="82"/>
    <x v="3"/>
    <x v="18"/>
    <n v="1654"/>
  </r>
  <r>
    <x v="83"/>
    <x v="20"/>
    <x v="12"/>
    <n v="1649"/>
  </r>
  <r>
    <x v="84"/>
    <x v="5"/>
    <x v="20"/>
    <n v="1642"/>
  </r>
  <r>
    <x v="85"/>
    <x v="22"/>
    <x v="18"/>
    <n v="1638"/>
  </r>
  <r>
    <x v="86"/>
    <x v="2"/>
    <x v="21"/>
    <n v="1630"/>
  </r>
  <r>
    <x v="87"/>
    <x v="28"/>
    <x v="14"/>
    <n v="1627"/>
  </r>
  <r>
    <x v="88"/>
    <x v="18"/>
    <x v="8"/>
    <n v="1623"/>
  </r>
  <r>
    <x v="89"/>
    <x v="16"/>
    <x v="22"/>
    <n v="1616"/>
  </r>
  <r>
    <x v="90"/>
    <x v="8"/>
    <x v="22"/>
    <n v="1612"/>
  </r>
  <r>
    <x v="91"/>
    <x v="16"/>
    <x v="6"/>
    <n v="1610"/>
  </r>
  <r>
    <x v="92"/>
    <x v="11"/>
    <x v="20"/>
    <n v="1609"/>
  </r>
  <r>
    <x v="93"/>
    <x v="0"/>
    <x v="15"/>
    <n v="1600"/>
  </r>
  <r>
    <x v="94"/>
    <x v="18"/>
    <x v="8"/>
    <n v="1592"/>
  </r>
  <r>
    <x v="95"/>
    <x v="12"/>
    <x v="18"/>
    <n v="1587"/>
  </r>
  <r>
    <x v="96"/>
    <x v="19"/>
    <x v="23"/>
    <n v="1580"/>
  </r>
  <r>
    <x v="97"/>
    <x v="18"/>
    <x v="16"/>
    <n v="1566"/>
  </r>
  <r>
    <x v="98"/>
    <x v="15"/>
    <x v="11"/>
    <n v="1547"/>
  </r>
  <r>
    <x v="99"/>
    <x v="21"/>
    <x v="7"/>
    <n v="1547"/>
  </r>
  <r>
    <x v="100"/>
    <x v="9"/>
    <x v="6"/>
    <n v="1542"/>
  </r>
  <r>
    <x v="101"/>
    <x v="17"/>
    <x v="24"/>
    <n v="1536"/>
  </r>
  <r>
    <x v="102"/>
    <x v="24"/>
    <x v="25"/>
    <n v="1526"/>
  </r>
  <r>
    <x v="103"/>
    <x v="0"/>
    <x v="11"/>
    <n v="1520"/>
  </r>
  <r>
    <x v="104"/>
    <x v="5"/>
    <x v="11"/>
    <n v="1509"/>
  </r>
  <r>
    <x v="105"/>
    <x v="19"/>
    <x v="26"/>
    <n v="1505"/>
  </r>
  <r>
    <x v="106"/>
    <x v="20"/>
    <x v="25"/>
    <n v="1504"/>
  </r>
  <r>
    <x v="107"/>
    <x v="26"/>
    <x v="25"/>
    <n v="1497"/>
  </r>
  <r>
    <x v="108"/>
    <x v="13"/>
    <x v="24"/>
    <n v="1495"/>
  </r>
  <r>
    <x v="109"/>
    <x v="4"/>
    <x v="11"/>
    <n v="1482"/>
  </r>
  <r>
    <x v="110"/>
    <x v="16"/>
    <x v="26"/>
    <n v="1480"/>
  </r>
  <r>
    <x v="111"/>
    <x v="21"/>
    <x v="15"/>
    <n v="1469"/>
  </r>
  <r>
    <x v="112"/>
    <x v="17"/>
    <x v="26"/>
    <n v="1461"/>
  </r>
  <r>
    <x v="113"/>
    <x v="14"/>
    <x v="12"/>
    <n v="1461"/>
  </r>
  <r>
    <x v="114"/>
    <x v="26"/>
    <x v="13"/>
    <n v="1449"/>
  </r>
  <r>
    <x v="115"/>
    <x v="2"/>
    <x v="22"/>
    <n v="1449"/>
  </r>
  <r>
    <x v="116"/>
    <x v="8"/>
    <x v="17"/>
    <n v="1434"/>
  </r>
  <r>
    <x v="117"/>
    <x v="14"/>
    <x v="10"/>
    <n v="1433"/>
  </r>
  <r>
    <x v="118"/>
    <x v="29"/>
    <x v="16"/>
    <n v="1430"/>
  </r>
  <r>
    <x v="119"/>
    <x v="12"/>
    <x v="22"/>
    <n v="1425"/>
  </r>
  <r>
    <x v="120"/>
    <x v="21"/>
    <x v="10"/>
    <n v="1416"/>
  </r>
  <r>
    <x v="121"/>
    <x v="16"/>
    <x v="18"/>
    <n v="1404"/>
  </r>
  <r>
    <x v="122"/>
    <x v="11"/>
    <x v="27"/>
    <n v="1404"/>
  </r>
  <r>
    <x v="123"/>
    <x v="16"/>
    <x v="6"/>
    <n v="1403"/>
  </r>
  <r>
    <x v="124"/>
    <x v="5"/>
    <x v="26"/>
    <n v="1399"/>
  </r>
  <r>
    <x v="125"/>
    <x v="4"/>
    <x v="12"/>
    <n v="1398"/>
  </r>
  <r>
    <x v="126"/>
    <x v="9"/>
    <x v="26"/>
    <n v="1398"/>
  </r>
  <r>
    <x v="127"/>
    <x v="20"/>
    <x v="28"/>
    <n v="1393"/>
  </r>
  <r>
    <x v="128"/>
    <x v="12"/>
    <x v="17"/>
    <n v="1390"/>
  </r>
  <r>
    <x v="129"/>
    <x v="10"/>
    <x v="7"/>
    <n v="1386"/>
  </r>
  <r>
    <x v="130"/>
    <x v="7"/>
    <x v="18"/>
    <n v="1383"/>
  </r>
  <r>
    <x v="131"/>
    <x v="19"/>
    <x v="11"/>
    <n v="1380"/>
  </r>
  <r>
    <x v="132"/>
    <x v="7"/>
    <x v="19"/>
    <n v="1359"/>
  </r>
  <r>
    <x v="133"/>
    <x v="20"/>
    <x v="29"/>
    <n v="1352"/>
  </r>
  <r>
    <x v="134"/>
    <x v="21"/>
    <x v="12"/>
    <n v="1343"/>
  </r>
  <r>
    <x v="135"/>
    <x v="23"/>
    <x v="17"/>
    <n v="1339"/>
  </r>
  <r>
    <x v="136"/>
    <x v="21"/>
    <x v="22"/>
    <n v="1334"/>
  </r>
  <r>
    <x v="137"/>
    <x v="15"/>
    <x v="18"/>
    <n v="1325"/>
  </r>
  <r>
    <x v="138"/>
    <x v="5"/>
    <x v="8"/>
    <n v="1310"/>
  </r>
  <r>
    <x v="139"/>
    <x v="4"/>
    <x v="20"/>
    <n v="1300"/>
  </r>
  <r>
    <x v="140"/>
    <x v="7"/>
    <x v="12"/>
    <n v="1295"/>
  </r>
  <r>
    <x v="141"/>
    <x v="0"/>
    <x v="28"/>
    <n v="1273"/>
  </r>
  <r>
    <x v="142"/>
    <x v="0"/>
    <x v="15"/>
    <n v="1268"/>
  </r>
  <r>
    <x v="143"/>
    <x v="8"/>
    <x v="22"/>
    <n v="1258"/>
  </r>
  <r>
    <x v="144"/>
    <x v="10"/>
    <x v="9"/>
    <n v="1256"/>
  </r>
  <r>
    <x v="145"/>
    <x v="15"/>
    <x v="26"/>
    <n v="1247"/>
  </r>
  <r>
    <x v="146"/>
    <x v="17"/>
    <x v="14"/>
    <n v="1240"/>
  </r>
  <r>
    <x v="147"/>
    <x v="19"/>
    <x v="19"/>
    <n v="1239"/>
  </r>
  <r>
    <x v="148"/>
    <x v="10"/>
    <x v="22"/>
    <n v="1228"/>
  </r>
  <r>
    <x v="149"/>
    <x v="15"/>
    <x v="14"/>
    <n v="1219"/>
  </r>
  <r>
    <x v="150"/>
    <x v="21"/>
    <x v="12"/>
    <n v="1218"/>
  </r>
  <r>
    <x v="151"/>
    <x v="2"/>
    <x v="19"/>
    <n v="1207"/>
  </r>
  <r>
    <x v="152"/>
    <x v="10"/>
    <x v="16"/>
    <n v="1197"/>
  </r>
  <r>
    <x v="153"/>
    <x v="14"/>
    <x v="7"/>
    <n v="1177"/>
  </r>
  <r>
    <x v="154"/>
    <x v="5"/>
    <x v="21"/>
    <n v="1167"/>
  </r>
  <r>
    <x v="155"/>
    <x v="28"/>
    <x v="22"/>
    <n v="1166"/>
  </r>
  <r>
    <x v="156"/>
    <x v="25"/>
    <x v="8"/>
    <n v="1165"/>
  </r>
  <r>
    <x v="157"/>
    <x v="26"/>
    <x v="16"/>
    <n v="1164"/>
  </r>
  <r>
    <x v="158"/>
    <x v="18"/>
    <x v="28"/>
    <n v="1164"/>
  </r>
  <r>
    <x v="159"/>
    <x v="0"/>
    <x v="23"/>
    <n v="1141"/>
  </r>
  <r>
    <x v="160"/>
    <x v="29"/>
    <x v="24"/>
    <n v="1133"/>
  </r>
  <r>
    <x v="161"/>
    <x v="0"/>
    <x v="18"/>
    <n v="1124"/>
  </r>
  <r>
    <x v="162"/>
    <x v="18"/>
    <x v="29"/>
    <n v="1121"/>
  </r>
  <r>
    <x v="163"/>
    <x v="27"/>
    <x v="22"/>
    <n v="1117"/>
  </r>
  <r>
    <x v="164"/>
    <x v="21"/>
    <x v="16"/>
    <n v="1088"/>
  </r>
  <r>
    <x v="165"/>
    <x v="12"/>
    <x v="11"/>
    <n v="1081"/>
  </r>
  <r>
    <x v="166"/>
    <x v="27"/>
    <x v="16"/>
    <n v="1078"/>
  </r>
  <r>
    <x v="167"/>
    <x v="19"/>
    <x v="15"/>
    <n v="1078"/>
  </r>
  <r>
    <x v="168"/>
    <x v="20"/>
    <x v="20"/>
    <n v="1077"/>
  </r>
  <r>
    <x v="169"/>
    <x v="29"/>
    <x v="20"/>
    <n v="1075"/>
  </r>
  <r>
    <x v="170"/>
    <x v="27"/>
    <x v="25"/>
    <n v="1065"/>
  </r>
  <r>
    <x v="171"/>
    <x v="1"/>
    <x v="6"/>
    <n v="1058"/>
  </r>
  <r>
    <x v="172"/>
    <x v="9"/>
    <x v="17"/>
    <n v="1047"/>
  </r>
  <r>
    <x v="173"/>
    <x v="10"/>
    <x v="19"/>
    <n v="1043"/>
  </r>
  <r>
    <x v="174"/>
    <x v="9"/>
    <x v="22"/>
    <n v="1041"/>
  </r>
  <r>
    <x v="175"/>
    <x v="7"/>
    <x v="28"/>
    <n v="1040"/>
  </r>
  <r>
    <x v="176"/>
    <x v="28"/>
    <x v="25"/>
    <n v="1035"/>
  </r>
  <r>
    <x v="177"/>
    <x v="15"/>
    <x v="8"/>
    <n v="1027"/>
  </r>
  <r>
    <x v="178"/>
    <x v="23"/>
    <x v="28"/>
    <n v="1025"/>
  </r>
  <r>
    <x v="179"/>
    <x v="6"/>
    <x v="7"/>
    <n v="996"/>
  </r>
  <r>
    <x v="180"/>
    <x v="12"/>
    <x v="12"/>
    <n v="996"/>
  </r>
  <r>
    <x v="181"/>
    <x v="21"/>
    <x v="9"/>
    <n v="992"/>
  </r>
  <r>
    <x v="182"/>
    <x v="26"/>
    <x v="11"/>
    <n v="989"/>
  </r>
  <r>
    <x v="183"/>
    <x v="1"/>
    <x v="26"/>
    <n v="976"/>
  </r>
  <r>
    <x v="184"/>
    <x v="29"/>
    <x v="24"/>
    <n v="963"/>
  </r>
  <r>
    <x v="185"/>
    <x v="14"/>
    <x v="21"/>
    <n v="946"/>
  </r>
  <r>
    <x v="186"/>
    <x v="3"/>
    <x v="29"/>
    <n v="944"/>
  </r>
  <r>
    <x v="187"/>
    <x v="28"/>
    <x v="28"/>
    <n v="938"/>
  </r>
  <r>
    <x v="188"/>
    <x v="1"/>
    <x v="9"/>
    <n v="929"/>
  </r>
  <r>
    <x v="189"/>
    <x v="29"/>
    <x v="6"/>
    <n v="911"/>
  </r>
  <r>
    <x v="190"/>
    <x v="5"/>
    <x v="18"/>
    <n v="901"/>
  </r>
  <r>
    <x v="191"/>
    <x v="20"/>
    <x v="6"/>
    <n v="892"/>
  </r>
  <r>
    <x v="192"/>
    <x v="11"/>
    <x v="6"/>
    <n v="870"/>
  </r>
  <r>
    <x v="193"/>
    <x v="19"/>
    <x v="24"/>
    <n v="870"/>
  </r>
  <r>
    <x v="194"/>
    <x v="10"/>
    <x v="22"/>
    <n v="869"/>
  </r>
  <r>
    <x v="195"/>
    <x v="27"/>
    <x v="6"/>
    <n v="869"/>
  </r>
  <r>
    <x v="196"/>
    <x v="4"/>
    <x v="20"/>
    <n v="869"/>
  </r>
  <r>
    <x v="197"/>
    <x v="28"/>
    <x v="15"/>
    <n v="863"/>
  </r>
  <r>
    <x v="198"/>
    <x v="28"/>
    <x v="20"/>
    <n v="852"/>
  </r>
  <r>
    <x v="199"/>
    <x v="13"/>
    <x v="19"/>
    <n v="848"/>
  </r>
  <r>
    <x v="200"/>
    <x v="23"/>
    <x v="28"/>
    <n v="846"/>
  </r>
  <r>
    <x v="201"/>
    <x v="16"/>
    <x v="20"/>
    <n v="846"/>
  </r>
  <r>
    <x v="202"/>
    <x v="24"/>
    <x v="25"/>
    <n v="842"/>
  </r>
  <r>
    <x v="203"/>
    <x v="26"/>
    <x v="6"/>
    <n v="842"/>
  </r>
  <r>
    <x v="204"/>
    <x v="15"/>
    <x v="24"/>
    <n v="841"/>
  </r>
  <r>
    <x v="205"/>
    <x v="14"/>
    <x v="19"/>
    <n v="814"/>
  </r>
  <r>
    <x v="206"/>
    <x v="4"/>
    <x v="15"/>
    <n v="811"/>
  </r>
  <r>
    <x v="207"/>
    <x v="13"/>
    <x v="10"/>
    <n v="809"/>
  </r>
  <r>
    <x v="208"/>
    <x v="27"/>
    <x v="9"/>
    <n v="801"/>
  </r>
  <r>
    <x v="209"/>
    <x v="21"/>
    <x v="22"/>
    <n v="801"/>
  </r>
  <r>
    <x v="210"/>
    <x v="10"/>
    <x v="23"/>
    <n v="797"/>
  </r>
  <r>
    <x v="211"/>
    <x v="2"/>
    <x v="26"/>
    <n v="793"/>
  </r>
  <r>
    <x v="212"/>
    <x v="19"/>
    <x v="28"/>
    <n v="790"/>
  </r>
  <r>
    <x v="213"/>
    <x v="9"/>
    <x v="7"/>
    <n v="787"/>
  </r>
  <r>
    <x v="214"/>
    <x v="12"/>
    <x v="6"/>
    <n v="776"/>
  </r>
  <r>
    <x v="215"/>
    <x v="19"/>
    <x v="27"/>
    <n v="776"/>
  </r>
  <r>
    <x v="216"/>
    <x v="1"/>
    <x v="23"/>
    <n v="771"/>
  </r>
  <r>
    <x v="217"/>
    <x v="21"/>
    <x v="21"/>
    <n v="769"/>
  </r>
  <r>
    <x v="218"/>
    <x v="27"/>
    <x v="19"/>
    <n v="757"/>
  </r>
  <r>
    <x v="219"/>
    <x v="29"/>
    <x v="10"/>
    <n v="751"/>
  </r>
  <r>
    <x v="220"/>
    <x v="0"/>
    <x v="18"/>
    <n v="751"/>
  </r>
  <r>
    <x v="221"/>
    <x v="24"/>
    <x v="8"/>
    <n v="749"/>
  </r>
  <r>
    <x v="222"/>
    <x v="25"/>
    <x v="24"/>
    <n v="749"/>
  </r>
  <r>
    <x v="223"/>
    <x v="23"/>
    <x v="19"/>
    <n v="747"/>
  </r>
  <r>
    <x v="224"/>
    <x v="3"/>
    <x v="7"/>
    <n v="740"/>
  </r>
  <r>
    <x v="225"/>
    <x v="11"/>
    <x v="21"/>
    <n v="735"/>
  </r>
  <r>
    <x v="226"/>
    <x v="14"/>
    <x v="14"/>
    <n v="732"/>
  </r>
  <r>
    <x v="227"/>
    <x v="10"/>
    <x v="12"/>
    <n v="711"/>
  </r>
  <r>
    <x v="228"/>
    <x v="22"/>
    <x v="25"/>
    <n v="707"/>
  </r>
  <r>
    <x v="229"/>
    <x v="15"/>
    <x v="24"/>
    <n v="707"/>
  </r>
  <r>
    <x v="230"/>
    <x v="5"/>
    <x v="10"/>
    <n v="689"/>
  </r>
  <r>
    <x v="231"/>
    <x v="28"/>
    <x v="20"/>
    <n v="689"/>
  </r>
  <r>
    <x v="232"/>
    <x v="0"/>
    <x v="15"/>
    <n v="675"/>
  </r>
  <r>
    <x v="233"/>
    <x v="19"/>
    <x v="18"/>
    <n v="665"/>
  </r>
  <r>
    <x v="234"/>
    <x v="23"/>
    <x v="28"/>
    <n v="650"/>
  </r>
  <r>
    <x v="235"/>
    <x v="5"/>
    <x v="20"/>
    <n v="638"/>
  </r>
  <r>
    <x v="236"/>
    <x v="27"/>
    <x v="25"/>
    <n v="634"/>
  </r>
  <r>
    <x v="237"/>
    <x v="18"/>
    <x v="22"/>
    <n v="630"/>
  </r>
  <r>
    <x v="238"/>
    <x v="17"/>
    <x v="8"/>
    <n v="627"/>
  </r>
  <r>
    <x v="239"/>
    <x v="6"/>
    <x v="29"/>
    <n v="626"/>
  </r>
  <r>
    <x v="240"/>
    <x v="6"/>
    <x v="19"/>
    <n v="623"/>
  </r>
  <r>
    <x v="241"/>
    <x v="25"/>
    <x v="8"/>
    <n v="618"/>
  </r>
  <r>
    <x v="242"/>
    <x v="8"/>
    <x v="22"/>
    <n v="613"/>
  </r>
  <r>
    <x v="243"/>
    <x v="8"/>
    <x v="17"/>
    <n v="613"/>
  </r>
  <r>
    <x v="244"/>
    <x v="27"/>
    <x v="26"/>
    <n v="592"/>
  </r>
  <r>
    <x v="245"/>
    <x v="6"/>
    <x v="15"/>
    <n v="587"/>
  </r>
  <r>
    <x v="246"/>
    <x v="16"/>
    <x v="10"/>
    <n v="585"/>
  </r>
  <r>
    <x v="247"/>
    <x v="25"/>
    <x v="13"/>
    <n v="585"/>
  </r>
  <r>
    <x v="248"/>
    <x v="5"/>
    <x v="13"/>
    <n v="570"/>
  </r>
  <r>
    <x v="249"/>
    <x v="18"/>
    <x v="7"/>
    <n v="562"/>
  </r>
  <r>
    <x v="250"/>
    <x v="25"/>
    <x v="9"/>
    <n v="557"/>
  </r>
  <r>
    <x v="251"/>
    <x v="12"/>
    <x v="21"/>
    <n v="555"/>
  </r>
  <r>
    <x v="252"/>
    <x v="29"/>
    <x v="12"/>
    <n v="547"/>
  </r>
  <r>
    <x v="253"/>
    <x v="24"/>
    <x v="17"/>
    <n v="534"/>
  </r>
  <r>
    <x v="254"/>
    <x v="7"/>
    <x v="15"/>
    <n v="529"/>
  </r>
  <r>
    <x v="255"/>
    <x v="26"/>
    <x v="23"/>
    <n v="528"/>
  </r>
  <r>
    <x v="256"/>
    <x v="23"/>
    <x v="8"/>
    <n v="528"/>
  </r>
  <r>
    <x v="257"/>
    <x v="27"/>
    <x v="12"/>
    <n v="524"/>
  </r>
  <r>
    <x v="258"/>
    <x v="0"/>
    <x v="29"/>
    <n v="523"/>
  </r>
  <r>
    <x v="259"/>
    <x v="0"/>
    <x v="27"/>
    <n v="517"/>
  </r>
  <r>
    <x v="260"/>
    <x v="8"/>
    <x v="6"/>
    <n v="509"/>
  </r>
  <r>
    <x v="261"/>
    <x v="28"/>
    <x v="17"/>
    <n v="509"/>
  </r>
  <r>
    <x v="262"/>
    <x v="20"/>
    <x v="25"/>
    <n v="506"/>
  </r>
  <r>
    <x v="263"/>
    <x v="24"/>
    <x v="19"/>
    <n v="501"/>
  </r>
  <r>
    <x v="264"/>
    <x v="23"/>
    <x v="13"/>
    <n v="498"/>
  </r>
  <r>
    <x v="265"/>
    <x v="13"/>
    <x v="7"/>
    <n v="498"/>
  </r>
  <r>
    <x v="266"/>
    <x v="13"/>
    <x v="17"/>
    <n v="493"/>
  </r>
  <r>
    <x v="267"/>
    <x v="23"/>
    <x v="16"/>
    <n v="489"/>
  </r>
  <r>
    <x v="268"/>
    <x v="28"/>
    <x v="9"/>
    <n v="478"/>
  </r>
  <r>
    <x v="269"/>
    <x v="9"/>
    <x v="19"/>
    <n v="463"/>
  </r>
  <r>
    <x v="270"/>
    <x v="17"/>
    <x v="22"/>
    <n v="461"/>
  </r>
  <r>
    <x v="271"/>
    <x v="29"/>
    <x v="24"/>
    <n v="461"/>
  </r>
  <r>
    <x v="272"/>
    <x v="5"/>
    <x v="7"/>
    <n v="454"/>
  </r>
  <r>
    <x v="273"/>
    <x v="1"/>
    <x v="10"/>
    <n v="446"/>
  </r>
  <r>
    <x v="274"/>
    <x v="19"/>
    <x v="26"/>
    <n v="445"/>
  </r>
  <r>
    <x v="275"/>
    <x v="19"/>
    <x v="16"/>
    <n v="445"/>
  </r>
  <r>
    <x v="276"/>
    <x v="23"/>
    <x v="8"/>
    <n v="442"/>
  </r>
  <r>
    <x v="277"/>
    <x v="21"/>
    <x v="13"/>
    <n v="441"/>
  </r>
  <r>
    <x v="278"/>
    <x v="21"/>
    <x v="14"/>
    <n v="438"/>
  </r>
  <r>
    <x v="279"/>
    <x v="27"/>
    <x v="24"/>
    <n v="435"/>
  </r>
  <r>
    <x v="280"/>
    <x v="27"/>
    <x v="28"/>
    <n v="431"/>
  </r>
  <r>
    <x v="281"/>
    <x v="13"/>
    <x v="17"/>
    <n v="430"/>
  </r>
  <r>
    <x v="282"/>
    <x v="8"/>
    <x v="11"/>
    <n v="424"/>
  </r>
  <r>
    <x v="283"/>
    <x v="19"/>
    <x v="29"/>
    <n v="420"/>
  </r>
  <r>
    <x v="284"/>
    <x v="24"/>
    <x v="25"/>
    <n v="414"/>
  </r>
  <r>
    <x v="285"/>
    <x v="18"/>
    <x v="28"/>
    <n v="410"/>
  </r>
  <r>
    <x v="286"/>
    <x v="8"/>
    <x v="23"/>
    <n v="396"/>
  </r>
  <r>
    <x v="287"/>
    <x v="18"/>
    <x v="15"/>
    <n v="393"/>
  </r>
  <r>
    <x v="288"/>
    <x v="12"/>
    <x v="6"/>
    <n v="388"/>
  </r>
  <r>
    <x v="289"/>
    <x v="6"/>
    <x v="21"/>
    <n v="365"/>
  </r>
  <r>
    <x v="290"/>
    <x v="1"/>
    <x v="23"/>
    <n v="364"/>
  </r>
  <r>
    <x v="291"/>
    <x v="0"/>
    <x v="20"/>
    <n v="361"/>
  </r>
  <r>
    <x v="292"/>
    <x v="16"/>
    <x v="8"/>
    <n v="354"/>
  </r>
  <r>
    <x v="293"/>
    <x v="2"/>
    <x v="19"/>
    <n v="351"/>
  </r>
  <r>
    <x v="294"/>
    <x v="24"/>
    <x v="23"/>
    <n v="343"/>
  </r>
  <r>
    <x v="295"/>
    <x v="8"/>
    <x v="29"/>
    <n v="339"/>
  </r>
  <r>
    <x v="296"/>
    <x v="21"/>
    <x v="11"/>
    <n v="323"/>
  </r>
  <r>
    <x v="297"/>
    <x v="0"/>
    <x v="29"/>
    <n v="314"/>
  </r>
  <r>
    <x v="298"/>
    <x v="17"/>
    <x v="16"/>
    <n v="313"/>
  </r>
  <r>
    <x v="299"/>
    <x v="17"/>
    <x v="14"/>
    <n v="30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n v="15680172.564514199"/>
    <x v="0"/>
  </r>
  <r>
    <x v="0"/>
    <x v="1"/>
    <n v="9428403.53515625"/>
    <x v="1"/>
  </r>
  <r>
    <x v="0"/>
    <x v="2"/>
    <n v="5654245.1914977999"/>
    <x v="2"/>
  </r>
  <r>
    <x v="0"/>
    <x v="3"/>
    <n v="3701107.6927185101"/>
    <x v="3"/>
  </r>
  <r>
    <x v="0"/>
    <x v="4"/>
    <n v="2062959.20687866"/>
    <x v="4"/>
  </r>
  <r>
    <x v="0"/>
    <x v="5"/>
    <n v="880420.89187622105"/>
    <x v="5"/>
  </r>
  <r>
    <x v="0"/>
    <x v="6"/>
    <n v="751189.01867675805"/>
    <x v="6"/>
  </r>
  <r>
    <x v="0"/>
    <x v="7"/>
    <n v="653933.92138671898"/>
    <x v="7"/>
  </r>
  <r>
    <x v="0"/>
    <x v="8"/>
    <n v="613735.69912719703"/>
    <x v="8"/>
  </r>
  <r>
    <x v="0"/>
    <x v="9"/>
    <n v="263888.63037109398"/>
    <x v="9"/>
  </r>
  <r>
    <x v="0"/>
    <x v="10"/>
    <n v="236807.13885498"/>
    <x v="10"/>
  </r>
  <r>
    <x v="0"/>
    <x v="11"/>
    <n v="184353.580322266"/>
    <x v="11"/>
  </r>
  <r>
    <x v="0"/>
    <x v="12"/>
    <n v="146329.858856201"/>
    <x v="12"/>
  </r>
  <r>
    <x v="1"/>
    <x v="13"/>
    <n v="8817583.9323425293"/>
    <x v="0"/>
  </r>
  <r>
    <x v="1"/>
    <x v="14"/>
    <n v="5563490.1400756799"/>
    <x v="1"/>
  </r>
  <r>
    <x v="1"/>
    <x v="15"/>
    <n v="3486773.5088195801"/>
    <x v="2"/>
  </r>
  <r>
    <x v="1"/>
    <x v="16"/>
    <n v="767787.51779174805"/>
    <x v="3"/>
  </r>
  <r>
    <x v="1"/>
    <x v="17"/>
    <n v="709124.85809326195"/>
    <x v="4"/>
  </r>
  <r>
    <x v="1"/>
    <x v="18"/>
    <n v="572556.56814575195"/>
    <x v="5"/>
  </r>
  <r>
    <x v="1"/>
    <x v="19"/>
    <n v="384858.87048339797"/>
    <x v="6"/>
  </r>
  <r>
    <x v="1"/>
    <x v="20"/>
    <n v="346973.240753174"/>
    <x v="7"/>
  </r>
  <r>
    <x v="1"/>
    <x v="21"/>
    <n v="324298.13006591803"/>
    <x v="8"/>
  </r>
  <r>
    <x v="1"/>
    <x v="22"/>
    <n v="280729.67962646502"/>
    <x v="9"/>
  </r>
  <r>
    <x v="1"/>
    <x v="23"/>
    <n v="80465.299499511704"/>
    <x v="10"/>
  </r>
  <r>
    <x v="1"/>
    <x v="24"/>
    <n v="24789.439758300799"/>
    <x v="11"/>
  </r>
  <r>
    <x v="2"/>
    <x v="25"/>
    <n v="4698859.9413757296"/>
    <x v="0"/>
  </r>
  <r>
    <x v="2"/>
    <x v="26"/>
    <n v="2338645.4969787602"/>
    <x v="1"/>
  </r>
  <r>
    <x v="2"/>
    <x v="27"/>
    <n v="1875364.9587707501"/>
    <x v="2"/>
  </r>
  <r>
    <x v="2"/>
    <x v="28"/>
    <n v="1116004.4818115199"/>
    <x v="3"/>
  </r>
  <r>
    <x v="2"/>
    <x v="29"/>
    <n v="539785.85717773403"/>
    <x v="4"/>
  </r>
  <r>
    <x v="2"/>
    <x v="30"/>
    <n v="536569.43908691395"/>
    <x v="5"/>
  </r>
  <r>
    <x v="2"/>
    <x v="31"/>
    <n v="366615.11871337902"/>
    <x v="6"/>
  </r>
  <r>
    <x v="2"/>
    <x v="32"/>
    <n v="34317.720214843801"/>
    <x v="7"/>
  </r>
  <r>
    <x v="3"/>
    <x v="33"/>
    <n v="5444614.8030090304"/>
    <x v="0"/>
  </r>
  <r>
    <x v="3"/>
    <x v="34"/>
    <n v="871676.35736083996"/>
    <x v="1"/>
  </r>
  <r>
    <x v="3"/>
    <x v="35"/>
    <n v="851426.02636718797"/>
    <x v="2"/>
  </r>
  <r>
    <x v="3"/>
    <x v="36"/>
    <n v="846055.882629395"/>
    <x v="3"/>
  </r>
  <r>
    <x v="3"/>
    <x v="37"/>
    <n v="663629.53979492199"/>
    <x v="4"/>
  </r>
  <r>
    <x v="3"/>
    <x v="38"/>
    <n v="527885.79010009801"/>
    <x v="5"/>
  </r>
  <r>
    <x v="3"/>
    <x v="39"/>
    <n v="34805.730346679702"/>
    <x v="6"/>
  </r>
  <r>
    <x v="3"/>
    <x v="40"/>
    <n v="10997.33984375"/>
    <x v="7"/>
  </r>
  <r>
    <x v="4"/>
    <x v="41"/>
    <n v="3714062.4225769001"/>
    <x v="0"/>
  </r>
  <r>
    <x v="4"/>
    <x v="42"/>
    <n v="3063712.6276245099"/>
    <x v="1"/>
  </r>
  <r>
    <x v="4"/>
    <x v="43"/>
    <n v="2448626.5689392099"/>
    <x v="2"/>
  </r>
  <r>
    <x v="4"/>
    <x v="44"/>
    <n v="2152007.1072082501"/>
    <x v="3"/>
  </r>
  <r>
    <x v="4"/>
    <x v="45"/>
    <n v="1379593.2265625"/>
    <x v="4"/>
  </r>
  <r>
    <x v="4"/>
    <x v="46"/>
    <n v="1077860.0308532701"/>
    <x v="5"/>
  </r>
  <r>
    <x v="4"/>
    <x v="47"/>
    <n v="570321.25051879894"/>
    <x v="6"/>
  </r>
  <r>
    <x v="4"/>
    <x v="48"/>
    <n v="381738.78091430699"/>
    <x v="7"/>
  </r>
  <r>
    <x v="4"/>
    <x v="49"/>
    <n v="376185.17990112299"/>
    <x v="8"/>
  </r>
  <r>
    <x v="4"/>
    <x v="50"/>
    <n v="334923.159973145"/>
    <x v="9"/>
  </r>
  <r>
    <x v="4"/>
    <x v="51"/>
    <n v="268375.48138427699"/>
    <x v="10"/>
  </r>
  <r>
    <x v="4"/>
    <x v="52"/>
    <n v="240222.11962890599"/>
    <x v="11"/>
  </r>
  <r>
    <x v="4"/>
    <x v="53"/>
    <n v="208081.120544434"/>
    <x v="12"/>
  </r>
  <r>
    <x v="4"/>
    <x v="54"/>
    <n v="163684.319793701"/>
    <x v="13"/>
  </r>
  <r>
    <x v="4"/>
    <x v="55"/>
    <n v="132245.16949462899"/>
    <x v="14"/>
  </r>
  <r>
    <x v="4"/>
    <x v="56"/>
    <n v="121964.750061035"/>
    <x v="15"/>
  </r>
  <r>
    <x v="4"/>
    <x v="57"/>
    <n v="83253.979919433594"/>
    <x v="16"/>
  </r>
  <r>
    <x v="4"/>
    <x v="58"/>
    <n v="51727.850128173799"/>
    <x v="17"/>
  </r>
  <r>
    <x v="4"/>
    <x v="59"/>
    <n v="21508.239898681601"/>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BAB6DB-C675-4EEB-9074-9F7C10BF40B0}"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G5" firstHeaderRow="1" firstDataRow="1" firstDataCol="1"/>
  <pivotFields count="3">
    <pivotField showAll="0">
      <items count="6">
        <item x="0"/>
        <item x="1"/>
        <item x="2"/>
        <item x="3"/>
        <item x="4"/>
        <item t="default"/>
      </items>
    </pivotField>
    <pivotField axis="axisRow" showAll="0">
      <items count="3">
        <item x="1"/>
        <item x="0"/>
        <item t="default"/>
      </items>
    </pivotField>
    <pivotField dataField="1" showAll="0"/>
  </pivotFields>
  <rowFields count="1">
    <field x="1"/>
  </rowFields>
  <rowItems count="3">
    <i>
      <x/>
    </i>
    <i>
      <x v="1"/>
    </i>
    <i t="grand">
      <x/>
    </i>
  </rowItems>
  <colItems count="1">
    <i/>
  </colItems>
  <dataFields count="1">
    <dataField name="Sum of Column3" fld="2" baseField="1" baseItem="0" numFmtId="4"/>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2E1B7D-420A-46F4-8A0E-F15B396A888F}"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3" firstHeaderRow="1" firstDataRow="1" firstDataCol="1"/>
  <pivotFields count="4">
    <pivotField axis="axisRow" showAll="0" measureFilter="1" sortType="ascending">
      <items count="301">
        <item x="92"/>
        <item x="256"/>
        <item x="293"/>
        <item x="197"/>
        <item x="208"/>
        <item x="218"/>
        <item x="247"/>
        <item x="260"/>
        <item x="77"/>
        <item x="120"/>
        <item x="268"/>
        <item x="104"/>
        <item x="157"/>
        <item x="53"/>
        <item x="291"/>
        <item x="49"/>
        <item x="223"/>
        <item x="215"/>
        <item x="136"/>
        <item x="11"/>
        <item x="292"/>
        <item x="115"/>
        <item x="229"/>
        <item x="64"/>
        <item x="7"/>
        <item x="69"/>
        <item x="15"/>
        <item x="27"/>
        <item x="219"/>
        <item x="149"/>
        <item x="13"/>
        <item x="195"/>
        <item x="298"/>
        <item x="1"/>
        <item x="239"/>
        <item x="70"/>
        <item x="156"/>
        <item x="180"/>
        <item x="194"/>
        <item x="241"/>
        <item x="224"/>
        <item x="0"/>
        <item x="182"/>
        <item x="261"/>
        <item x="267"/>
        <item x="167"/>
        <item x="265"/>
        <item x="176"/>
        <item x="31"/>
        <item x="101"/>
        <item x="204"/>
        <item x="288"/>
        <item x="57"/>
        <item x="146"/>
        <item x="125"/>
        <item x="251"/>
        <item x="169"/>
        <item x="270"/>
        <item x="118"/>
        <item x="34"/>
        <item x="95"/>
        <item x="97"/>
        <item x="175"/>
        <item x="109"/>
        <item x="45"/>
        <item x="67"/>
        <item x="276"/>
        <item x="287"/>
        <item x="82"/>
        <item x="40"/>
        <item x="191"/>
        <item x="269"/>
        <item x="214"/>
        <item x="262"/>
        <item x="166"/>
        <item x="196"/>
        <item x="148"/>
        <item x="9"/>
        <item x="172"/>
        <item x="47"/>
        <item x="171"/>
        <item x="177"/>
        <item x="44"/>
        <item x="80"/>
        <item x="200"/>
        <item x="68"/>
        <item x="74"/>
        <item x="87"/>
        <item x="273"/>
        <item x="98"/>
        <item x="93"/>
        <item x="234"/>
        <item x="127"/>
        <item x="58"/>
        <item x="209"/>
        <item x="236"/>
        <item x="21"/>
        <item x="168"/>
        <item x="198"/>
        <item x="91"/>
        <item x="72"/>
        <item x="14"/>
        <item x="221"/>
        <item x="73"/>
        <item x="33"/>
        <item x="284"/>
        <item x="217"/>
        <item x="289"/>
        <item x="185"/>
        <item x="162"/>
        <item x="199"/>
        <item x="279"/>
        <item x="226"/>
        <item x="113"/>
        <item x="63"/>
        <item x="186"/>
        <item x="225"/>
        <item x="84"/>
        <item x="18"/>
        <item x="29"/>
        <item x="89"/>
        <item x="147"/>
        <item x="244"/>
        <item x="203"/>
        <item x="246"/>
        <item x="38"/>
        <item x="114"/>
        <item x="123"/>
        <item x="36"/>
        <item x="107"/>
        <item x="153"/>
        <item x="108"/>
        <item x="28"/>
        <item x="174"/>
        <item x="222"/>
        <item x="48"/>
        <item x="134"/>
        <item x="138"/>
        <item x="50"/>
        <item x="2"/>
        <item x="286"/>
        <item x="257"/>
        <item x="242"/>
        <item x="10"/>
        <item x="238"/>
        <item x="76"/>
        <item x="26"/>
        <item x="12"/>
        <item x="281"/>
        <item x="164"/>
        <item x="165"/>
        <item x="103"/>
        <item x="143"/>
        <item x="130"/>
        <item x="205"/>
        <item x="117"/>
        <item x="296"/>
        <item x="5"/>
        <item x="61"/>
        <item x="253"/>
        <item x="75"/>
        <item x="124"/>
        <item x="201"/>
        <item x="90"/>
        <item x="179"/>
        <item x="255"/>
        <item x="190"/>
        <item x="24"/>
        <item x="240"/>
        <item x="22"/>
        <item x="54"/>
        <item x="4"/>
        <item x="62"/>
        <item x="35"/>
        <item x="137"/>
        <item x="233"/>
        <item x="135"/>
        <item x="259"/>
        <item x="96"/>
        <item x="189"/>
        <item x="8"/>
        <item x="17"/>
        <item x="99"/>
        <item x="228"/>
        <item x="243"/>
        <item x="170"/>
        <item x="237"/>
        <item x="121"/>
        <item x="129"/>
        <item x="299"/>
        <item x="102"/>
        <item x="184"/>
        <item x="139"/>
        <item x="295"/>
        <item x="254"/>
        <item x="173"/>
        <item x="188"/>
        <item x="212"/>
        <item x="52"/>
        <item x="211"/>
        <item x="112"/>
        <item x="271"/>
        <item x="51"/>
        <item x="55"/>
        <item x="140"/>
        <item x="277"/>
        <item x="128"/>
        <item x="250"/>
        <item x="249"/>
        <item x="6"/>
        <item x="141"/>
        <item x="119"/>
        <item x="235"/>
        <item x="202"/>
        <item x="131"/>
        <item x="100"/>
        <item x="155"/>
        <item x="43"/>
        <item x="122"/>
        <item x="56"/>
        <item x="71"/>
        <item x="227"/>
        <item x="65"/>
        <item x="187"/>
        <item x="163"/>
        <item x="79"/>
        <item x="86"/>
        <item x="30"/>
        <item x="152"/>
        <item x="132"/>
        <item x="23"/>
        <item x="252"/>
        <item x="37"/>
        <item x="41"/>
        <item x="280"/>
        <item x="181"/>
        <item x="294"/>
        <item x="106"/>
        <item x="116"/>
        <item x="216"/>
        <item x="105"/>
        <item x="220"/>
        <item x="297"/>
        <item x="274"/>
        <item x="66"/>
        <item x="94"/>
        <item x="283"/>
        <item x="39"/>
        <item x="278"/>
        <item x="290"/>
        <item x="183"/>
        <item x="275"/>
        <item x="133"/>
        <item x="213"/>
        <item x="192"/>
        <item x="81"/>
        <item x="19"/>
        <item x="42"/>
        <item x="16"/>
        <item x="248"/>
        <item x="60"/>
        <item x="111"/>
        <item x="110"/>
        <item x="20"/>
        <item x="210"/>
        <item x="142"/>
        <item x="160"/>
        <item x="230"/>
        <item x="266"/>
        <item x="264"/>
        <item x="83"/>
        <item x="25"/>
        <item x="178"/>
        <item x="154"/>
        <item x="159"/>
        <item x="144"/>
        <item x="59"/>
        <item x="285"/>
        <item x="78"/>
        <item x="85"/>
        <item x="88"/>
        <item x="263"/>
        <item x="282"/>
        <item x="161"/>
        <item x="3"/>
        <item x="32"/>
        <item x="258"/>
        <item x="207"/>
        <item x="46"/>
        <item x="231"/>
        <item x="126"/>
        <item x="150"/>
        <item x="245"/>
        <item x="158"/>
        <item x="232"/>
        <item x="193"/>
        <item x="145"/>
        <item x="206"/>
        <item x="272"/>
        <item x="151"/>
        <item t="default"/>
      </items>
      <autoSortScope>
        <pivotArea dataOnly="0" outline="0" fieldPosition="0">
          <references count="1">
            <reference field="4294967294" count="1" selected="0">
              <x v="0"/>
            </reference>
          </references>
        </pivotArea>
      </autoSortScope>
    </pivotField>
    <pivotField showAll="0">
      <items count="31">
        <item h="1" x="26"/>
        <item h="1" x="29"/>
        <item h="1" x="1"/>
        <item h="1" x="0"/>
        <item h="1" x="8"/>
        <item h="1" x="14"/>
        <item h="1" x="9"/>
        <item h="1" x="22"/>
        <item h="1" x="19"/>
        <item h="1" x="17"/>
        <item h="1" x="13"/>
        <item x="3"/>
        <item h="1" x="28"/>
        <item h="1" x="25"/>
        <item h="1" x="5"/>
        <item h="1" x="21"/>
        <item h="1" x="20"/>
        <item h="1" x="18"/>
        <item h="1" x="23"/>
        <item h="1" x="24"/>
        <item h="1" x="6"/>
        <item h="1" x="4"/>
        <item h="1" x="15"/>
        <item h="1" x="10"/>
        <item h="1" x="7"/>
        <item h="1" x="11"/>
        <item h="1" x="12"/>
        <item h="1" x="2"/>
        <item h="1" x="27"/>
        <item h="1" x="16"/>
        <item t="default"/>
      </items>
    </pivotField>
    <pivotField showAll="0">
      <items count="31">
        <item x="2"/>
        <item x="11"/>
        <item x="15"/>
        <item x="22"/>
        <item x="7"/>
        <item x="26"/>
        <item x="10"/>
        <item x="21"/>
        <item x="5"/>
        <item x="4"/>
        <item x="3"/>
        <item x="25"/>
        <item x="8"/>
        <item x="16"/>
        <item x="19"/>
        <item x="27"/>
        <item x="9"/>
        <item x="12"/>
        <item x="18"/>
        <item x="28"/>
        <item x="23"/>
        <item x="13"/>
        <item x="0"/>
        <item x="20"/>
        <item x="6"/>
        <item x="1"/>
        <item x="14"/>
        <item x="24"/>
        <item x="17"/>
        <item x="29"/>
        <item t="default"/>
      </items>
    </pivotField>
    <pivotField dataField="1" showAll="0"/>
  </pivotFields>
  <rowFields count="1">
    <field x="0"/>
  </rowFields>
  <rowItems count="10">
    <i>
      <x v="40"/>
    </i>
    <i>
      <x v="115"/>
    </i>
    <i>
      <x v="68"/>
    </i>
    <i>
      <x v="225"/>
    </i>
    <i>
      <x v="93"/>
    </i>
    <i>
      <x v="203"/>
    </i>
    <i>
      <x v="125"/>
    </i>
    <i>
      <x v="263"/>
    </i>
    <i>
      <x v="171"/>
    </i>
    <i t="grand">
      <x/>
    </i>
  </rowItems>
  <colItems count="1">
    <i/>
  </colItems>
  <dataFields count="1">
    <dataField name="Sum of Column4" fld="3" baseField="0" baseItem="0"/>
  </dataFields>
  <formats count="1">
    <format dxfId="26">
      <pivotArea grandRow="1"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7E49BE-CD76-4D34-B020-1ADA6153ED9E}"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L11" firstHeaderRow="1" firstDataRow="2" firstDataCol="1"/>
  <pivotFields count="4">
    <pivotField axis="axisCol" showAll="0">
      <items count="6">
        <item x="0"/>
        <item x="1"/>
        <item x="2"/>
        <item x="3"/>
        <item x="4"/>
        <item t="default"/>
      </items>
    </pivotField>
    <pivotField axis="axisRow" showAll="0">
      <items count="61">
        <item x="8"/>
        <item x="25"/>
        <item x="53"/>
        <item x="37"/>
        <item x="27"/>
        <item x="54"/>
        <item x="58"/>
        <item x="50"/>
        <item x="12"/>
        <item x="14"/>
        <item x="4"/>
        <item x="36"/>
        <item x="5"/>
        <item x="15"/>
        <item x="44"/>
        <item x="11"/>
        <item x="3"/>
        <item x="6"/>
        <item x="26"/>
        <item x="41"/>
        <item x="22"/>
        <item x="23"/>
        <item x="30"/>
        <item x="51"/>
        <item x="18"/>
        <item x="43"/>
        <item x="42"/>
        <item x="40"/>
        <item x="35"/>
        <item x="29"/>
        <item x="9"/>
        <item x="56"/>
        <item x="19"/>
        <item x="24"/>
        <item x="2"/>
        <item x="48"/>
        <item x="7"/>
        <item x="45"/>
        <item x="38"/>
        <item x="1"/>
        <item x="13"/>
        <item x="10"/>
        <item x="17"/>
        <item x="20"/>
        <item x="57"/>
        <item x="49"/>
        <item x="39"/>
        <item x="28"/>
        <item x="34"/>
        <item x="32"/>
        <item x="21"/>
        <item x="33"/>
        <item x="52"/>
        <item x="55"/>
        <item x="47"/>
        <item x="59"/>
        <item x="0"/>
        <item x="46"/>
        <item x="31"/>
        <item x="16"/>
        <item t="default"/>
      </items>
    </pivotField>
    <pivotField dataField="1" showAll="0"/>
    <pivotField showAll="0">
      <items count="20">
        <item x="0"/>
        <item h="1" x="1"/>
        <item h="1" x="2"/>
        <item h="1" x="3"/>
        <item h="1" x="4"/>
        <item h="1" x="5"/>
        <item h="1" x="6"/>
        <item h="1" x="7"/>
        <item h="1" x="8"/>
        <item h="1" x="9"/>
        <item h="1" x="10"/>
        <item h="1" x="11"/>
        <item h="1" x="12"/>
        <item h="1" x="13"/>
        <item h="1" x="14"/>
        <item h="1" x="15"/>
        <item h="1" x="16"/>
        <item h="1" x="17"/>
        <item h="1" x="18"/>
        <item t="default"/>
      </items>
    </pivotField>
  </pivotFields>
  <rowFields count="1">
    <field x="1"/>
  </rowFields>
  <rowItems count="6">
    <i>
      <x v="1"/>
    </i>
    <i>
      <x v="19"/>
    </i>
    <i>
      <x v="40"/>
    </i>
    <i>
      <x v="51"/>
    </i>
    <i>
      <x v="56"/>
    </i>
    <i t="grand">
      <x/>
    </i>
  </rowItems>
  <colFields count="1">
    <field x="0"/>
  </colFields>
  <colItems count="6">
    <i>
      <x/>
    </i>
    <i>
      <x v="1"/>
    </i>
    <i>
      <x v="2"/>
    </i>
    <i>
      <x v="3"/>
    </i>
    <i>
      <x v="4"/>
    </i>
    <i t="grand">
      <x/>
    </i>
  </colItems>
  <dataFields count="1">
    <dataField name="Sum of revenue" fld="2" baseField="1" baseItem="0" numFmtId="4"/>
  </dataFields>
  <conditionalFormats count="1">
    <conditionalFormat priority="1">
      <pivotAreas count="1">
        <pivotArea type="data" collapsedLevelsAreSubtotals="1" fieldPosition="0">
          <references count="3">
            <reference field="4294967294" count="1" selected="0">
              <x v="0"/>
            </reference>
            <reference field="0" count="5" selected="0">
              <x v="0"/>
              <x v="1"/>
              <x v="2"/>
              <x v="3"/>
              <x v="4"/>
            </reference>
            <reference field="1" count="6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7058E56-3BCB-45AD-8A27-D770D344C75C}" autoFormatId="16" applyNumberFormats="0" applyBorderFormats="0" applyFontFormats="0" applyPatternFormats="0" applyAlignmentFormats="0" applyWidthHeightFormats="0">
  <queryTableRefresh nextId="2">
    <queryTableFields count="1">
      <queryTableField id="1" name="Column1"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8" xr16:uid="{0F055554-A78A-467B-AD79-45551CBAF374}" autoFormatId="16" applyNumberFormats="0" applyBorderFormats="0" applyFontFormats="0" applyPatternFormats="0" applyAlignmentFormats="0" applyWidthHeightFormats="0">
  <queryTableRefresh nextId="3">
    <queryTableFields count="2">
      <queryTableField id="1" name="Column1" tableColumnId="3"/>
      <queryTableField id="2" name="Column2"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9" xr16:uid="{E380CD70-0829-452B-927A-BBE7602299E5}" autoFormatId="16" applyNumberFormats="0" applyBorderFormats="0" applyFontFormats="0" applyPatternFormats="0" applyAlignmentFormats="0" applyWidthHeightFormats="0">
  <queryTableRefresh nextId="4">
    <queryTableFields count="3">
      <queryTableField id="1" name="Column1" tableColumnId="4"/>
      <queryTableField id="2" name="Column2" tableColumnId="2"/>
      <queryTableField id="3" name="Column3"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0" xr16:uid="{FEF7C9FA-D65D-4DB9-A958-E77AF060DAB7}" autoFormatId="16" applyNumberFormats="0" applyBorderFormats="0" applyFontFormats="0" applyPatternFormats="0" applyAlignmentFormats="0" applyWidthHeightFormats="0">
  <queryTableRefresh nextId="5">
    <queryTableFields count="4">
      <queryTableField id="1" name="Column1" tableColumnId="4"/>
      <queryTableField id="4" dataBound="0" tableColumnId="5"/>
      <queryTableField id="2" name="Column2" tableColumnId="2"/>
      <queryTableField id="3" name="Column3"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1" xr16:uid="{1987AEA8-79F1-46D3-9E6A-CB494E95FC09}" autoFormatId="16" applyNumberFormats="0" applyBorderFormats="0" applyFontFormats="0" applyPatternFormats="0" applyAlignmentFormats="0" applyWidthHeightFormats="0">
  <queryTableRefresh nextId="3">
    <queryTableFields count="2">
      <queryTableField id="1" name="Column1" tableColumnId="3"/>
      <queryTableField id="2" name="Column2"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2" xr16:uid="{F27C6D8D-34C6-49E5-83E4-3FDF9594C8DD}" autoFormatId="16" applyNumberFormats="0" applyBorderFormats="0" applyFontFormats="0" applyPatternFormats="0" applyAlignmentFormats="0" applyWidthHeightFormats="0">
  <queryTableRefresh nextId="4">
    <queryTableFields count="3">
      <queryTableField id="1" name="Column1" tableColumnId="4"/>
      <queryTableField id="2" name="Column2" tableColumnId="2"/>
      <queryTableField id="3" name="Column3"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3" xr16:uid="{314EC907-807A-4D44-AFA8-F23733258259}" autoFormatId="16" applyNumberFormats="0" applyBorderFormats="0" applyFontFormats="0" applyPatternFormats="0" applyAlignmentFormats="0" applyWidthHeightFormats="0">
  <queryTableRefresh nextId="3">
    <queryTableFields count="2">
      <queryTableField id="1" name="Column1" tableColumnId="3"/>
      <queryTableField id="2" name="Column2"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4" xr16:uid="{E79C4BEE-0FBA-4372-9ADC-AF5C6269D84F}" autoFormatId="16" applyNumberFormats="0" applyBorderFormats="0" applyFontFormats="0" applyPatternFormats="0" applyAlignmentFormats="0" applyWidthHeightFormats="0">
  <queryTableRefresh nextId="5">
    <queryTableFields count="4">
      <queryTableField id="1" name="Column1" tableColumnId="4"/>
      <queryTableField id="2" name="Column2" tableColumnId="2"/>
      <queryTableField id="4" dataBound="0" tableColumnId="5"/>
      <queryTableField id="3" name="Column3"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5" xr16:uid="{B37A5645-B8D3-4794-8BD3-E9F84781DDB5}" autoFormatId="16" applyNumberFormats="0" applyBorderFormats="0" applyFontFormats="0" applyPatternFormats="0" applyAlignmentFormats="0" applyWidthHeightFormats="0">
  <queryTableRefresh nextId="5">
    <queryTableFields count="4">
      <queryTableField id="1" name="Column1" tableColumnId="5"/>
      <queryTableField id="2" name="Column2" tableColumnId="2"/>
      <queryTableField id="3" name="Column3" tableColumnId="3"/>
      <queryTableField id="4" name="Column4" tableColumnId="4"/>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3" xr16:uid="{314977A0-9E39-46B3-B6F8-5F2FAFFF1A70}" autoFormatId="16" applyNumberFormats="0" applyBorderFormats="0" applyFontFormats="0" applyPatternFormats="0" applyAlignmentFormats="0" applyWidthHeightFormats="0">
  <queryTableRefresh nextId="5">
    <queryTableFields count="4">
      <queryTableField id="1" name="Column1" tableColumnId="5"/>
      <queryTableField id="2" name="Column2" tableColumnId="2"/>
      <queryTableField id="3" name="Column3" tableColumnId="3"/>
      <queryTableField id="4" name="Column4" tableColumnId="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4" xr16:uid="{AB1FEB3C-A74E-4B75-A729-1C10B829257E}" autoFormatId="16" applyNumberFormats="0" applyBorderFormats="0" applyFontFormats="0" applyPatternFormats="0" applyAlignmentFormats="0" applyWidthHeightFormats="0">
  <queryTableRefresh nextId="5">
    <queryTableFields count="4">
      <queryTableField id="1" name="Column1" tableColumnId="5"/>
      <queryTableField id="2" name="Column2" tableColumnId="2"/>
      <queryTableField id="3" name="Column3" tableColumnId="3"/>
      <queryTableField id="4" name="Column4" tableColumnId="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5" xr16:uid="{A729AA16-29C7-4C4E-9EC1-1189A521BE28}" autoFormatId="16" applyNumberFormats="0" applyBorderFormats="0" applyFontFormats="0" applyPatternFormats="0" applyAlignmentFormats="0" applyWidthHeightFormats="0">
  <queryTableRefresh nextId="6">
    <queryTableFields count="5">
      <queryTableField id="1" name="Column1" tableColumnId="5"/>
      <queryTableField id="2" name="Column2" tableColumnId="2"/>
      <queryTableField id="5" dataBound="0" tableColumnId="6"/>
      <queryTableField id="3" name="Column3" tableColumnId="3"/>
      <queryTableField id="4" name="Column4" tableColumnId="4"/>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6" xr16:uid="{577D64F5-7B8D-4DF9-9C39-7B926AEA8B24}" autoFormatId="16" applyNumberFormats="0" applyBorderFormats="0" applyFontFormats="0" applyPatternFormats="0" applyAlignmentFormats="0" applyWidthHeightFormats="0">
  <queryTableRefresh nextId="9">
    <queryTableFields count="8">
      <queryTableField id="1" name="Column1" tableColumnId="8"/>
      <queryTableField id="2" name="Column2" tableColumnId="2"/>
      <queryTableField id="8" dataBound="0" tableColumnId="9"/>
      <queryTableField id="3" name="Column3" tableColumnId="3"/>
      <queryTableField id="4" name="Column4" tableColumnId="4"/>
      <queryTableField id="5" name="Column5" tableColumnId="5"/>
      <queryTableField id="6" name="Column6" tableColumnId="6"/>
      <queryTableField id="7" name="Column7" tableColumnId="7"/>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7" xr16:uid="{461D0C45-2C1C-49D2-8F41-552AA04DE738}" autoFormatId="16" applyNumberFormats="0" applyBorderFormats="0" applyFontFormats="0" applyPatternFormats="0" applyAlignmentFormats="0" applyWidthHeightFormats="0">
  <queryTableRefresh nextId="4">
    <queryTableFields count="3">
      <queryTableField id="1" name="Column1" tableColumnId="4"/>
      <queryTableField id="2" name="Column2" tableColumnId="2"/>
      <queryTableField id="3" name="Column3" tableColumnId="3"/>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connectionId="1" xr16:uid="{ECB23D22-18DC-44BA-AD0A-F378D1673AD0}" autoFormatId="16" applyNumberFormats="0" applyBorderFormats="0" applyFontFormats="0" applyPatternFormats="0" applyAlignmentFormats="0" applyWidthHeightFormats="0">
  <queryTableRefresh nextId="6">
    <queryTableFields count="5">
      <queryTableField id="1" name="Column1" tableColumnId="6"/>
      <queryTableField id="2" name="Column2" tableColumnId="2"/>
      <queryTableField id="3" name="Column3" tableColumnId="3"/>
      <queryTableField id="4" name="Column4" tableColumnId="4"/>
      <queryTableField id="5" name="Column5"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F8E10EAE-DA6E-46F6-A433-443D0D9F0821}" sourceName="Column1">
  <pivotTables>
    <pivotTable tabId="7" name="PivotTable1"/>
  </pivotTables>
  <data>
    <tabular pivotCacheId="844510579">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 xr10:uid="{EEC1C262-82B8-4406-AD77-158C950A1BA2}" sourceName="origin">
  <pivotTables>
    <pivotTable tabId="17" name="PivotTable2"/>
  </pivotTables>
  <data>
    <tabular pivotCacheId="1181350400">
      <items count="30">
        <i x="26"/>
        <i x="29"/>
        <i x="1"/>
        <i x="0"/>
        <i x="8"/>
        <i x="14"/>
        <i x="9"/>
        <i x="22"/>
        <i x="19"/>
        <i x="17"/>
        <i x="13"/>
        <i x="3" s="1"/>
        <i x="28"/>
        <i x="25"/>
        <i x="5"/>
        <i x="21"/>
        <i x="20"/>
        <i x="18"/>
        <i x="23"/>
        <i x="24"/>
        <i x="6"/>
        <i x="4"/>
        <i x="15"/>
        <i x="10"/>
        <i x="7"/>
        <i x="11"/>
        <i x="12"/>
        <i x="2"/>
        <i x="27"/>
        <i x="16"/>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 xr10:uid="{028B24C1-F25A-410A-9235-125E4A1784B5}" sourceName="destination">
  <pivotTables>
    <pivotTable tabId="17" name="PivotTable2"/>
  </pivotTables>
  <data>
    <tabular pivotCacheId="1181350400">
      <items count="30">
        <i x="7" s="1"/>
        <i x="3" s="1"/>
        <i x="8" s="1"/>
        <i x="18" s="1"/>
        <i x="0" s="1"/>
        <i x="20" s="1"/>
        <i x="6" s="1"/>
        <i x="1" s="1"/>
        <i x="29" s="1"/>
        <i x="2" s="1" nd="1"/>
        <i x="11" s="1" nd="1"/>
        <i x="15" s="1" nd="1"/>
        <i x="22" s="1" nd="1"/>
        <i x="26" s="1" nd="1"/>
        <i x="10" s="1" nd="1"/>
        <i x="21" s="1" nd="1"/>
        <i x="5" s="1" nd="1"/>
        <i x="4" s="1" nd="1"/>
        <i x="25" s="1" nd="1"/>
        <i x="16" s="1" nd="1"/>
        <i x="19" s="1" nd="1"/>
        <i x="27" s="1" nd="1"/>
        <i x="9" s="1" nd="1"/>
        <i x="12" s="1" nd="1"/>
        <i x="28" s="1" nd="1"/>
        <i x="23" s="1" nd="1"/>
        <i x="13" s="1" nd="1"/>
        <i x="14" s="1" nd="1"/>
        <i x="24" s="1" nd="1"/>
        <i x="1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rank_in_industry" xr10:uid="{6CC3D984-B200-4890-A628-FAF3D71F25F5}" sourceName="client rank in industry">
  <pivotTables>
    <pivotTable tabId="12" name="PivotTable3"/>
  </pivotTables>
  <data>
    <tabular pivotCacheId="1262380904">
      <items count="19">
        <i x="0" s="1"/>
        <i x="1"/>
        <i x="2"/>
        <i x="3"/>
        <i x="4"/>
        <i x="5"/>
        <i x="6"/>
        <i x="7"/>
        <i x="8"/>
        <i x="9"/>
        <i x="10"/>
        <i x="11"/>
        <i x="12"/>
        <i x="13"/>
        <i x="14"/>
        <i x="15"/>
        <i x="16"/>
        <i x="17"/>
        <i x="1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xr10:uid="{8BCB77AF-3372-47A2-87A8-A740D6717066}" cache="Slicer_Column1" caption="Colum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igin" xr10:uid="{3C90AC60-EBB4-48DC-92D9-B86AA8BF2566}" cache="Slicer_origin" caption="origin" startItem="7" style="SlicerStyleOther1" rowHeight="241300"/>
  <slicer name="destination" xr10:uid="{FC1E78FD-3127-4394-99E2-21ACC529F400}" cache="Slicer_destination" caption="destination" style="SlicerStyleLight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rank in industry" xr10:uid="{F3BD29DE-FD3E-46D6-B0AD-960010D55C04}" cache="Slicer_client_rank_in_industry" caption="client rank in indust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3F6E72-3958-4C26-8C53-537671E8ED70}" name="ka_res_1" displayName="ka_res_1" ref="A1:A2" tableType="queryTable" totalsRowShown="0">
  <autoFilter ref="A1:A2" xr:uid="{673F6E72-3958-4C26-8C53-537671E8ED70}"/>
  <tableColumns count="1">
    <tableColumn id="2" xr3:uid="{259D2687-04E7-48A0-B7CE-1155BAB1D170}" uniqueName="2" name="Column1" queryTableFieldId="1" dataDxfId="5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6643E4-0A4E-45CC-BC98-14CBB025BB58}" name="ka_res_2" displayName="ka_res_2" ref="A1:B61" tableType="queryTable" totalsRowShown="0">
  <autoFilter ref="A1:B61" xr:uid="{2A6643E4-0A4E-45CC-BC98-14CBB025BB58}"/>
  <sortState xmlns:xlrd2="http://schemas.microsoft.com/office/spreadsheetml/2017/richdata2" ref="A2:B61">
    <sortCondition ref="B1:B61"/>
  </sortState>
  <tableColumns count="2">
    <tableColumn id="3" xr3:uid="{91FA7017-DCC7-4710-936C-489F68F5ABF7}" uniqueName="3" name="Column1" queryTableFieldId="1" dataDxfId="56"/>
    <tableColumn id="2" xr3:uid="{2F3A257A-BDF9-4BD0-893B-8816D6F37FF5}" uniqueName="2" name="Column2" queryTableFieldId="2" dataDxfId="5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3EE527-4AF0-4615-BF1F-16F39BAAFED3}" name="ka_res_3" displayName="ka_res_3" ref="A1:C33" tableType="queryTable" totalsRowShown="0">
  <autoFilter ref="A1:C33" xr:uid="{7D3EE527-4AF0-4615-BF1F-16F39BAAFED3}"/>
  <tableColumns count="3">
    <tableColumn id="4" xr3:uid="{D5E40AEB-C33D-4546-AEC7-62453AAD515D}" uniqueName="4" name="Column1" queryTableFieldId="1" dataDxfId="54"/>
    <tableColumn id="2" xr3:uid="{F3DBE8FE-CCD0-4BEE-9B36-081F0F206DEE}" uniqueName="2" name="Column2" queryTableFieldId="2" dataDxfId="53"/>
    <tableColumn id="3" xr3:uid="{35C6AB04-9F7E-43A3-88FA-C25E6CE6368E}" uniqueName="3" name="Column3" queryTableFieldId="3" dataDxfId="5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97FF6A-793D-42CB-8506-EECCDE92B494}" name="ka_res_4" displayName="ka_res_4" ref="A1:D301" tableType="queryTable" totalsRowShown="0">
  <autoFilter ref="A1:D301" xr:uid="{D997FF6A-793D-42CB-8506-EECCDE92B494}">
    <filterColumn colId="3">
      <top10 val="15" filterVal="1305.9000000000001"/>
    </filterColumn>
  </autoFilter>
  <sortState xmlns:xlrd2="http://schemas.microsoft.com/office/spreadsheetml/2017/richdata2" ref="A2:D301">
    <sortCondition ref="D1:D301"/>
  </sortState>
  <tableColumns count="4">
    <tableColumn id="4" xr3:uid="{38D9690C-C238-46B6-8BCD-DFEF606055D6}" uniqueName="4" name="Column1" queryTableFieldId="1"/>
    <tableColumn id="5" xr3:uid="{007804F1-05D7-4DBC-A815-9D4B84491FDB}" uniqueName="5" name="Column12" queryTableFieldId="4" dataDxfId="29">
      <calculatedColumnFormula xml:space="preserve"> CONCATENATE("ruta ", ka_res_4[[#This Row],[Column1]])</calculatedColumnFormula>
    </tableColumn>
    <tableColumn id="2" xr3:uid="{12B0E0B8-5E94-4F80-866D-E9B0F2C55AD2}" uniqueName="2" name="Column2" queryTableFieldId="2" dataDxfId="51"/>
    <tableColumn id="3" xr3:uid="{E21D7DD4-9064-444D-AA8B-49ACE48CA3FD}" uniqueName="3" name="Column3"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4C456A-B91A-4648-A76F-E7ED26F2AA5F}" name="ka_res_5" displayName="ka_res_5" ref="A1:B5" tableType="queryTable" totalsRowShown="0">
  <autoFilter ref="A1:B5" xr:uid="{EA4C456A-B91A-4648-A76F-E7ED26F2AA5F}"/>
  <tableColumns count="2">
    <tableColumn id="3" xr3:uid="{F0433A4F-B0C1-4647-8180-39EFDB9906C3}" uniqueName="3" name="Vehicle Type" queryTableFieldId="1" dataDxfId="50"/>
    <tableColumn id="2" xr3:uid="{300D59D7-1E1C-436E-BBF4-8FDB01C4A5FA}" uniqueName="2" name="Total Shipments" queryTableFieldId="2" dataDxfId="4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45FEC3B-988D-4502-9A10-A1E279757555}" name="ka_res_6" displayName="ka_res_6" ref="A1:C11" tableType="queryTable" totalsRowShown="0">
  <autoFilter ref="A1:C11" xr:uid="{345FEC3B-988D-4502-9A10-A1E279757555}"/>
  <tableColumns count="3">
    <tableColumn id="4" xr3:uid="{CF46BD89-2AC7-463D-A9AC-169EAF559D95}" uniqueName="4" name="Column1" queryTableFieldId="1" dataDxfId="48"/>
    <tableColumn id="2" xr3:uid="{7064F13C-2236-4BEE-AB26-F04BFC2455AE}" uniqueName="2" name="Column2" queryTableFieldId="2" dataDxfId="47"/>
    <tableColumn id="3" xr3:uid="{0E397489-C0E1-4E92-B787-5FA03C954DEC}" uniqueName="3" name="Column3" queryTableFieldId="3" dataDxfId="4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C1AC0A-2B1F-46E5-8276-C3E2D90FA401}" name="ka_res_7" displayName="ka_res_7" ref="A1:B6" tableType="queryTable" totalsRowShown="0">
  <autoFilter ref="A1:B6" xr:uid="{8DC1AC0A-2B1F-46E5-8276-C3E2D90FA401}"/>
  <tableColumns count="2">
    <tableColumn id="3" xr3:uid="{0DAA08AC-2654-4300-9F14-BC5D68874FDC}" uniqueName="3" name="top 5 clients by revenue per ton" queryTableFieldId="1" dataDxfId="45"/>
    <tableColumn id="2" xr3:uid="{0B79F598-A1F7-4F93-BD4D-834082C22218}" uniqueName="2" name="REVENUE PER TONE" queryTableFieldId="2" dataDxfId="4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E79271-564A-4403-A3FE-11A109E5FF28}" name="ka_res_8" displayName="ka_res_8" ref="A1:D25" tableType="queryTable" totalsRowShown="0">
  <autoFilter ref="A1:D25" xr:uid="{9DE79271-564A-4403-A3FE-11A109E5FF28}"/>
  <tableColumns count="4">
    <tableColumn id="4" xr3:uid="{36F32DD7-A18B-4218-92FD-699E2372CB46}" uniqueName="4" name="YEAR" queryTableFieldId="1" dataDxfId="43"/>
    <tableColumn id="2" xr3:uid="{85F8246E-18A5-4942-B04F-995DCDDEF01A}" uniqueName="2" name="MONTH" queryTableFieldId="2" dataDxfId="42"/>
    <tableColumn id="5" xr3:uid="{AD33ED42-4440-4AB8-9F5A-7C285E68EBD5}" uniqueName="5" name="Column1" queryTableFieldId="4" dataDxfId="25">
      <calculatedColumnFormula>CONCATENATE(ka_res_8[[#This Row],[YEAR]]&amp;"-",ka_res_8[[#This Row],[MONTH]])</calculatedColumnFormula>
    </tableColumn>
    <tableColumn id="3" xr3:uid="{27554615-95A5-49BA-B24C-A8EF1729DA75}" uniqueName="3" name="AVERAGE REVENUE" queryTableFieldId="3" dataDxfId="4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3498409-0A5E-430E-9FFF-4C628DBC8B71}" name="ka_res_9" displayName="ka_res_9" ref="A1:D8" tableType="queryTable" totalsRowShown="0">
  <autoFilter ref="A1:D8" xr:uid="{73498409-0A5E-430E-9FFF-4C628DBC8B71}"/>
  <tableColumns count="4">
    <tableColumn id="5" xr3:uid="{A2B57BCF-E170-4AE1-8316-31ED1BF28FE0}" uniqueName="5" name="Manager" queryTableFieldId="1" dataDxfId="40"/>
    <tableColumn id="2" xr3:uid="{558369D3-3880-454B-B6B1-6AD929F3C583}" uniqueName="2" name="Numb_of_clients" queryTableFieldId="2" dataDxfId="39"/>
    <tableColumn id="3" xr3:uid="{0A4CA284-3C02-4178-8104-EC3CC6CBECCE}" uniqueName="3" name="Total Margin" queryTableFieldId="3" dataDxfId="28"/>
    <tableColumn id="4" xr3:uid="{A3E87C97-1DFE-470B-8CBF-D7BBDF442E82}" uniqueName="4" name="MarginPerClient" queryTableFieldId="4" dataDxfId="2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136FFAD-BC3A-4A35-AE9F-9C95C86B3BFE}" name="ka_res_10" displayName="ka_res_10" ref="A1:D301" tableType="queryTable" totalsRowShown="0">
  <autoFilter ref="A1:D301" xr:uid="{0136FFAD-BC3A-4A35-AE9F-9C95C86B3BFE}"/>
  <tableColumns count="4">
    <tableColumn id="5" xr3:uid="{0818CDDC-7292-4C6C-A2A8-7375CEE00413}" uniqueName="5" name="Column1" queryTableFieldId="1"/>
    <tableColumn id="2" xr3:uid="{D13D7634-69CE-48BC-AACB-3C252A3C0024}" uniqueName="2" name="origin" queryTableFieldId="2" dataDxfId="38"/>
    <tableColumn id="3" xr3:uid="{31B84D8A-A026-468B-AA3D-4D05ED7243CE}" uniqueName="3" name="destination" queryTableFieldId="3" dataDxfId="37"/>
    <tableColumn id="4" xr3:uid="{ECA488EC-BD55-4978-A6A6-E86BF8DECC88}" uniqueName="4" name="Column4" queryTableFieldId="4"/>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6B534D6-11A8-4B9C-90A5-1648F6999942}" name="ka_res_11" displayName="ka_res_11" ref="A1:D61" tableType="queryTable" totalsRowShown="0">
  <autoFilter ref="A1:D61" xr:uid="{06B534D6-11A8-4B9C-90A5-1648F6999942}"/>
  <tableColumns count="4">
    <tableColumn id="5" xr3:uid="{E1B53A30-D97E-4A25-BB4E-EB7E36B51732}" uniqueName="5" name="industry" queryTableFieldId="1" dataDxfId="36"/>
    <tableColumn id="2" xr3:uid="{82D14EEB-22C5-4B51-B6EC-0B5A58DFC08E}" uniqueName="2" name="client" queryTableFieldId="2" dataDxfId="35"/>
    <tableColumn id="3" xr3:uid="{5B7A806C-BC2C-44F8-B73D-A64DAFAF58D6}" uniqueName="3" name="revenue" queryTableFieldId="3"/>
    <tableColumn id="4" xr3:uid="{A36F35E6-C08B-4DFE-B17A-943199B4EDBE}" uniqueName="4" name="client rank in industry" queryTableFieldId="4"/>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FAE5688-03EE-41A0-AA07-F72CDFB861D2}" name="ka_res_12" displayName="ka_res_12" ref="A1:E25" tableType="queryTable" totalsRowShown="0">
  <autoFilter ref="A1:E25" xr:uid="{7FAE5688-03EE-41A0-AA07-F72CDFB861D2}"/>
  <tableColumns count="5">
    <tableColumn id="5" xr3:uid="{967C1840-2F89-4BA3-A06D-AA083E0448BF}" uniqueName="5" name="Column1" queryTableFieldId="1" dataDxfId="34"/>
    <tableColumn id="2" xr3:uid="{3148F531-FD62-4078-AE4F-691B7A9964BC}" uniqueName="2" name="Column2" queryTableFieldId="2" dataDxfId="33"/>
    <tableColumn id="6" xr3:uid="{87A61FA4-FC4D-4247-820B-348C48B7F354}" uniqueName="6" name="YearMonth" queryTableFieldId="5" dataDxfId="24">
      <calculatedColumnFormula>CONCATENATE(ka_res_12[[#This Row],[Column1]]&amp;"-",ka_res_12[[#This Row],[Column2]])</calculatedColumnFormula>
    </tableColumn>
    <tableColumn id="3" xr3:uid="{D09A0E26-352A-4F09-9CF4-63707393FBDA}" uniqueName="3" name="TOTAL REVENUE" queryTableFieldId="3" dataDxfId="22"/>
    <tableColumn id="4" xr3:uid="{9DAC03C9-CB19-4997-9A62-A78392FD6A43}" uniqueName="4" name="CUMULATIVE REVENUE" queryTableFieldId="4" dataDxfId="23"/>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AA8C226-B2C7-4C9C-B63B-C2F9FF558F23}" name="ka_res_13" displayName="ka_res_13" ref="A1:H25" tableType="queryTable" totalsRowShown="0">
  <autoFilter ref="A1:H25" xr:uid="{CAA8C226-B2C7-4C9C-B63B-C2F9FF558F23}"/>
  <tableColumns count="8">
    <tableColumn id="8" xr3:uid="{303FFDFC-04DB-4A82-83EE-A6EFDB1786A8}" uniqueName="8" name="Column1" queryTableFieldId="1" dataDxfId="21"/>
    <tableColumn id="2" xr3:uid="{1835E7D1-B361-450B-AC57-F6718E7F14E0}" uniqueName="2" name="Column2" queryTableFieldId="2" dataDxfId="20"/>
    <tableColumn id="9" xr3:uid="{5FCA32F1-3A6A-4E69-866B-861A82311489}" uniqueName="9" name="Column3" queryTableFieldId="8" dataDxfId="19">
      <calculatedColumnFormula>CONCATENATE(ka_res_13[[#This Row],[Column1]]&amp;"-", ka_res_13[[#This Row],[Column2]])</calculatedColumnFormula>
    </tableColumn>
    <tableColumn id="3" xr3:uid="{6F3723C3-F6A5-40F4-8C78-74AEF789D58A}" uniqueName="3" name="TotalRevenueTY" queryTableFieldId="3" dataDxfId="18"/>
    <tableColumn id="4" xr3:uid="{FC0CDE66-6C38-403D-8DB3-D10ED85CA7F0}" uniqueName="4" name="TotalRevenueLY" queryTableFieldId="4" dataDxfId="17"/>
    <tableColumn id="5" xr3:uid="{1EDC7959-F2C2-4D73-9261-703ECB2235D9}" uniqueName="5" name="YoY_RevenueGrowth" queryTableFieldId="5" dataDxfId="15"/>
    <tableColumn id="6" xr3:uid="{DF2D6383-5F6F-451A-A4F8-7E03330F0667}" uniqueName="6" name="RevenueLM" queryTableFieldId="6" dataDxfId="16"/>
    <tableColumn id="7" xr3:uid="{1F4BCD05-A9D9-4BDF-A9E2-FF9D256BB88C}" uniqueName="7" name="MoM_RevenueGrowth" queryTableFieldId="7" dataDxfId="14"/>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2F60342-196B-405F-BA7A-898C3F81F9B7}" name="ka_res_15" displayName="ka_res_15" ref="A1:C3" tableType="queryTable" totalsRowShown="0">
  <autoFilter ref="A1:C3" xr:uid="{B2F60342-196B-405F-BA7A-898C3F81F9B7}"/>
  <tableColumns count="3">
    <tableColumn id="4" xr3:uid="{7930A62C-7C53-4724-BC82-84E77AE41C44}" uniqueName="4" name="Region" queryTableFieldId="1" dataDxfId="32"/>
    <tableColumn id="2" xr3:uid="{CBDB1EF6-C42D-4A3C-9CF3-AF137DF3E9C2}" uniqueName="2" name="Rute" queryTableFieldId="2" dataDxfId="31"/>
    <tableColumn id="3" xr3:uid="{BE99F9D9-0462-413D-999E-CBB522F32AD6}" uniqueName="3" name="Margin" queryTableFieldId="3" dataDxfId="13"/>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953E494-F573-4336-B6E5-2C411C3AB8FE}" name="ka_ras_14" displayName="ka_ras_14" ref="A1:E61" tableType="queryTable" totalsRowShown="0">
  <autoFilter ref="A1:E61" xr:uid="{1953E494-F573-4336-B6E5-2C411C3AB8FE}"/>
  <tableColumns count="5">
    <tableColumn id="6" xr3:uid="{00FE294B-9255-4285-AA3C-718F7968CCF0}" uniqueName="6" name="Client" queryTableFieldId="1" dataDxfId="30"/>
    <tableColumn id="2" xr3:uid="{0FB7C91F-2B44-4F2A-A611-45FB8AB69D60}" uniqueName="2" name="Margin pct" queryTableFieldId="2" dataDxfId="12"/>
    <tableColumn id="3" xr3:uid="{98DA9C3D-FA32-4F6A-ACCC-1FE3857FB0EA}" uniqueName="3" name="Avg margin pct" queryTableFieldId="3" dataDxfId="11"/>
    <tableColumn id="4" xr3:uid="{12122165-53A4-403C-9E53-C7F8F152D721}" uniqueName="4" name="Difference from avg" queryTableFieldId="4" dataDxfId="10"/>
    <tableColumn id="5" xr3:uid="{DD2E377F-592B-479B-91C8-7C03F02DCEBB}" uniqueName="5" name="revenue share of total" queryTableFieldId="5"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4.xml"/><Relationship Id="rId1" Type="http://schemas.openxmlformats.org/officeDocument/2006/relationships/pivotTable" Target="../pivotTables/pivotTable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7.xml"/><Relationship Id="rId1" Type="http://schemas.openxmlformats.org/officeDocument/2006/relationships/pivotTable" Target="../pivotTables/pivotTable3.xml"/><Relationship Id="rId4" Type="http://schemas.microsoft.com/office/2007/relationships/slicer" Target="../slicers/slicer3.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8581F-3E25-4CCA-B1C8-47D2B4B3D37B}">
  <dimension ref="A1:A2"/>
  <sheetViews>
    <sheetView workbookViewId="0">
      <selection activeCell="C11" sqref="C11"/>
    </sheetView>
  </sheetViews>
  <sheetFormatPr defaultRowHeight="14.5" x14ac:dyDescent="0.35"/>
  <cols>
    <col min="1" max="1" width="10.54296875" bestFit="1" customWidth="1"/>
  </cols>
  <sheetData>
    <row r="1" spans="1:1" x14ac:dyDescent="0.35">
      <c r="A1" s="1" t="s">
        <v>0</v>
      </c>
    </row>
    <row r="2" spans="1:1" x14ac:dyDescent="0.35">
      <c r="A2" s="1">
        <v>42000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357FB-6AC3-4C5A-8799-3235F6E9D7A6}">
  <dimension ref="A1:B61"/>
  <sheetViews>
    <sheetView topLeftCell="A2" zoomScale="70" zoomScaleNormal="70" workbookViewId="0">
      <selection activeCell="M6" sqref="M6"/>
    </sheetView>
  </sheetViews>
  <sheetFormatPr defaultRowHeight="14.5" x14ac:dyDescent="0.35"/>
  <cols>
    <col min="1" max="1" width="11.36328125" bestFit="1" customWidth="1"/>
    <col min="2" max="2" width="11.81640625" bestFit="1" customWidth="1"/>
  </cols>
  <sheetData>
    <row r="1" spans="1:2" x14ac:dyDescent="0.35">
      <c r="A1" s="1" t="s">
        <v>0</v>
      </c>
      <c r="B1" s="1" t="s">
        <v>1</v>
      </c>
    </row>
    <row r="2" spans="1:2" x14ac:dyDescent="0.35">
      <c r="A2" s="1" t="s">
        <v>61</v>
      </c>
      <c r="B2" s="1">
        <v>10997.34</v>
      </c>
    </row>
    <row r="3" spans="1:2" x14ac:dyDescent="0.35">
      <c r="A3" s="1" t="s">
        <v>60</v>
      </c>
      <c r="B3" s="1">
        <v>21508.240000000002</v>
      </c>
    </row>
    <row r="4" spans="1:2" x14ac:dyDescent="0.35">
      <c r="A4" s="1" t="s">
        <v>59</v>
      </c>
      <c r="B4" s="1">
        <v>24789.439999999999</v>
      </c>
    </row>
    <row r="5" spans="1:2" x14ac:dyDescent="0.35">
      <c r="A5" s="1" t="s">
        <v>58</v>
      </c>
      <c r="B5" s="1">
        <v>34317.72</v>
      </c>
    </row>
    <row r="6" spans="1:2" x14ac:dyDescent="0.35">
      <c r="A6" s="1" t="s">
        <v>57</v>
      </c>
      <c r="B6" s="1">
        <v>34805.730000000003</v>
      </c>
    </row>
    <row r="7" spans="1:2" x14ac:dyDescent="0.35">
      <c r="A7" s="1" t="s">
        <v>56</v>
      </c>
      <c r="B7" s="1">
        <v>51727.85</v>
      </c>
    </row>
    <row r="8" spans="1:2" x14ac:dyDescent="0.35">
      <c r="A8" s="1" t="s">
        <v>55</v>
      </c>
      <c r="B8" s="1">
        <v>80465.3</v>
      </c>
    </row>
    <row r="9" spans="1:2" x14ac:dyDescent="0.35">
      <c r="A9" s="1" t="s">
        <v>54</v>
      </c>
      <c r="B9" s="1">
        <v>83253.98</v>
      </c>
    </row>
    <row r="10" spans="1:2" x14ac:dyDescent="0.35">
      <c r="A10" s="1" t="s">
        <v>53</v>
      </c>
      <c r="B10" s="1">
        <v>121964.75</v>
      </c>
    </row>
    <row r="11" spans="1:2" x14ac:dyDescent="0.35">
      <c r="A11" s="1" t="s">
        <v>52</v>
      </c>
      <c r="B11" s="1">
        <v>132245.17000000001</v>
      </c>
    </row>
    <row r="12" spans="1:2" x14ac:dyDescent="0.35">
      <c r="A12" s="1" t="s">
        <v>51</v>
      </c>
      <c r="B12" s="1">
        <v>146329.85999999999</v>
      </c>
    </row>
    <row r="13" spans="1:2" x14ac:dyDescent="0.35">
      <c r="A13" s="1" t="s">
        <v>50</v>
      </c>
      <c r="B13" s="1">
        <v>163684.32</v>
      </c>
    </row>
    <row r="14" spans="1:2" x14ac:dyDescent="0.35">
      <c r="A14" s="1" t="s">
        <v>49</v>
      </c>
      <c r="B14" s="1">
        <v>184353.58</v>
      </c>
    </row>
    <row r="15" spans="1:2" x14ac:dyDescent="0.35">
      <c r="A15" s="1" t="s">
        <v>48</v>
      </c>
      <c r="B15" s="1">
        <v>208081.12</v>
      </c>
    </row>
    <row r="16" spans="1:2" x14ac:dyDescent="0.35">
      <c r="A16" s="1" t="s">
        <v>47</v>
      </c>
      <c r="B16" s="1">
        <v>236807.14</v>
      </c>
    </row>
    <row r="17" spans="1:2" x14ac:dyDescent="0.35">
      <c r="A17" s="1" t="s">
        <v>46</v>
      </c>
      <c r="B17" s="1">
        <v>240222.12</v>
      </c>
    </row>
    <row r="18" spans="1:2" x14ac:dyDescent="0.35">
      <c r="A18" s="1" t="s">
        <v>45</v>
      </c>
      <c r="B18" s="1">
        <v>263888.63</v>
      </c>
    </row>
    <row r="19" spans="1:2" x14ac:dyDescent="0.35">
      <c r="A19" s="1" t="s">
        <v>44</v>
      </c>
      <c r="B19" s="1">
        <v>268375.48</v>
      </c>
    </row>
    <row r="20" spans="1:2" x14ac:dyDescent="0.35">
      <c r="A20" s="1" t="s">
        <v>43</v>
      </c>
      <c r="B20" s="1">
        <v>280729.68</v>
      </c>
    </row>
    <row r="21" spans="1:2" x14ac:dyDescent="0.35">
      <c r="A21" s="1" t="s">
        <v>42</v>
      </c>
      <c r="B21" s="1">
        <v>324298.13</v>
      </c>
    </row>
    <row r="22" spans="1:2" x14ac:dyDescent="0.35">
      <c r="A22" s="1" t="s">
        <v>41</v>
      </c>
      <c r="B22" s="1">
        <v>334923.15999999997</v>
      </c>
    </row>
    <row r="23" spans="1:2" x14ac:dyDescent="0.35">
      <c r="A23" s="1" t="s">
        <v>40</v>
      </c>
      <c r="B23" s="1">
        <v>346973.24</v>
      </c>
    </row>
    <row r="24" spans="1:2" x14ac:dyDescent="0.35">
      <c r="A24" s="1" t="s">
        <v>39</v>
      </c>
      <c r="B24" s="1">
        <v>366615.12</v>
      </c>
    </row>
    <row r="25" spans="1:2" x14ac:dyDescent="0.35">
      <c r="A25" s="1" t="s">
        <v>38</v>
      </c>
      <c r="B25" s="1">
        <v>376185.18</v>
      </c>
    </row>
    <row r="26" spans="1:2" x14ac:dyDescent="0.35">
      <c r="A26" s="1" t="s">
        <v>37</v>
      </c>
      <c r="B26" s="1">
        <v>381738.78</v>
      </c>
    </row>
    <row r="27" spans="1:2" x14ac:dyDescent="0.35">
      <c r="A27" s="1" t="s">
        <v>36</v>
      </c>
      <c r="B27" s="1">
        <v>384858.87</v>
      </c>
    </row>
    <row r="28" spans="1:2" x14ac:dyDescent="0.35">
      <c r="A28" s="1" t="s">
        <v>35</v>
      </c>
      <c r="B28" s="1">
        <v>527885.79</v>
      </c>
    </row>
    <row r="29" spans="1:2" x14ac:dyDescent="0.35">
      <c r="A29" s="1" t="s">
        <v>34</v>
      </c>
      <c r="B29" s="1">
        <v>536569.43999999994</v>
      </c>
    </row>
    <row r="30" spans="1:2" x14ac:dyDescent="0.35">
      <c r="A30" s="1" t="s">
        <v>33</v>
      </c>
      <c r="B30" s="1">
        <v>539785.86</v>
      </c>
    </row>
    <row r="31" spans="1:2" x14ac:dyDescent="0.35">
      <c r="A31" s="1" t="s">
        <v>32</v>
      </c>
      <c r="B31" s="1">
        <v>570321.25</v>
      </c>
    </row>
    <row r="32" spans="1:2" x14ac:dyDescent="0.35">
      <c r="A32" s="1" t="s">
        <v>31</v>
      </c>
      <c r="B32" s="1">
        <v>572556.56999999995</v>
      </c>
    </row>
    <row r="33" spans="1:2" x14ac:dyDescent="0.35">
      <c r="A33" s="1" t="s">
        <v>30</v>
      </c>
      <c r="B33" s="1">
        <v>613735.69999999995</v>
      </c>
    </row>
    <row r="34" spans="1:2" x14ac:dyDescent="0.35">
      <c r="A34" s="1" t="s">
        <v>29</v>
      </c>
      <c r="B34" s="1">
        <v>653933.92000000004</v>
      </c>
    </row>
    <row r="35" spans="1:2" x14ac:dyDescent="0.35">
      <c r="A35" s="1" t="s">
        <v>28</v>
      </c>
      <c r="B35" s="1">
        <v>663629.54</v>
      </c>
    </row>
    <row r="36" spans="1:2" x14ac:dyDescent="0.35">
      <c r="A36" s="1" t="s">
        <v>27</v>
      </c>
      <c r="B36" s="1">
        <v>709124.86</v>
      </c>
    </row>
    <row r="37" spans="1:2" x14ac:dyDescent="0.35">
      <c r="A37" s="1" t="s">
        <v>26</v>
      </c>
      <c r="B37" s="1">
        <v>751189.02</v>
      </c>
    </row>
    <row r="38" spans="1:2" x14ac:dyDescent="0.35">
      <c r="A38" s="1" t="s">
        <v>25</v>
      </c>
      <c r="B38" s="1">
        <v>767787.52000000002</v>
      </c>
    </row>
    <row r="39" spans="1:2" x14ac:dyDescent="0.35">
      <c r="A39" s="1" t="s">
        <v>24</v>
      </c>
      <c r="B39" s="1">
        <v>846055.88</v>
      </c>
    </row>
    <row r="40" spans="1:2" x14ac:dyDescent="0.35">
      <c r="A40" s="1" t="s">
        <v>23</v>
      </c>
      <c r="B40" s="1">
        <v>851426.03</v>
      </c>
    </row>
    <row r="41" spans="1:2" x14ac:dyDescent="0.35">
      <c r="A41" s="1" t="s">
        <v>22</v>
      </c>
      <c r="B41" s="1">
        <v>871676.36</v>
      </c>
    </row>
    <row r="42" spans="1:2" x14ac:dyDescent="0.35">
      <c r="A42" s="1" t="s">
        <v>21</v>
      </c>
      <c r="B42" s="1">
        <v>880420.89</v>
      </c>
    </row>
    <row r="43" spans="1:2" x14ac:dyDescent="0.35">
      <c r="A43" s="1" t="s">
        <v>20</v>
      </c>
      <c r="B43" s="1">
        <v>1077860.03</v>
      </c>
    </row>
    <row r="44" spans="1:2" x14ac:dyDescent="0.35">
      <c r="A44" s="1" t="s">
        <v>19</v>
      </c>
      <c r="B44" s="1">
        <v>1116004.48</v>
      </c>
    </row>
    <row r="45" spans="1:2" x14ac:dyDescent="0.35">
      <c r="A45" s="1" t="s">
        <v>18</v>
      </c>
      <c r="B45" s="1">
        <v>1379593.23</v>
      </c>
    </row>
    <row r="46" spans="1:2" x14ac:dyDescent="0.35">
      <c r="A46" s="1" t="s">
        <v>17</v>
      </c>
      <c r="B46" s="1">
        <v>1875364.96</v>
      </c>
    </row>
    <row r="47" spans="1:2" x14ac:dyDescent="0.35">
      <c r="A47" s="1" t="s">
        <v>16</v>
      </c>
      <c r="B47" s="1">
        <v>2062959.21</v>
      </c>
    </row>
    <row r="48" spans="1:2" x14ac:dyDescent="0.35">
      <c r="A48" s="1" t="s">
        <v>15</v>
      </c>
      <c r="B48" s="1">
        <v>2152007.11</v>
      </c>
    </row>
    <row r="49" spans="1:2" x14ac:dyDescent="0.35">
      <c r="A49" s="1" t="s">
        <v>14</v>
      </c>
      <c r="B49" s="1">
        <v>2338645.5</v>
      </c>
    </row>
    <row r="50" spans="1:2" x14ac:dyDescent="0.35">
      <c r="A50" s="1" t="s">
        <v>13</v>
      </c>
      <c r="B50" s="1">
        <v>2448626.5699999998</v>
      </c>
    </row>
    <row r="51" spans="1:2" x14ac:dyDescent="0.35">
      <c r="A51" s="1" t="s">
        <v>12</v>
      </c>
      <c r="B51" s="1">
        <v>3063712.63</v>
      </c>
    </row>
    <row r="52" spans="1:2" x14ac:dyDescent="0.35">
      <c r="A52" s="1" t="s">
        <v>11</v>
      </c>
      <c r="B52" s="1">
        <v>3486773.51</v>
      </c>
    </row>
    <row r="53" spans="1:2" x14ac:dyDescent="0.35">
      <c r="A53" s="1" t="s">
        <v>10</v>
      </c>
      <c r="B53" s="1">
        <v>3701107.69</v>
      </c>
    </row>
    <row r="54" spans="1:2" x14ac:dyDescent="0.35">
      <c r="A54" s="1" t="s">
        <v>9</v>
      </c>
      <c r="B54" s="1">
        <v>3714062.42</v>
      </c>
    </row>
    <row r="55" spans="1:2" x14ac:dyDescent="0.35">
      <c r="A55" s="1" t="s">
        <v>8</v>
      </c>
      <c r="B55" s="1">
        <v>4698859.9400000004</v>
      </c>
    </row>
    <row r="56" spans="1:2" x14ac:dyDescent="0.35">
      <c r="A56" s="1" t="s">
        <v>7</v>
      </c>
      <c r="B56" s="1">
        <v>5444614.7999999998</v>
      </c>
    </row>
    <row r="57" spans="1:2" x14ac:dyDescent="0.35">
      <c r="A57" s="1" t="s">
        <v>6</v>
      </c>
      <c r="B57" s="1">
        <v>5563490.1399999997</v>
      </c>
    </row>
    <row r="58" spans="1:2" x14ac:dyDescent="0.35">
      <c r="A58" s="1" t="s">
        <v>5</v>
      </c>
      <c r="B58" s="1">
        <v>5654245.1900000004</v>
      </c>
    </row>
    <row r="59" spans="1:2" x14ac:dyDescent="0.35">
      <c r="A59" s="1" t="s">
        <v>4</v>
      </c>
      <c r="B59" s="1">
        <v>8817583.9299999997</v>
      </c>
    </row>
    <row r="60" spans="1:2" x14ac:dyDescent="0.35">
      <c r="A60" s="1" t="s">
        <v>3</v>
      </c>
      <c r="B60" s="1">
        <v>9428403.5399999991</v>
      </c>
    </row>
    <row r="61" spans="1:2" x14ac:dyDescent="0.35">
      <c r="A61" s="1" t="s">
        <v>2</v>
      </c>
      <c r="B61" s="1">
        <v>15680172.560000001</v>
      </c>
    </row>
  </sheetData>
  <phoneticPr fontId="2"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18563-7B7E-437C-9ABD-29669FD74C07}">
  <dimension ref="A1:C33"/>
  <sheetViews>
    <sheetView topLeftCell="C2" zoomScaleNormal="100" workbookViewId="0">
      <selection activeCell="I20" sqref="I20"/>
    </sheetView>
  </sheetViews>
  <sheetFormatPr defaultRowHeight="14.5" x14ac:dyDescent="0.35"/>
  <cols>
    <col min="1" max="1" width="11.36328125" bestFit="1" customWidth="1"/>
    <col min="2" max="3" width="10.54296875" bestFit="1" customWidth="1"/>
  </cols>
  <sheetData>
    <row r="1" spans="1:3" x14ac:dyDescent="0.35">
      <c r="A1" s="1" t="s">
        <v>0</v>
      </c>
      <c r="B1" s="1" t="s">
        <v>1</v>
      </c>
      <c r="C1" s="1" t="s">
        <v>62</v>
      </c>
    </row>
    <row r="2" spans="1:3" x14ac:dyDescent="0.35">
      <c r="A2" s="1" t="s">
        <v>2</v>
      </c>
      <c r="B2" s="1">
        <v>2024</v>
      </c>
      <c r="C2" s="1">
        <v>3603</v>
      </c>
    </row>
    <row r="3" spans="1:3" x14ac:dyDescent="0.35">
      <c r="A3" s="1" t="s">
        <v>3</v>
      </c>
      <c r="B3" s="1">
        <v>2024</v>
      </c>
      <c r="C3" s="1">
        <v>2180</v>
      </c>
    </row>
    <row r="4" spans="1:3" x14ac:dyDescent="0.35">
      <c r="A4" s="1" t="s">
        <v>4</v>
      </c>
      <c r="B4" s="1">
        <v>2024</v>
      </c>
      <c r="C4" s="1">
        <v>1848</v>
      </c>
    </row>
    <row r="5" spans="1:3" x14ac:dyDescent="0.35">
      <c r="A5" s="1" t="s">
        <v>5</v>
      </c>
      <c r="B5" s="1">
        <v>2024</v>
      </c>
      <c r="C5" s="1">
        <v>1304</v>
      </c>
    </row>
    <row r="6" spans="1:3" x14ac:dyDescent="0.35">
      <c r="A6" s="1" t="s">
        <v>6</v>
      </c>
      <c r="B6" s="1">
        <v>2024</v>
      </c>
      <c r="C6" s="1">
        <v>1149</v>
      </c>
    </row>
    <row r="7" spans="1:3" x14ac:dyDescent="0.35">
      <c r="A7" s="1" t="s">
        <v>7</v>
      </c>
      <c r="B7" s="1">
        <v>2024</v>
      </c>
      <c r="C7" s="1">
        <v>940</v>
      </c>
    </row>
    <row r="8" spans="1:3" x14ac:dyDescent="0.35">
      <c r="A8" s="1" t="s">
        <v>8</v>
      </c>
      <c r="B8" s="1">
        <v>2024</v>
      </c>
      <c r="C8" s="1">
        <v>930</v>
      </c>
    </row>
    <row r="9" spans="1:3" x14ac:dyDescent="0.35">
      <c r="A9" s="1" t="s">
        <v>10</v>
      </c>
      <c r="B9" s="1">
        <v>2024</v>
      </c>
      <c r="C9" s="1">
        <v>847</v>
      </c>
    </row>
    <row r="10" spans="1:3" x14ac:dyDescent="0.35">
      <c r="A10" s="1" t="s">
        <v>9</v>
      </c>
      <c r="B10" s="1">
        <v>2024</v>
      </c>
      <c r="C10" s="1">
        <v>821</v>
      </c>
    </row>
    <row r="11" spans="1:3" x14ac:dyDescent="0.35">
      <c r="A11" s="1" t="s">
        <v>11</v>
      </c>
      <c r="B11" s="1">
        <v>2024</v>
      </c>
      <c r="C11" s="1">
        <v>710</v>
      </c>
    </row>
    <row r="12" spans="1:3" x14ac:dyDescent="0.35">
      <c r="A12" s="1" t="s">
        <v>12</v>
      </c>
      <c r="B12" s="1">
        <v>2024</v>
      </c>
      <c r="C12" s="1">
        <v>691</v>
      </c>
    </row>
    <row r="13" spans="1:3" x14ac:dyDescent="0.35">
      <c r="A13" s="1" t="s">
        <v>13</v>
      </c>
      <c r="B13" s="1">
        <v>2024</v>
      </c>
      <c r="C13" s="1">
        <v>542</v>
      </c>
    </row>
    <row r="14" spans="1:3" x14ac:dyDescent="0.35">
      <c r="A14" s="1" t="s">
        <v>14</v>
      </c>
      <c r="B14" s="1">
        <v>2024</v>
      </c>
      <c r="C14" s="1">
        <v>470</v>
      </c>
    </row>
    <row r="15" spans="1:3" x14ac:dyDescent="0.35">
      <c r="A15" s="1" t="s">
        <v>15</v>
      </c>
      <c r="B15" s="1">
        <v>2024</v>
      </c>
      <c r="C15" s="1">
        <v>467</v>
      </c>
    </row>
    <row r="16" spans="1:3" x14ac:dyDescent="0.35">
      <c r="A16" s="1" t="s">
        <v>16</v>
      </c>
      <c r="B16" s="1">
        <v>2024</v>
      </c>
      <c r="C16" s="1">
        <v>465</v>
      </c>
    </row>
    <row r="17" spans="1:3" x14ac:dyDescent="0.35">
      <c r="A17" s="1" t="s">
        <v>17</v>
      </c>
      <c r="B17" s="1">
        <v>2024</v>
      </c>
      <c r="C17" s="1">
        <v>394</v>
      </c>
    </row>
    <row r="18" spans="1:3" x14ac:dyDescent="0.35">
      <c r="A18" s="1" t="s">
        <v>18</v>
      </c>
      <c r="B18" s="1">
        <v>2024</v>
      </c>
      <c r="C18" s="1">
        <v>276</v>
      </c>
    </row>
    <row r="19" spans="1:3" x14ac:dyDescent="0.35">
      <c r="A19" s="1" t="s">
        <v>20</v>
      </c>
      <c r="B19" s="1">
        <v>2024</v>
      </c>
      <c r="C19" s="1">
        <v>236</v>
      </c>
    </row>
    <row r="20" spans="1:3" x14ac:dyDescent="0.35">
      <c r="A20" s="1" t="s">
        <v>21</v>
      </c>
      <c r="B20" s="1">
        <v>2024</v>
      </c>
      <c r="C20" s="1">
        <v>222</v>
      </c>
    </row>
    <row r="21" spans="1:3" x14ac:dyDescent="0.35">
      <c r="A21" s="1" t="s">
        <v>19</v>
      </c>
      <c r="B21" s="1">
        <v>2024</v>
      </c>
      <c r="C21" s="1">
        <v>216</v>
      </c>
    </row>
    <row r="22" spans="1:3" x14ac:dyDescent="0.35">
      <c r="A22" s="1" t="s">
        <v>26</v>
      </c>
      <c r="B22" s="1">
        <v>2024</v>
      </c>
      <c r="C22" s="1">
        <v>179</v>
      </c>
    </row>
    <row r="23" spans="1:3" x14ac:dyDescent="0.35">
      <c r="A23" s="1" t="s">
        <v>25</v>
      </c>
      <c r="B23" s="1">
        <v>2024</v>
      </c>
      <c r="C23" s="1">
        <v>164</v>
      </c>
    </row>
    <row r="24" spans="1:3" x14ac:dyDescent="0.35">
      <c r="A24" s="1" t="s">
        <v>23</v>
      </c>
      <c r="B24" s="1">
        <v>2024</v>
      </c>
      <c r="C24" s="1">
        <v>157</v>
      </c>
    </row>
    <row r="25" spans="1:3" x14ac:dyDescent="0.35">
      <c r="A25" s="1" t="s">
        <v>27</v>
      </c>
      <c r="B25" s="1">
        <v>2024</v>
      </c>
      <c r="C25" s="1">
        <v>145</v>
      </c>
    </row>
    <row r="26" spans="1:3" x14ac:dyDescent="0.35">
      <c r="A26" s="1" t="s">
        <v>29</v>
      </c>
      <c r="B26" s="1">
        <v>2024</v>
      </c>
      <c r="C26" s="1">
        <v>142</v>
      </c>
    </row>
    <row r="27" spans="1:3" x14ac:dyDescent="0.35">
      <c r="A27" s="1" t="s">
        <v>24</v>
      </c>
      <c r="B27" s="1">
        <v>2024</v>
      </c>
      <c r="C27" s="1">
        <v>140</v>
      </c>
    </row>
    <row r="28" spans="1:3" x14ac:dyDescent="0.35">
      <c r="A28" s="1" t="s">
        <v>32</v>
      </c>
      <c r="B28" s="1">
        <v>2024</v>
      </c>
      <c r="C28" s="1">
        <v>139</v>
      </c>
    </row>
    <row r="29" spans="1:3" x14ac:dyDescent="0.35">
      <c r="A29" s="1" t="s">
        <v>30</v>
      </c>
      <c r="B29" s="1">
        <v>2024</v>
      </c>
      <c r="C29" s="1">
        <v>136</v>
      </c>
    </row>
    <row r="30" spans="1:3" x14ac:dyDescent="0.35">
      <c r="A30" s="1" t="s">
        <v>22</v>
      </c>
      <c r="B30" s="1">
        <v>2024</v>
      </c>
      <c r="C30" s="1">
        <v>136</v>
      </c>
    </row>
    <row r="31" spans="1:3" x14ac:dyDescent="0.35">
      <c r="A31" s="1" t="s">
        <v>34</v>
      </c>
      <c r="B31" s="1">
        <v>2024</v>
      </c>
      <c r="C31" s="1">
        <v>117</v>
      </c>
    </row>
    <row r="32" spans="1:3" x14ac:dyDescent="0.35">
      <c r="A32" s="1" t="s">
        <v>31</v>
      </c>
      <c r="B32" s="1">
        <v>2024</v>
      </c>
      <c r="C32" s="1">
        <v>109</v>
      </c>
    </row>
    <row r="33" spans="1:3" x14ac:dyDescent="0.35">
      <c r="A33" s="1" t="s">
        <v>28</v>
      </c>
      <c r="B33" s="1">
        <v>2024</v>
      </c>
      <c r="C33" s="1">
        <v>103</v>
      </c>
    </row>
  </sheetData>
  <phoneticPr fontId="2"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23A74-197F-4595-B6AF-28DA324BBB51}">
  <dimension ref="A1:D301"/>
  <sheetViews>
    <sheetView zoomScale="70" zoomScaleNormal="70" workbookViewId="0">
      <selection activeCell="R308" sqref="R308"/>
    </sheetView>
  </sheetViews>
  <sheetFormatPr defaultRowHeight="14.5" x14ac:dyDescent="0.35"/>
  <cols>
    <col min="1" max="1" width="10.54296875" bestFit="1" customWidth="1"/>
    <col min="2" max="2" width="10.54296875" customWidth="1"/>
    <col min="3" max="3" width="10.7265625" bestFit="1" customWidth="1"/>
    <col min="4" max="4" width="10.54296875" bestFit="1" customWidth="1"/>
  </cols>
  <sheetData>
    <row r="1" spans="1:4" x14ac:dyDescent="0.35">
      <c r="A1" s="1" t="s">
        <v>0</v>
      </c>
      <c r="B1" s="1" t="s">
        <v>112</v>
      </c>
      <c r="C1" s="1" t="s">
        <v>1</v>
      </c>
      <c r="D1" s="1" t="s">
        <v>62</v>
      </c>
    </row>
    <row r="2" spans="1:4" hidden="1" x14ac:dyDescent="0.35">
      <c r="A2">
        <v>190</v>
      </c>
      <c r="B2" t="str">
        <f xml:space="preserve"> CONCATENATE("ruta ", ka_res_4[[#This Row],[Column1]])</f>
        <v>ruta 190</v>
      </c>
      <c r="C2" s="1" t="s">
        <v>103</v>
      </c>
      <c r="D2">
        <v>56.5</v>
      </c>
    </row>
    <row r="3" spans="1:4" hidden="1" x14ac:dyDescent="0.35">
      <c r="A3">
        <v>33</v>
      </c>
      <c r="B3" t="str">
        <f xml:space="preserve"> CONCATENATE("ruta ", ka_res_4[[#This Row],[Column1]])</f>
        <v>ruta 33</v>
      </c>
      <c r="C3" s="1" t="s">
        <v>110</v>
      </c>
      <c r="D3">
        <v>59.81</v>
      </c>
    </row>
    <row r="4" spans="1:4" hidden="1" x14ac:dyDescent="0.35">
      <c r="A4">
        <v>243</v>
      </c>
      <c r="B4" t="str">
        <f xml:space="preserve"> CONCATENATE("ruta ", ka_res_4[[#This Row],[Column1]])</f>
        <v>ruta 243</v>
      </c>
      <c r="C4" s="1" t="s">
        <v>105</v>
      </c>
      <c r="D4">
        <v>60.39</v>
      </c>
    </row>
    <row r="5" spans="1:4" hidden="1" x14ac:dyDescent="0.35">
      <c r="A5">
        <v>157</v>
      </c>
      <c r="B5" t="str">
        <f xml:space="preserve"> CONCATENATE("ruta ", ka_res_4[[#This Row],[Column1]])</f>
        <v>ruta 157</v>
      </c>
      <c r="C5" s="1" t="s">
        <v>72</v>
      </c>
      <c r="D5">
        <v>61.05</v>
      </c>
    </row>
    <row r="6" spans="1:4" hidden="1" x14ac:dyDescent="0.35">
      <c r="A6">
        <v>194</v>
      </c>
      <c r="B6" t="str">
        <f xml:space="preserve"> CONCATENATE("ruta ", ka_res_4[[#This Row],[Column1]])</f>
        <v>ruta 194</v>
      </c>
      <c r="C6" s="1" t="s">
        <v>105</v>
      </c>
      <c r="D6">
        <v>62.14</v>
      </c>
    </row>
    <row r="7" spans="1:4" hidden="1" x14ac:dyDescent="0.35">
      <c r="A7">
        <v>237</v>
      </c>
      <c r="B7" t="str">
        <f xml:space="preserve"> CONCATENATE("ruta ", ka_res_4[[#This Row],[Column1]])</f>
        <v>ruta 237</v>
      </c>
      <c r="C7" s="1" t="s">
        <v>101</v>
      </c>
      <c r="D7">
        <v>64.02</v>
      </c>
    </row>
    <row r="8" spans="1:4" hidden="1" x14ac:dyDescent="0.35">
      <c r="A8">
        <v>3</v>
      </c>
      <c r="B8" t="str">
        <f xml:space="preserve"> CONCATENATE("ruta ", ka_res_4[[#This Row],[Column1]])</f>
        <v>ruta 3</v>
      </c>
      <c r="C8" s="1" t="s">
        <v>100</v>
      </c>
      <c r="D8">
        <v>64.72</v>
      </c>
    </row>
    <row r="9" spans="1:4" hidden="1" x14ac:dyDescent="0.35">
      <c r="A9">
        <v>15</v>
      </c>
      <c r="B9" t="str">
        <f xml:space="preserve"> CONCATENATE("ruta ", ka_res_4[[#This Row],[Column1]])</f>
        <v>ruta 15</v>
      </c>
      <c r="C9" s="1" t="s">
        <v>102</v>
      </c>
      <c r="D9">
        <v>65.48</v>
      </c>
    </row>
    <row r="10" spans="1:4" hidden="1" x14ac:dyDescent="0.35">
      <c r="A10">
        <v>21</v>
      </c>
      <c r="B10" t="str">
        <f xml:space="preserve"> CONCATENATE("ruta ", ka_res_4[[#This Row],[Column1]])</f>
        <v>ruta 21</v>
      </c>
      <c r="C10" s="1" t="s">
        <v>69</v>
      </c>
      <c r="D10">
        <v>66.69</v>
      </c>
    </row>
    <row r="11" spans="1:4" hidden="1" x14ac:dyDescent="0.35">
      <c r="A11">
        <v>108</v>
      </c>
      <c r="B11" t="str">
        <f xml:space="preserve"> CONCATENATE("ruta ", ka_res_4[[#This Row],[Column1]])</f>
        <v>ruta 108</v>
      </c>
      <c r="C11" s="1" t="s">
        <v>107</v>
      </c>
      <c r="D11">
        <v>66.739999999999995</v>
      </c>
    </row>
    <row r="12" spans="1:4" hidden="1" x14ac:dyDescent="0.35">
      <c r="A12">
        <v>250</v>
      </c>
      <c r="B12" t="str">
        <f xml:space="preserve"> CONCATENATE("ruta ", ka_res_4[[#This Row],[Column1]])</f>
        <v>ruta 250</v>
      </c>
      <c r="C12" s="1" t="s">
        <v>101</v>
      </c>
      <c r="D12">
        <v>67.97</v>
      </c>
    </row>
    <row r="13" spans="1:4" hidden="1" x14ac:dyDescent="0.35">
      <c r="A13">
        <v>52</v>
      </c>
      <c r="B13" t="str">
        <f xml:space="preserve"> CONCATENATE("ruta ", ka_res_4[[#This Row],[Column1]])</f>
        <v>ruta 52</v>
      </c>
      <c r="C13" s="1" t="s">
        <v>70</v>
      </c>
      <c r="D13">
        <v>71.94</v>
      </c>
    </row>
    <row r="14" spans="1:4" hidden="1" x14ac:dyDescent="0.35">
      <c r="A14">
        <v>141</v>
      </c>
      <c r="B14" t="str">
        <f xml:space="preserve"> CONCATENATE("ruta ", ka_res_4[[#This Row],[Column1]])</f>
        <v>ruta 141</v>
      </c>
      <c r="C14" s="1" t="s">
        <v>101</v>
      </c>
      <c r="D14">
        <v>72.790000000000006</v>
      </c>
    </row>
    <row r="15" spans="1:4" hidden="1" x14ac:dyDescent="0.35">
      <c r="A15">
        <v>68</v>
      </c>
      <c r="B15" t="str">
        <f xml:space="preserve"> CONCATENATE("ruta ", ka_res_4[[#This Row],[Column1]])</f>
        <v>ruta 68</v>
      </c>
      <c r="C15" s="1" t="s">
        <v>96</v>
      </c>
      <c r="D15">
        <v>74.48</v>
      </c>
    </row>
    <row r="16" spans="1:4" hidden="1" x14ac:dyDescent="0.35">
      <c r="A16">
        <v>278</v>
      </c>
      <c r="B16" t="str">
        <f xml:space="preserve"> CONCATENATE("ruta ", ka_res_4[[#This Row],[Column1]])</f>
        <v>ruta 278</v>
      </c>
      <c r="C16" s="1" t="s">
        <v>109</v>
      </c>
      <c r="D16">
        <v>74.67</v>
      </c>
    </row>
    <row r="17" spans="1:4" hidden="1" x14ac:dyDescent="0.35">
      <c r="A17">
        <v>106</v>
      </c>
      <c r="B17" t="str">
        <f xml:space="preserve"> CONCATENATE("ruta ", ka_res_4[[#This Row],[Column1]])</f>
        <v>ruta 106</v>
      </c>
      <c r="C17" s="1" t="s">
        <v>98</v>
      </c>
      <c r="D17">
        <v>75.150000000000006</v>
      </c>
    </row>
    <row r="18" spans="1:4" hidden="1" x14ac:dyDescent="0.35">
      <c r="A18">
        <v>247</v>
      </c>
      <c r="B18" t="str">
        <f xml:space="preserve"> CONCATENATE("ruta ", ka_res_4[[#This Row],[Column1]])</f>
        <v>ruta 247</v>
      </c>
      <c r="C18" s="1" t="s">
        <v>105</v>
      </c>
      <c r="D18">
        <v>76.75</v>
      </c>
    </row>
    <row r="19" spans="1:4" hidden="1" x14ac:dyDescent="0.35">
      <c r="A19">
        <v>149</v>
      </c>
      <c r="B19" t="str">
        <f xml:space="preserve"> CONCATENATE("ruta ", ka_res_4[[#This Row],[Column1]])</f>
        <v>ruta 149</v>
      </c>
      <c r="C19" s="1" t="s">
        <v>111</v>
      </c>
      <c r="D19">
        <v>79.48</v>
      </c>
    </row>
    <row r="20" spans="1:4" hidden="1" x14ac:dyDescent="0.35">
      <c r="A20">
        <v>235</v>
      </c>
      <c r="B20" t="str">
        <f xml:space="preserve"> CONCATENATE("ruta ", ka_res_4[[#This Row],[Column1]])</f>
        <v>ruta 235</v>
      </c>
      <c r="C20" s="1" t="s">
        <v>109</v>
      </c>
      <c r="D20">
        <v>80.61</v>
      </c>
    </row>
    <row r="21" spans="1:4" hidden="1" x14ac:dyDescent="0.35">
      <c r="A21">
        <v>67</v>
      </c>
      <c r="B21" t="str">
        <f xml:space="preserve"> CONCATENATE("ruta ", ka_res_4[[#This Row],[Column1]])</f>
        <v>ruta 67</v>
      </c>
      <c r="C21" s="1" t="s">
        <v>69</v>
      </c>
      <c r="D21">
        <v>80.67</v>
      </c>
    </row>
    <row r="22" spans="1:4" hidden="1" x14ac:dyDescent="0.35">
      <c r="A22">
        <v>206</v>
      </c>
      <c r="B22" t="str">
        <f xml:space="preserve"> CONCATENATE("ruta ", ka_res_4[[#This Row],[Column1]])</f>
        <v>ruta 206</v>
      </c>
      <c r="C22" s="1" t="s">
        <v>99</v>
      </c>
      <c r="D22">
        <v>81.22</v>
      </c>
    </row>
    <row r="23" spans="1:4" hidden="1" x14ac:dyDescent="0.35">
      <c r="A23">
        <v>252</v>
      </c>
      <c r="B23" t="str">
        <f xml:space="preserve"> CONCATENATE("ruta ", ka_res_4[[#This Row],[Column1]])</f>
        <v>ruta 252</v>
      </c>
      <c r="C23" s="1" t="s">
        <v>110</v>
      </c>
      <c r="D23">
        <v>81.58</v>
      </c>
    </row>
    <row r="24" spans="1:4" hidden="1" x14ac:dyDescent="0.35">
      <c r="A24">
        <v>283</v>
      </c>
      <c r="B24" t="str">
        <f xml:space="preserve"> CONCATENATE("ruta ", ka_res_4[[#This Row],[Column1]])</f>
        <v>ruta 283</v>
      </c>
      <c r="C24" s="1" t="s">
        <v>72</v>
      </c>
      <c r="D24">
        <v>81.64</v>
      </c>
    </row>
    <row r="25" spans="1:4" hidden="1" x14ac:dyDescent="0.35">
      <c r="A25">
        <v>299</v>
      </c>
      <c r="B25" t="str">
        <f xml:space="preserve"> CONCATENATE("ruta ", ka_res_4[[#This Row],[Column1]])</f>
        <v>ruta 299</v>
      </c>
      <c r="C25" s="1" t="s">
        <v>71</v>
      </c>
      <c r="D25">
        <v>82.41</v>
      </c>
    </row>
    <row r="26" spans="1:4" hidden="1" x14ac:dyDescent="0.35">
      <c r="A26">
        <v>112</v>
      </c>
      <c r="B26" t="str">
        <f xml:space="preserve"> CONCATENATE("ruta ", ka_res_4[[#This Row],[Column1]])</f>
        <v>ruta 112</v>
      </c>
      <c r="C26" s="1" t="s">
        <v>97</v>
      </c>
      <c r="D26">
        <v>82.87</v>
      </c>
    </row>
    <row r="27" spans="1:4" hidden="1" x14ac:dyDescent="0.35">
      <c r="A27">
        <v>244</v>
      </c>
      <c r="B27" t="str">
        <f xml:space="preserve"> CONCATENATE("ruta ", ka_res_4[[#This Row],[Column1]])</f>
        <v>ruta 244</v>
      </c>
      <c r="C27" s="1" t="s">
        <v>104</v>
      </c>
      <c r="D27">
        <v>83.4</v>
      </c>
    </row>
    <row r="28" spans="1:4" hidden="1" x14ac:dyDescent="0.35">
      <c r="A28">
        <v>249</v>
      </c>
      <c r="B28" t="str">
        <f xml:space="preserve"> CONCATENATE("ruta ", ka_res_4[[#This Row],[Column1]])</f>
        <v>ruta 249</v>
      </c>
      <c r="C28" s="1" t="s">
        <v>103</v>
      </c>
      <c r="D28">
        <v>84.92</v>
      </c>
    </row>
    <row r="29" spans="1:4" hidden="1" x14ac:dyDescent="0.35">
      <c r="A29">
        <v>89</v>
      </c>
      <c r="B29" t="str">
        <f xml:space="preserve"> CONCATENATE("ruta ", ka_res_4[[#This Row],[Column1]])</f>
        <v>ruta 89</v>
      </c>
      <c r="C29" s="1" t="s">
        <v>73</v>
      </c>
      <c r="D29">
        <v>85.88</v>
      </c>
    </row>
    <row r="30" spans="1:4" hidden="1" x14ac:dyDescent="0.35">
      <c r="A30">
        <v>72</v>
      </c>
      <c r="B30" t="str">
        <f xml:space="preserve"> CONCATENATE("ruta ", ka_res_4[[#This Row],[Column1]])</f>
        <v>ruta 72</v>
      </c>
      <c r="C30" s="1" t="s">
        <v>100</v>
      </c>
      <c r="D30">
        <v>85.93</v>
      </c>
    </row>
    <row r="31" spans="1:4" hidden="1" x14ac:dyDescent="0.35">
      <c r="A31">
        <v>202</v>
      </c>
      <c r="B31" t="str">
        <f xml:space="preserve"> CONCATENATE("ruta ", ka_res_4[[#This Row],[Column1]])</f>
        <v>ruta 202</v>
      </c>
      <c r="C31" s="1" t="s">
        <v>97</v>
      </c>
      <c r="D31">
        <v>87.36</v>
      </c>
    </row>
    <row r="32" spans="1:4" hidden="1" x14ac:dyDescent="0.35">
      <c r="A32">
        <v>11</v>
      </c>
      <c r="B32" t="str">
        <f xml:space="preserve"> CONCATENATE("ruta ", ka_res_4[[#This Row],[Column1]])</f>
        <v>ruta 11</v>
      </c>
      <c r="C32" s="1" t="s">
        <v>74</v>
      </c>
      <c r="D32">
        <v>88.56</v>
      </c>
    </row>
    <row r="33" spans="1:4" hidden="1" x14ac:dyDescent="0.35">
      <c r="A33">
        <v>58</v>
      </c>
      <c r="B33" t="str">
        <f xml:space="preserve"> CONCATENATE("ruta ", ka_res_4[[#This Row],[Column1]])</f>
        <v>ruta 58</v>
      </c>
      <c r="C33" s="1" t="s">
        <v>95</v>
      </c>
      <c r="D33">
        <v>88.7</v>
      </c>
    </row>
    <row r="34" spans="1:4" hidden="1" x14ac:dyDescent="0.35">
      <c r="A34">
        <v>8</v>
      </c>
      <c r="B34" t="str">
        <f xml:space="preserve"> CONCATENATE("ruta ", ka_res_4[[#This Row],[Column1]])</f>
        <v>ruta 8</v>
      </c>
      <c r="C34" s="1" t="s">
        <v>70</v>
      </c>
      <c r="D34">
        <v>91.09</v>
      </c>
    </row>
    <row r="35" spans="1:4" hidden="1" x14ac:dyDescent="0.35">
      <c r="A35">
        <v>269</v>
      </c>
      <c r="B35" t="str">
        <f xml:space="preserve"> CONCATENATE("ruta ", ka_res_4[[#This Row],[Column1]])</f>
        <v>ruta 269</v>
      </c>
      <c r="C35" s="1" t="s">
        <v>111</v>
      </c>
      <c r="D35">
        <v>91.26</v>
      </c>
    </row>
    <row r="36" spans="1:4" hidden="1" x14ac:dyDescent="0.35">
      <c r="A36">
        <v>47</v>
      </c>
      <c r="B36" t="str">
        <f xml:space="preserve"> CONCATENATE("ruta ", ka_res_4[[#This Row],[Column1]])</f>
        <v>ruta 47</v>
      </c>
      <c r="C36" s="1" t="s">
        <v>71</v>
      </c>
      <c r="D36">
        <v>93.07</v>
      </c>
    </row>
    <row r="37" spans="1:4" hidden="1" x14ac:dyDescent="0.35">
      <c r="A37">
        <v>270</v>
      </c>
      <c r="B37" t="str">
        <f xml:space="preserve"> CONCATENATE("ruta ", ka_res_4[[#This Row],[Column1]])</f>
        <v>ruta 270</v>
      </c>
      <c r="C37" s="1" t="s">
        <v>99</v>
      </c>
      <c r="D37">
        <v>94.4</v>
      </c>
    </row>
    <row r="38" spans="1:4" hidden="1" x14ac:dyDescent="0.35">
      <c r="A38">
        <v>178</v>
      </c>
      <c r="B38" t="str">
        <f xml:space="preserve"> CONCATENATE("ruta ", ka_res_4[[#This Row],[Column1]])</f>
        <v>ruta 178</v>
      </c>
      <c r="C38" s="1" t="s">
        <v>106</v>
      </c>
      <c r="D38">
        <v>94.43</v>
      </c>
    </row>
    <row r="39" spans="1:4" hidden="1" x14ac:dyDescent="0.35">
      <c r="A39">
        <v>44</v>
      </c>
      <c r="B39" t="str">
        <f xml:space="preserve"> CONCATENATE("ruta ", ka_res_4[[#This Row],[Column1]])</f>
        <v>ruta 44</v>
      </c>
      <c r="C39" s="1" t="s">
        <v>111</v>
      </c>
      <c r="D39">
        <v>95.35</v>
      </c>
    </row>
    <row r="40" spans="1:4" hidden="1" x14ac:dyDescent="0.35">
      <c r="A40">
        <v>45</v>
      </c>
      <c r="B40" t="str">
        <f xml:space="preserve"> CONCATENATE("ruta ", ka_res_4[[#This Row],[Column1]])</f>
        <v>ruta 45</v>
      </c>
      <c r="C40" s="1" t="s">
        <v>110</v>
      </c>
      <c r="D40">
        <v>95.46</v>
      </c>
    </row>
    <row r="41" spans="1:4" hidden="1" x14ac:dyDescent="0.35">
      <c r="A41">
        <v>282</v>
      </c>
      <c r="B41" t="str">
        <f xml:space="preserve"> CONCATENATE("ruta ", ka_res_4[[#This Row],[Column1]])</f>
        <v>ruta 282</v>
      </c>
      <c r="C41" s="1" t="s">
        <v>100</v>
      </c>
      <c r="D41">
        <v>96.2</v>
      </c>
    </row>
    <row r="42" spans="1:4" hidden="1" x14ac:dyDescent="0.35">
      <c r="A42">
        <v>74</v>
      </c>
      <c r="B42" t="str">
        <f xml:space="preserve"> CONCATENATE("ruta ", ka_res_4[[#This Row],[Column1]])</f>
        <v>ruta 74</v>
      </c>
      <c r="C42" s="1" t="s">
        <v>98</v>
      </c>
      <c r="D42">
        <v>97.01</v>
      </c>
    </row>
    <row r="43" spans="1:4" hidden="1" x14ac:dyDescent="0.35">
      <c r="A43">
        <v>287</v>
      </c>
      <c r="B43" t="str">
        <f xml:space="preserve"> CONCATENATE("ruta ", ka_res_4[[#This Row],[Column1]])</f>
        <v>ruta 287</v>
      </c>
      <c r="C43" s="1" t="s">
        <v>105</v>
      </c>
      <c r="D43">
        <v>97.31</v>
      </c>
    </row>
    <row r="44" spans="1:4" hidden="1" x14ac:dyDescent="0.35">
      <c r="A44">
        <v>166</v>
      </c>
      <c r="B44" t="str">
        <f xml:space="preserve"> CONCATENATE("ruta ", ka_res_4[[#This Row],[Column1]])</f>
        <v>ruta 166</v>
      </c>
      <c r="C44" s="1" t="s">
        <v>101</v>
      </c>
      <c r="D44">
        <v>98.43</v>
      </c>
    </row>
    <row r="45" spans="1:4" hidden="1" x14ac:dyDescent="0.35">
      <c r="A45">
        <v>2</v>
      </c>
      <c r="B45" t="str">
        <f xml:space="preserve"> CONCATENATE("ruta ", ka_res_4[[#This Row],[Column1]])</f>
        <v>ruta 2</v>
      </c>
      <c r="C45" s="1" t="s">
        <v>69</v>
      </c>
      <c r="D45">
        <v>99.71</v>
      </c>
    </row>
    <row r="46" spans="1:4" hidden="1" x14ac:dyDescent="0.35">
      <c r="A46">
        <v>142</v>
      </c>
      <c r="B46" t="str">
        <f xml:space="preserve"> CONCATENATE("ruta ", ka_res_4[[#This Row],[Column1]])</f>
        <v>ruta 142</v>
      </c>
      <c r="C46" s="1" t="s">
        <v>75</v>
      </c>
      <c r="D46">
        <v>100.12</v>
      </c>
    </row>
    <row r="47" spans="1:4" hidden="1" x14ac:dyDescent="0.35">
      <c r="A47">
        <v>195</v>
      </c>
      <c r="B47" t="str">
        <f xml:space="preserve"> CONCATENATE("ruta ", ka_res_4[[#This Row],[Column1]])</f>
        <v>ruta 195</v>
      </c>
      <c r="C47" s="1" t="s">
        <v>96</v>
      </c>
      <c r="D47">
        <v>100.21</v>
      </c>
    </row>
    <row r="48" spans="1:4" hidden="1" x14ac:dyDescent="0.35">
      <c r="A48">
        <v>160</v>
      </c>
      <c r="B48" t="str">
        <f xml:space="preserve"> CONCATENATE("ruta ", ka_res_4[[#This Row],[Column1]])</f>
        <v>ruta 160</v>
      </c>
      <c r="C48" s="1" t="s">
        <v>111</v>
      </c>
      <c r="D48">
        <v>101.84</v>
      </c>
    </row>
    <row r="49" spans="1:4" hidden="1" x14ac:dyDescent="0.35">
      <c r="A49">
        <v>208</v>
      </c>
      <c r="B49" t="str">
        <f xml:space="preserve"> CONCATENATE("ruta ", ka_res_4[[#This Row],[Column1]])</f>
        <v>ruta 208</v>
      </c>
      <c r="C49" s="1" t="s">
        <v>74</v>
      </c>
      <c r="D49">
        <v>102.93</v>
      </c>
    </row>
    <row r="50" spans="1:4" hidden="1" x14ac:dyDescent="0.35">
      <c r="A50">
        <v>56</v>
      </c>
      <c r="B50" t="str">
        <f xml:space="preserve"> CONCATENATE("ruta ", ka_res_4[[#This Row],[Column1]])</f>
        <v>ruta 56</v>
      </c>
      <c r="C50" s="1" t="s">
        <v>107</v>
      </c>
      <c r="D50">
        <v>103.63</v>
      </c>
    </row>
    <row r="51" spans="1:4" hidden="1" x14ac:dyDescent="0.35">
      <c r="A51">
        <v>232</v>
      </c>
      <c r="B51" t="str">
        <f xml:space="preserve"> CONCATENATE("ruta ", ka_res_4[[#This Row],[Column1]])</f>
        <v>ruta 232</v>
      </c>
      <c r="C51" s="1" t="s">
        <v>75</v>
      </c>
      <c r="D51">
        <v>105.2</v>
      </c>
    </row>
    <row r="52" spans="1:4" hidden="1" x14ac:dyDescent="0.35">
      <c r="A52">
        <v>260</v>
      </c>
      <c r="B52" t="str">
        <f xml:space="preserve"> CONCATENATE("ruta ", ka_res_4[[#This Row],[Column1]])</f>
        <v>ruta 260</v>
      </c>
      <c r="C52" s="1" t="s">
        <v>99</v>
      </c>
      <c r="D52">
        <v>105.83</v>
      </c>
    </row>
    <row r="53" spans="1:4" hidden="1" x14ac:dyDescent="0.35">
      <c r="A53">
        <v>209</v>
      </c>
      <c r="B53" t="str">
        <f xml:space="preserve"> CONCATENATE("ruta ", ka_res_4[[#This Row],[Column1]])</f>
        <v>ruta 209</v>
      </c>
      <c r="C53" s="1" t="s">
        <v>71</v>
      </c>
      <c r="D53">
        <v>107.31</v>
      </c>
    </row>
    <row r="54" spans="1:4" hidden="1" x14ac:dyDescent="0.35">
      <c r="A54">
        <v>293</v>
      </c>
      <c r="B54" t="str">
        <f xml:space="preserve"> CONCATENATE("ruta ", ka_res_4[[#This Row],[Column1]])</f>
        <v>ruta 293</v>
      </c>
      <c r="C54" s="1" t="s">
        <v>96</v>
      </c>
      <c r="D54">
        <v>108.44</v>
      </c>
    </row>
    <row r="55" spans="1:4" hidden="1" x14ac:dyDescent="0.35">
      <c r="A55">
        <v>125</v>
      </c>
      <c r="B55" t="str">
        <f xml:space="preserve"> CONCATENATE("ruta ", ka_res_4[[#This Row],[Column1]])</f>
        <v>ruta 125</v>
      </c>
      <c r="C55" s="1" t="s">
        <v>73</v>
      </c>
      <c r="D55">
        <v>108.83</v>
      </c>
    </row>
    <row r="56" spans="1:4" hidden="1" x14ac:dyDescent="0.35">
      <c r="A56">
        <v>123</v>
      </c>
      <c r="B56" t="str">
        <f xml:space="preserve"> CONCATENATE("ruta ", ka_res_4[[#This Row],[Column1]])</f>
        <v>ruta 123</v>
      </c>
      <c r="C56" s="1" t="s">
        <v>104</v>
      </c>
      <c r="D56">
        <v>109.51</v>
      </c>
    </row>
    <row r="57" spans="1:4" hidden="1" x14ac:dyDescent="0.35">
      <c r="A57">
        <v>7</v>
      </c>
      <c r="B57" t="str">
        <f xml:space="preserve"> CONCATENATE("ruta ", ka_res_4[[#This Row],[Column1]])</f>
        <v>ruta 7</v>
      </c>
      <c r="C57" s="1" t="s">
        <v>99</v>
      </c>
      <c r="D57">
        <v>110.29</v>
      </c>
    </row>
    <row r="58" spans="1:4" hidden="1" x14ac:dyDescent="0.35">
      <c r="A58">
        <v>143</v>
      </c>
      <c r="B58" t="str">
        <f xml:space="preserve"> CONCATENATE("ruta ", ka_res_4[[#This Row],[Column1]])</f>
        <v>ruta 143</v>
      </c>
      <c r="C58" s="1" t="s">
        <v>95</v>
      </c>
      <c r="D58">
        <v>112.28</v>
      </c>
    </row>
    <row r="59" spans="1:4" hidden="1" x14ac:dyDescent="0.35">
      <c r="A59">
        <v>35</v>
      </c>
      <c r="B59" t="str">
        <f xml:space="preserve"> CONCATENATE("ruta ", ka_res_4[[#This Row],[Column1]])</f>
        <v>ruta 35</v>
      </c>
      <c r="C59" s="1" t="s">
        <v>105</v>
      </c>
      <c r="D59">
        <v>113.32</v>
      </c>
    </row>
    <row r="60" spans="1:4" hidden="1" x14ac:dyDescent="0.35">
      <c r="A60">
        <v>145</v>
      </c>
      <c r="B60" t="str">
        <f xml:space="preserve"> CONCATENATE("ruta ", ka_res_4[[#This Row],[Column1]])</f>
        <v>ruta 145</v>
      </c>
      <c r="C60" s="1" t="s">
        <v>69</v>
      </c>
      <c r="D60">
        <v>114.67</v>
      </c>
    </row>
    <row r="61" spans="1:4" hidden="1" x14ac:dyDescent="0.35">
      <c r="A61">
        <v>185</v>
      </c>
      <c r="B61" t="str">
        <f xml:space="preserve"> CONCATENATE("ruta ", ka_res_4[[#This Row],[Column1]])</f>
        <v>ruta 185</v>
      </c>
      <c r="C61" s="1" t="s">
        <v>111</v>
      </c>
      <c r="D61">
        <v>115.4</v>
      </c>
    </row>
    <row r="62" spans="1:4" hidden="1" x14ac:dyDescent="0.35">
      <c r="A62">
        <v>169</v>
      </c>
      <c r="B62" t="str">
        <f xml:space="preserve"> CONCATENATE("ruta ", ka_res_4[[#This Row],[Column1]])</f>
        <v>ruta 169</v>
      </c>
      <c r="C62" s="1" t="s">
        <v>100</v>
      </c>
      <c r="D62">
        <v>117.05</v>
      </c>
    </row>
    <row r="63" spans="1:4" hidden="1" x14ac:dyDescent="0.35">
      <c r="A63">
        <v>187</v>
      </c>
      <c r="B63" t="str">
        <f xml:space="preserve"> CONCATENATE("ruta ", ka_res_4[[#This Row],[Column1]])</f>
        <v>ruta 187</v>
      </c>
      <c r="C63" s="1" t="s">
        <v>95</v>
      </c>
      <c r="D63">
        <v>118.03</v>
      </c>
    </row>
    <row r="64" spans="1:4" hidden="1" x14ac:dyDescent="0.35">
      <c r="A64">
        <v>96</v>
      </c>
      <c r="B64" t="str">
        <f xml:space="preserve"> CONCATENATE("ruta ", ka_res_4[[#This Row],[Column1]])</f>
        <v>ruta 96</v>
      </c>
      <c r="C64" s="1" t="s">
        <v>98</v>
      </c>
      <c r="D64">
        <v>118.92</v>
      </c>
    </row>
    <row r="65" spans="1:4" hidden="1" x14ac:dyDescent="0.35">
      <c r="A65">
        <v>40</v>
      </c>
      <c r="B65" t="str">
        <f xml:space="preserve"> CONCATENATE("ruta ", ka_res_4[[#This Row],[Column1]])</f>
        <v>ruta 40</v>
      </c>
      <c r="C65" s="1" t="s">
        <v>69</v>
      </c>
      <c r="D65">
        <v>119.02</v>
      </c>
    </row>
    <row r="66" spans="1:4" hidden="1" x14ac:dyDescent="0.35">
      <c r="A66">
        <v>213</v>
      </c>
      <c r="B66" t="str">
        <f xml:space="preserve"> CONCATENATE("ruta ", ka_res_4[[#This Row],[Column1]])</f>
        <v>ruta 213</v>
      </c>
      <c r="C66" s="1" t="s">
        <v>102</v>
      </c>
      <c r="D66">
        <v>119.44</v>
      </c>
    </row>
    <row r="67" spans="1:4" hidden="1" x14ac:dyDescent="0.35">
      <c r="A67">
        <v>92</v>
      </c>
      <c r="B67" t="str">
        <f xml:space="preserve"> CONCATENATE("ruta ", ka_res_4[[#This Row],[Column1]])</f>
        <v>ruta 92</v>
      </c>
      <c r="C67" s="1" t="s">
        <v>109</v>
      </c>
      <c r="D67">
        <v>120.22</v>
      </c>
    </row>
    <row r="68" spans="1:4" hidden="1" x14ac:dyDescent="0.35">
      <c r="A68">
        <v>176</v>
      </c>
      <c r="B68" t="str">
        <f xml:space="preserve"> CONCATENATE("ruta ", ka_res_4[[#This Row],[Column1]])</f>
        <v>ruta 176</v>
      </c>
      <c r="C68" s="1" t="s">
        <v>108</v>
      </c>
      <c r="D68">
        <v>121.84</v>
      </c>
    </row>
    <row r="69" spans="1:4" hidden="1" x14ac:dyDescent="0.35">
      <c r="A69">
        <v>295</v>
      </c>
      <c r="B69" t="str">
        <f xml:space="preserve"> CONCATENATE("ruta ", ka_res_4[[#This Row],[Column1]])</f>
        <v>ruta 295</v>
      </c>
      <c r="C69" s="1" t="s">
        <v>96</v>
      </c>
      <c r="D69">
        <v>123.82</v>
      </c>
    </row>
    <row r="70" spans="1:4" hidden="1" x14ac:dyDescent="0.35">
      <c r="A70">
        <v>290</v>
      </c>
      <c r="B70" t="str">
        <f xml:space="preserve"> CONCATENATE("ruta ", ka_res_4[[#This Row],[Column1]])</f>
        <v>ruta 290</v>
      </c>
      <c r="C70" s="1" t="s">
        <v>102</v>
      </c>
      <c r="D70">
        <v>130.68</v>
      </c>
    </row>
    <row r="71" spans="1:4" hidden="1" x14ac:dyDescent="0.35">
      <c r="A71">
        <v>23</v>
      </c>
      <c r="B71" t="str">
        <f xml:space="preserve"> CONCATENATE("ruta ", ka_res_4[[#This Row],[Column1]])</f>
        <v>ruta 23</v>
      </c>
      <c r="C71" s="1" t="s">
        <v>97</v>
      </c>
      <c r="D71">
        <v>133.49</v>
      </c>
    </row>
    <row r="72" spans="1:4" hidden="1" x14ac:dyDescent="0.35">
      <c r="A72">
        <v>184</v>
      </c>
      <c r="B72" t="str">
        <f xml:space="preserve"> CONCATENATE("ruta ", ka_res_4[[#This Row],[Column1]])</f>
        <v>ruta 184</v>
      </c>
      <c r="C72" s="1" t="s">
        <v>98</v>
      </c>
      <c r="D72">
        <v>133.65</v>
      </c>
    </row>
    <row r="73" spans="1:4" hidden="1" x14ac:dyDescent="0.35">
      <c r="A73">
        <v>222</v>
      </c>
      <c r="B73" t="str">
        <f xml:space="preserve"> CONCATENATE("ruta ", ka_res_4[[#This Row],[Column1]])</f>
        <v>ruta 222</v>
      </c>
      <c r="C73" s="1" t="s">
        <v>75</v>
      </c>
      <c r="D73">
        <v>134.03</v>
      </c>
    </row>
    <row r="74" spans="1:4" hidden="1" x14ac:dyDescent="0.35">
      <c r="A74">
        <v>268</v>
      </c>
      <c r="B74" t="str">
        <f xml:space="preserve"> CONCATENATE("ruta ", ka_res_4[[#This Row],[Column1]])</f>
        <v>ruta 268</v>
      </c>
      <c r="C74" s="1" t="s">
        <v>73</v>
      </c>
      <c r="D74">
        <v>134.34</v>
      </c>
    </row>
    <row r="75" spans="1:4" hidden="1" x14ac:dyDescent="0.35">
      <c r="A75">
        <v>103</v>
      </c>
      <c r="B75" t="str">
        <f xml:space="preserve"> CONCATENATE("ruta ", ka_res_4[[#This Row],[Column1]])</f>
        <v>ruta 103</v>
      </c>
      <c r="C75" s="1" t="s">
        <v>69</v>
      </c>
      <c r="D75">
        <v>135.91999999999999</v>
      </c>
    </row>
    <row r="76" spans="1:4" hidden="1" x14ac:dyDescent="0.35">
      <c r="A76">
        <v>113</v>
      </c>
      <c r="B76" t="str">
        <f xml:space="preserve"> CONCATENATE("ruta ", ka_res_4[[#This Row],[Column1]])</f>
        <v>ruta 113</v>
      </c>
      <c r="C76" s="1" t="s">
        <v>103</v>
      </c>
      <c r="D76">
        <v>136.88</v>
      </c>
    </row>
    <row r="77" spans="1:4" hidden="1" x14ac:dyDescent="0.35">
      <c r="A77">
        <v>41</v>
      </c>
      <c r="B77" t="str">
        <f xml:space="preserve"> CONCATENATE("ruta ", ka_res_4[[#This Row],[Column1]])</f>
        <v>ruta 41</v>
      </c>
      <c r="C77" s="1" t="s">
        <v>71</v>
      </c>
      <c r="D77">
        <v>137.19</v>
      </c>
    </row>
    <row r="78" spans="1:4" hidden="1" x14ac:dyDescent="0.35">
      <c r="A78">
        <v>29</v>
      </c>
      <c r="B78" t="str">
        <f xml:space="preserve"> CONCATENATE("ruta ", ka_res_4[[#This Row],[Column1]])</f>
        <v>ruta 29</v>
      </c>
      <c r="C78" s="1" t="s">
        <v>73</v>
      </c>
      <c r="D78">
        <v>139.41999999999999</v>
      </c>
    </row>
    <row r="79" spans="1:4" hidden="1" x14ac:dyDescent="0.35">
      <c r="A79">
        <v>6</v>
      </c>
      <c r="B79" t="str">
        <f xml:space="preserve"> CONCATENATE("ruta ", ka_res_4[[#This Row],[Column1]])</f>
        <v>ruta 6</v>
      </c>
      <c r="C79" s="1" t="s">
        <v>100</v>
      </c>
      <c r="D79">
        <v>140.47</v>
      </c>
    </row>
    <row r="80" spans="1:4" hidden="1" x14ac:dyDescent="0.35">
      <c r="A80">
        <v>107</v>
      </c>
      <c r="B80" t="str">
        <f xml:space="preserve"> CONCATENATE("ruta ", ka_res_4[[#This Row],[Column1]])</f>
        <v>ruta 107</v>
      </c>
      <c r="C80" s="1" t="s">
        <v>107</v>
      </c>
      <c r="D80">
        <v>141.19</v>
      </c>
    </row>
    <row r="81" spans="1:4" hidden="1" x14ac:dyDescent="0.35">
      <c r="A81">
        <v>242</v>
      </c>
      <c r="B81" t="str">
        <f xml:space="preserve"> CONCATENATE("ruta ", ka_res_4[[#This Row],[Column1]])</f>
        <v>ruta 242</v>
      </c>
      <c r="C81" s="1" t="s">
        <v>108</v>
      </c>
      <c r="D81">
        <v>141.46</v>
      </c>
    </row>
    <row r="82" spans="1:4" hidden="1" x14ac:dyDescent="0.35">
      <c r="A82">
        <v>117</v>
      </c>
      <c r="B82" t="str">
        <f xml:space="preserve"> CONCATENATE("ruta ", ka_res_4[[#This Row],[Column1]])</f>
        <v>ruta 117</v>
      </c>
      <c r="C82" s="1" t="s">
        <v>107</v>
      </c>
      <c r="D82">
        <v>141.52000000000001</v>
      </c>
    </row>
    <row r="83" spans="1:4" hidden="1" x14ac:dyDescent="0.35">
      <c r="A83">
        <v>73</v>
      </c>
      <c r="B83" t="str">
        <f xml:space="preserve"> CONCATENATE("ruta ", ka_res_4[[#This Row],[Column1]])</f>
        <v>ruta 73</v>
      </c>
      <c r="C83" s="1" t="s">
        <v>70</v>
      </c>
      <c r="D83">
        <v>142.37</v>
      </c>
    </row>
    <row r="84" spans="1:4" hidden="1" x14ac:dyDescent="0.35">
      <c r="A84">
        <v>135</v>
      </c>
      <c r="B84" t="str">
        <f xml:space="preserve"> CONCATENATE("ruta ", ka_res_4[[#This Row],[Column1]])</f>
        <v>ruta 135</v>
      </c>
      <c r="C84" s="1" t="s">
        <v>97</v>
      </c>
      <c r="D84">
        <v>142.58000000000001</v>
      </c>
    </row>
    <row r="85" spans="1:4" hidden="1" x14ac:dyDescent="0.35">
      <c r="A85">
        <v>17</v>
      </c>
      <c r="B85" t="str">
        <f xml:space="preserve"> CONCATENATE("ruta ", ka_res_4[[#This Row],[Column1]])</f>
        <v>ruta 17</v>
      </c>
      <c r="C85" s="1" t="s">
        <v>100</v>
      </c>
      <c r="D85">
        <v>142.77000000000001</v>
      </c>
    </row>
    <row r="86" spans="1:4" hidden="1" x14ac:dyDescent="0.35">
      <c r="A86">
        <v>18</v>
      </c>
      <c r="B86" t="str">
        <f xml:space="preserve"> CONCATENATE("ruta ", ka_res_4[[#This Row],[Column1]])</f>
        <v>ruta 18</v>
      </c>
      <c r="C86" s="1" t="s">
        <v>106</v>
      </c>
      <c r="D86">
        <v>143.75</v>
      </c>
    </row>
    <row r="87" spans="1:4" hidden="1" x14ac:dyDescent="0.35">
      <c r="A87">
        <v>95</v>
      </c>
      <c r="B87" t="str">
        <f xml:space="preserve"> CONCATENATE("ruta ", ka_res_4[[#This Row],[Column1]])</f>
        <v>ruta 95</v>
      </c>
      <c r="C87" s="1" t="s">
        <v>95</v>
      </c>
      <c r="D87">
        <v>144.30000000000001</v>
      </c>
    </row>
    <row r="88" spans="1:4" hidden="1" x14ac:dyDescent="0.35">
      <c r="A88">
        <v>198</v>
      </c>
      <c r="B88" t="str">
        <f xml:space="preserve"> CONCATENATE("ruta ", ka_res_4[[#This Row],[Column1]])</f>
        <v>ruta 198</v>
      </c>
      <c r="C88" s="1" t="s">
        <v>109</v>
      </c>
      <c r="D88">
        <v>145.22</v>
      </c>
    </row>
    <row r="89" spans="1:4" hidden="1" x14ac:dyDescent="0.35">
      <c r="A89">
        <v>254</v>
      </c>
      <c r="B89" t="str">
        <f xml:space="preserve"> CONCATENATE("ruta ", ka_res_4[[#This Row],[Column1]])</f>
        <v>ruta 254</v>
      </c>
      <c r="C89" s="1" t="s">
        <v>71</v>
      </c>
      <c r="D89">
        <v>145.53</v>
      </c>
    </row>
    <row r="90" spans="1:4" hidden="1" x14ac:dyDescent="0.35">
      <c r="A90">
        <v>240</v>
      </c>
      <c r="B90" t="str">
        <f xml:space="preserve"> CONCATENATE("ruta ", ka_res_4[[#This Row],[Column1]])</f>
        <v>ruta 240</v>
      </c>
      <c r="C90" s="1" t="s">
        <v>101</v>
      </c>
      <c r="D90">
        <v>147.57</v>
      </c>
    </row>
    <row r="91" spans="1:4" hidden="1" x14ac:dyDescent="0.35">
      <c r="A91">
        <v>298</v>
      </c>
      <c r="B91" t="str">
        <f xml:space="preserve"> CONCATENATE("ruta ", ka_res_4[[#This Row],[Column1]])</f>
        <v>ruta 298</v>
      </c>
      <c r="C91" s="1" t="s">
        <v>96</v>
      </c>
      <c r="D91">
        <v>147.69</v>
      </c>
    </row>
    <row r="92" spans="1:4" hidden="1" x14ac:dyDescent="0.35">
      <c r="A92">
        <v>200</v>
      </c>
      <c r="B92" t="str">
        <f xml:space="preserve"> CONCATENATE("ruta ", ka_res_4[[#This Row],[Column1]])</f>
        <v>ruta 200</v>
      </c>
      <c r="C92" s="1" t="s">
        <v>104</v>
      </c>
      <c r="D92">
        <v>148.02000000000001</v>
      </c>
    </row>
    <row r="93" spans="1:4" hidden="1" x14ac:dyDescent="0.35">
      <c r="A93">
        <v>5</v>
      </c>
      <c r="B93" t="str">
        <f xml:space="preserve"> CONCATENATE("ruta ", ka_res_4[[#This Row],[Column1]])</f>
        <v>ruta 5</v>
      </c>
      <c r="C93" s="1" t="s">
        <v>74</v>
      </c>
      <c r="D93">
        <v>148.13</v>
      </c>
    </row>
    <row r="94" spans="1:4" hidden="1" x14ac:dyDescent="0.35">
      <c r="A94">
        <v>99</v>
      </c>
      <c r="B94" t="str">
        <f xml:space="preserve"> CONCATENATE("ruta ", ka_res_4[[#This Row],[Column1]])</f>
        <v>ruta 99</v>
      </c>
      <c r="C94" s="1" t="s">
        <v>102</v>
      </c>
      <c r="D94">
        <v>150.72</v>
      </c>
    </row>
    <row r="95" spans="1:4" hidden="1" x14ac:dyDescent="0.35">
      <c r="A95">
        <v>265</v>
      </c>
      <c r="B95" t="str">
        <f xml:space="preserve"> CONCATENATE("ruta ", ka_res_4[[#This Row],[Column1]])</f>
        <v>ruta 265</v>
      </c>
      <c r="C95" s="1" t="s">
        <v>101</v>
      </c>
      <c r="D95">
        <v>151.71</v>
      </c>
    </row>
    <row r="96" spans="1:4" hidden="1" x14ac:dyDescent="0.35">
      <c r="A96">
        <v>288</v>
      </c>
      <c r="B96" t="str">
        <f xml:space="preserve"> CONCATENATE("ruta ", ka_res_4[[#This Row],[Column1]])</f>
        <v>ruta 288</v>
      </c>
      <c r="C96" s="1" t="s">
        <v>73</v>
      </c>
      <c r="D96">
        <v>152.51</v>
      </c>
    </row>
    <row r="97" spans="1:4" hidden="1" x14ac:dyDescent="0.35">
      <c r="A97">
        <v>111</v>
      </c>
      <c r="B97" t="str">
        <f xml:space="preserve"> CONCATENATE("ruta ", ka_res_4[[#This Row],[Column1]])</f>
        <v>ruta 111</v>
      </c>
      <c r="C97" s="1" t="s">
        <v>100</v>
      </c>
      <c r="D97">
        <v>153.59</v>
      </c>
    </row>
    <row r="98" spans="1:4" hidden="1" x14ac:dyDescent="0.35">
      <c r="A98">
        <v>214</v>
      </c>
      <c r="B98" t="str">
        <f xml:space="preserve"> CONCATENATE("ruta ", ka_res_4[[#This Row],[Column1]])</f>
        <v>ruta 214</v>
      </c>
      <c r="C98" s="1" t="s">
        <v>98</v>
      </c>
      <c r="D98">
        <v>154.13999999999999</v>
      </c>
    </row>
    <row r="99" spans="1:4" hidden="1" x14ac:dyDescent="0.35">
      <c r="A99">
        <v>51</v>
      </c>
      <c r="B99" t="str">
        <f xml:space="preserve"> CONCATENATE("ruta ", ka_res_4[[#This Row],[Column1]])</f>
        <v>ruta 51</v>
      </c>
      <c r="C99" s="1" t="s">
        <v>97</v>
      </c>
      <c r="D99">
        <v>157.16</v>
      </c>
    </row>
    <row r="100" spans="1:4" hidden="1" x14ac:dyDescent="0.35">
      <c r="A100">
        <v>4</v>
      </c>
      <c r="B100" t="str">
        <f xml:space="preserve"> CONCATENATE("ruta ", ka_res_4[[#This Row],[Column1]])</f>
        <v>ruta 4</v>
      </c>
      <c r="C100" s="1" t="s">
        <v>96</v>
      </c>
      <c r="D100">
        <v>157.52000000000001</v>
      </c>
    </row>
    <row r="101" spans="1:4" hidden="1" x14ac:dyDescent="0.35">
      <c r="A101">
        <v>155</v>
      </c>
      <c r="B101" t="str">
        <f xml:space="preserve"> CONCATENATE("ruta ", ka_res_4[[#This Row],[Column1]])</f>
        <v>ruta 155</v>
      </c>
      <c r="C101" s="1" t="s">
        <v>100</v>
      </c>
      <c r="D101">
        <v>159.32</v>
      </c>
    </row>
    <row r="102" spans="1:4" hidden="1" x14ac:dyDescent="0.35">
      <c r="A102">
        <v>124</v>
      </c>
      <c r="B102" t="str">
        <f xml:space="preserve"> CONCATENATE("ruta ", ka_res_4[[#This Row],[Column1]])</f>
        <v>ruta 124</v>
      </c>
      <c r="C102" s="1" t="s">
        <v>70</v>
      </c>
      <c r="D102">
        <v>159.36000000000001</v>
      </c>
    </row>
    <row r="103" spans="1:4" hidden="1" x14ac:dyDescent="0.35">
      <c r="A103">
        <v>85</v>
      </c>
      <c r="B103" t="str">
        <f xml:space="preserve"> CONCATENATE("ruta ", ka_res_4[[#This Row],[Column1]])</f>
        <v>ruta 85</v>
      </c>
      <c r="C103" s="1" t="s">
        <v>109</v>
      </c>
      <c r="D103">
        <v>159.38999999999999</v>
      </c>
    </row>
    <row r="104" spans="1:4" hidden="1" x14ac:dyDescent="0.35">
      <c r="A104">
        <v>163</v>
      </c>
      <c r="B104" t="str">
        <f xml:space="preserve"> CONCATENATE("ruta ", ka_res_4[[#This Row],[Column1]])</f>
        <v>ruta 163</v>
      </c>
      <c r="C104" s="1" t="s">
        <v>102</v>
      </c>
      <c r="D104">
        <v>160.9</v>
      </c>
    </row>
    <row r="105" spans="1:4" hidden="1" x14ac:dyDescent="0.35">
      <c r="A105">
        <v>76</v>
      </c>
      <c r="B105" t="str">
        <f xml:space="preserve"> CONCATENATE("ruta ", ka_res_4[[#This Row],[Column1]])</f>
        <v>ruta 76</v>
      </c>
      <c r="C105" s="1" t="s">
        <v>102</v>
      </c>
      <c r="D105">
        <v>163.35</v>
      </c>
    </row>
    <row r="106" spans="1:4" hidden="1" x14ac:dyDescent="0.35">
      <c r="A106">
        <v>32</v>
      </c>
      <c r="B106" t="str">
        <f xml:space="preserve"> CONCATENATE("ruta ", ka_res_4[[#This Row],[Column1]])</f>
        <v>ruta 32</v>
      </c>
      <c r="C106" s="1" t="s">
        <v>70</v>
      </c>
      <c r="D106">
        <v>163.44999999999999</v>
      </c>
    </row>
    <row r="107" spans="1:4" hidden="1" x14ac:dyDescent="0.35">
      <c r="A107">
        <v>296</v>
      </c>
      <c r="B107" t="str">
        <f xml:space="preserve"> CONCATENATE("ruta ", ka_res_4[[#This Row],[Column1]])</f>
        <v>ruta 296</v>
      </c>
      <c r="C107" s="1" t="s">
        <v>97</v>
      </c>
      <c r="D107">
        <v>163.78</v>
      </c>
    </row>
    <row r="108" spans="1:4" hidden="1" x14ac:dyDescent="0.35">
      <c r="A108">
        <v>39</v>
      </c>
      <c r="B108" t="str">
        <f xml:space="preserve"> CONCATENATE("ruta ", ka_res_4[[#This Row],[Column1]])</f>
        <v>ruta 39</v>
      </c>
      <c r="C108" s="1" t="s">
        <v>95</v>
      </c>
      <c r="D108">
        <v>164.09</v>
      </c>
    </row>
    <row r="109" spans="1:4" hidden="1" x14ac:dyDescent="0.35">
      <c r="A109">
        <v>255</v>
      </c>
      <c r="B109" t="str">
        <f xml:space="preserve"> CONCATENATE("ruta ", ka_res_4[[#This Row],[Column1]])</f>
        <v>ruta 255</v>
      </c>
      <c r="C109" s="1" t="s">
        <v>70</v>
      </c>
      <c r="D109">
        <v>165.23</v>
      </c>
    </row>
    <row r="110" spans="1:4" hidden="1" x14ac:dyDescent="0.35">
      <c r="A110">
        <v>71</v>
      </c>
      <c r="B110" t="str">
        <f xml:space="preserve"> CONCATENATE("ruta ", ka_res_4[[#This Row],[Column1]])</f>
        <v>ruta 71</v>
      </c>
      <c r="C110" s="1" t="s">
        <v>70</v>
      </c>
      <c r="D110">
        <v>170.11</v>
      </c>
    </row>
    <row r="111" spans="1:4" hidden="1" x14ac:dyDescent="0.35">
      <c r="A111">
        <v>116</v>
      </c>
      <c r="B111" t="str">
        <f xml:space="preserve"> CONCATENATE("ruta ", ka_res_4[[#This Row],[Column1]])</f>
        <v>ruta 116</v>
      </c>
      <c r="C111" s="1" t="s">
        <v>105</v>
      </c>
      <c r="D111">
        <v>170.96</v>
      </c>
    </row>
    <row r="112" spans="1:4" hidden="1" x14ac:dyDescent="0.35">
      <c r="A112">
        <v>197</v>
      </c>
      <c r="B112" t="str">
        <f xml:space="preserve"> CONCATENATE("ruta ", ka_res_4[[#This Row],[Column1]])</f>
        <v>ruta 197</v>
      </c>
      <c r="C112" s="1" t="s">
        <v>74</v>
      </c>
      <c r="D112">
        <v>171.31</v>
      </c>
    </row>
    <row r="113" spans="1:4" hidden="1" x14ac:dyDescent="0.35">
      <c r="A113">
        <v>224</v>
      </c>
      <c r="B113" t="str">
        <f xml:space="preserve"> CONCATENATE("ruta ", ka_res_4[[#This Row],[Column1]])</f>
        <v>ruta 224</v>
      </c>
      <c r="C113" s="1" t="s">
        <v>109</v>
      </c>
      <c r="D113">
        <v>171.58</v>
      </c>
    </row>
    <row r="114" spans="1:4" hidden="1" x14ac:dyDescent="0.35">
      <c r="A114">
        <v>180</v>
      </c>
      <c r="B114" t="str">
        <f xml:space="preserve"> CONCATENATE("ruta ", ka_res_4[[#This Row],[Column1]])</f>
        <v>ruta 180</v>
      </c>
      <c r="C114" s="1" t="s">
        <v>70</v>
      </c>
      <c r="D114">
        <v>172.49</v>
      </c>
    </row>
    <row r="115" spans="1:4" hidden="1" x14ac:dyDescent="0.35">
      <c r="A115">
        <v>167</v>
      </c>
      <c r="B115" t="str">
        <f xml:space="preserve"> CONCATENATE("ruta ", ka_res_4[[#This Row],[Column1]])</f>
        <v>ruta 167</v>
      </c>
      <c r="C115" s="1" t="s">
        <v>108</v>
      </c>
      <c r="D115">
        <v>173.2</v>
      </c>
    </row>
    <row r="116" spans="1:4" hidden="1" x14ac:dyDescent="0.35">
      <c r="A116">
        <v>109</v>
      </c>
      <c r="B116" t="str">
        <f xml:space="preserve"> CONCATENATE("ruta ", ka_res_4[[#This Row],[Column1]])</f>
        <v>ruta 109</v>
      </c>
      <c r="C116" s="1" t="s">
        <v>107</v>
      </c>
      <c r="D116">
        <v>173.32</v>
      </c>
    </row>
    <row r="117" spans="1:4" hidden="1" x14ac:dyDescent="0.35">
      <c r="A117">
        <v>192</v>
      </c>
      <c r="B117" t="str">
        <f xml:space="preserve"> CONCATENATE("ruta ", ka_res_4[[#This Row],[Column1]])</f>
        <v>ruta 192</v>
      </c>
      <c r="C117" s="1" t="s">
        <v>97</v>
      </c>
      <c r="D117">
        <v>179.49</v>
      </c>
    </row>
    <row r="118" spans="1:4" hidden="1" x14ac:dyDescent="0.35">
      <c r="A118">
        <v>236</v>
      </c>
      <c r="B118" t="str">
        <f xml:space="preserve"> CONCATENATE("ruta ", ka_res_4[[#This Row],[Column1]])</f>
        <v>ruta 236</v>
      </c>
      <c r="C118" s="1" t="s">
        <v>74</v>
      </c>
      <c r="D118">
        <v>182.51</v>
      </c>
    </row>
    <row r="119" spans="1:4" hidden="1" x14ac:dyDescent="0.35">
      <c r="A119">
        <v>251</v>
      </c>
      <c r="B119" t="str">
        <f xml:space="preserve"> CONCATENATE("ruta ", ka_res_4[[#This Row],[Column1]])</f>
        <v>ruta 251</v>
      </c>
      <c r="C119" s="1" t="s">
        <v>104</v>
      </c>
      <c r="D119">
        <v>184.48</v>
      </c>
    </row>
    <row r="120" spans="1:4" hidden="1" x14ac:dyDescent="0.35">
      <c r="A120">
        <v>82</v>
      </c>
      <c r="B120" t="str">
        <f xml:space="preserve"> CONCATENATE("ruta ", ka_res_4[[#This Row],[Column1]])</f>
        <v>ruta 82</v>
      </c>
      <c r="C120" s="1" t="s">
        <v>69</v>
      </c>
      <c r="D120">
        <v>186.33</v>
      </c>
    </row>
    <row r="121" spans="1:4" hidden="1" x14ac:dyDescent="0.35">
      <c r="A121">
        <v>38</v>
      </c>
      <c r="B121" t="str">
        <f xml:space="preserve"> CONCATENATE("ruta ", ka_res_4[[#This Row],[Column1]])</f>
        <v>ruta 38</v>
      </c>
      <c r="C121" s="1" t="s">
        <v>75</v>
      </c>
      <c r="D121">
        <v>186.4</v>
      </c>
    </row>
    <row r="122" spans="1:4" hidden="1" x14ac:dyDescent="0.35">
      <c r="A122">
        <v>273</v>
      </c>
      <c r="B122" t="str">
        <f xml:space="preserve"> CONCATENATE("ruta ", ka_res_4[[#This Row],[Column1]])</f>
        <v>ruta 273</v>
      </c>
      <c r="C122" s="1" t="s">
        <v>109</v>
      </c>
      <c r="D122">
        <v>186.96</v>
      </c>
    </row>
    <row r="123" spans="1:4" hidden="1" x14ac:dyDescent="0.35">
      <c r="A123">
        <v>196</v>
      </c>
      <c r="B123" t="str">
        <f xml:space="preserve"> CONCATENATE("ruta ", ka_res_4[[#This Row],[Column1]])</f>
        <v>ruta 196</v>
      </c>
      <c r="C123" s="1" t="s">
        <v>100</v>
      </c>
      <c r="D123">
        <v>187.11</v>
      </c>
    </row>
    <row r="124" spans="1:4" hidden="1" x14ac:dyDescent="0.35">
      <c r="A124">
        <v>48</v>
      </c>
      <c r="B124" t="str">
        <f xml:space="preserve"> CONCATENATE("ruta ", ka_res_4[[#This Row],[Column1]])</f>
        <v>ruta 48</v>
      </c>
      <c r="C124" s="1" t="s">
        <v>98</v>
      </c>
      <c r="D124">
        <v>187.32</v>
      </c>
    </row>
    <row r="125" spans="1:4" hidden="1" x14ac:dyDescent="0.35">
      <c r="A125">
        <v>43</v>
      </c>
      <c r="B125" t="str">
        <f xml:space="preserve"> CONCATENATE("ruta ", ka_res_4[[#This Row],[Column1]])</f>
        <v>ruta 43</v>
      </c>
      <c r="C125" s="1" t="s">
        <v>72</v>
      </c>
      <c r="D125">
        <v>188.61</v>
      </c>
    </row>
    <row r="126" spans="1:4" hidden="1" x14ac:dyDescent="0.35">
      <c r="A126">
        <v>79</v>
      </c>
      <c r="B126" t="str">
        <f xml:space="preserve"> CONCATENATE("ruta ", ka_res_4[[#This Row],[Column1]])</f>
        <v>ruta 79</v>
      </c>
      <c r="C126" s="1" t="s">
        <v>111</v>
      </c>
      <c r="D126">
        <v>191.18</v>
      </c>
    </row>
    <row r="127" spans="1:4" hidden="1" x14ac:dyDescent="0.35">
      <c r="A127">
        <v>165</v>
      </c>
      <c r="B127" t="str">
        <f xml:space="preserve"> CONCATENATE("ruta ", ka_res_4[[#This Row],[Column1]])</f>
        <v>ruta 165</v>
      </c>
      <c r="C127" s="1" t="s">
        <v>71</v>
      </c>
      <c r="D127">
        <v>191.77</v>
      </c>
    </row>
    <row r="128" spans="1:4" hidden="1" x14ac:dyDescent="0.35">
      <c r="A128">
        <v>63</v>
      </c>
      <c r="B128" t="str">
        <f xml:space="preserve"> CONCATENATE("ruta ", ka_res_4[[#This Row],[Column1]])</f>
        <v>ruta 63</v>
      </c>
      <c r="C128" s="1" t="s">
        <v>109</v>
      </c>
      <c r="D128">
        <v>192.63</v>
      </c>
    </row>
    <row r="129" spans="1:4" hidden="1" x14ac:dyDescent="0.35">
      <c r="A129">
        <v>134</v>
      </c>
      <c r="B129" t="str">
        <f xml:space="preserve"> CONCATENATE("ruta ", ka_res_4[[#This Row],[Column1]])</f>
        <v>ruta 134</v>
      </c>
      <c r="C129" s="1" t="s">
        <v>95</v>
      </c>
      <c r="D129">
        <v>196.44</v>
      </c>
    </row>
    <row r="130" spans="1:4" hidden="1" x14ac:dyDescent="0.35">
      <c r="A130">
        <v>57</v>
      </c>
      <c r="B130" t="str">
        <f xml:space="preserve"> CONCATENATE("ruta ", ka_res_4[[#This Row],[Column1]])</f>
        <v>ruta 57</v>
      </c>
      <c r="C130" s="1" t="s">
        <v>102</v>
      </c>
      <c r="D130">
        <v>197.84</v>
      </c>
    </row>
    <row r="131" spans="1:4" hidden="1" x14ac:dyDescent="0.35">
      <c r="A131">
        <v>98</v>
      </c>
      <c r="B131" t="str">
        <f xml:space="preserve"> CONCATENATE("ruta ", ka_res_4[[#This Row],[Column1]])</f>
        <v>ruta 98</v>
      </c>
      <c r="C131" s="1" t="s">
        <v>102</v>
      </c>
      <c r="D131">
        <v>198.65</v>
      </c>
    </row>
    <row r="132" spans="1:4" hidden="1" x14ac:dyDescent="0.35">
      <c r="A132">
        <v>81</v>
      </c>
      <c r="B132" t="str">
        <f xml:space="preserve"> CONCATENATE("ruta ", ka_res_4[[#This Row],[Column1]])</f>
        <v>ruta 81</v>
      </c>
      <c r="C132" s="1" t="s">
        <v>70</v>
      </c>
      <c r="D132">
        <v>199.46</v>
      </c>
    </row>
    <row r="133" spans="1:4" hidden="1" x14ac:dyDescent="0.35">
      <c r="A133">
        <v>75</v>
      </c>
      <c r="B133" t="str">
        <f xml:space="preserve"> CONCATENATE("ruta ", ka_res_4[[#This Row],[Column1]])</f>
        <v>ruta 75</v>
      </c>
      <c r="C133" s="1" t="s">
        <v>110</v>
      </c>
      <c r="D133">
        <v>199.69</v>
      </c>
    </row>
    <row r="134" spans="1:4" hidden="1" x14ac:dyDescent="0.35">
      <c r="A134">
        <v>186</v>
      </c>
      <c r="B134" t="str">
        <f xml:space="preserve"> CONCATENATE("ruta ", ka_res_4[[#This Row],[Column1]])</f>
        <v>ruta 186</v>
      </c>
      <c r="C134" s="1" t="s">
        <v>98</v>
      </c>
      <c r="D134">
        <v>201.3</v>
      </c>
    </row>
    <row r="135" spans="1:4" hidden="1" x14ac:dyDescent="0.35">
      <c r="A135">
        <v>151</v>
      </c>
      <c r="B135" t="str">
        <f xml:space="preserve"> CONCATENATE("ruta ", ka_res_4[[#This Row],[Column1]])</f>
        <v>ruta 151</v>
      </c>
      <c r="C135" s="1" t="s">
        <v>72</v>
      </c>
      <c r="D135">
        <v>202.27</v>
      </c>
    </row>
    <row r="136" spans="1:4" hidden="1" x14ac:dyDescent="0.35">
      <c r="A136">
        <v>150</v>
      </c>
      <c r="B136" t="str">
        <f xml:space="preserve"> CONCATENATE("ruta ", ka_res_4[[#This Row],[Column1]])</f>
        <v>ruta 150</v>
      </c>
      <c r="C136" s="1" t="s">
        <v>110</v>
      </c>
      <c r="D136">
        <v>205.53</v>
      </c>
    </row>
    <row r="137" spans="1:4" hidden="1" x14ac:dyDescent="0.35">
      <c r="A137">
        <v>46</v>
      </c>
      <c r="B137" t="str">
        <f xml:space="preserve"> CONCATENATE("ruta ", ka_res_4[[#This Row],[Column1]])</f>
        <v>ruta 46</v>
      </c>
      <c r="C137" s="1" t="s">
        <v>96</v>
      </c>
      <c r="D137">
        <v>205.81</v>
      </c>
    </row>
    <row r="138" spans="1:4" hidden="1" x14ac:dyDescent="0.35">
      <c r="A138">
        <v>294</v>
      </c>
      <c r="B138" t="str">
        <f xml:space="preserve"> CONCATENATE("ruta ", ka_res_4[[#This Row],[Column1]])</f>
        <v>ruta 294</v>
      </c>
      <c r="C138" s="1" t="s">
        <v>109</v>
      </c>
      <c r="D138">
        <v>206.37</v>
      </c>
    </row>
    <row r="139" spans="1:4" hidden="1" x14ac:dyDescent="0.35">
      <c r="A139">
        <v>13</v>
      </c>
      <c r="B139" t="str">
        <f xml:space="preserve"> CONCATENATE("ruta ", ka_res_4[[#This Row],[Column1]])</f>
        <v>ruta 13</v>
      </c>
      <c r="C139" s="1" t="s">
        <v>110</v>
      </c>
      <c r="D139">
        <v>207.68</v>
      </c>
    </row>
    <row r="140" spans="1:4" hidden="1" x14ac:dyDescent="0.35">
      <c r="A140">
        <v>225</v>
      </c>
      <c r="B140" t="str">
        <f xml:space="preserve"> CONCATENATE("ruta ", ka_res_4[[#This Row],[Column1]])</f>
        <v>ruta 225</v>
      </c>
      <c r="C140" s="1" t="s">
        <v>95</v>
      </c>
      <c r="D140">
        <v>209.2</v>
      </c>
    </row>
    <row r="141" spans="1:4" hidden="1" x14ac:dyDescent="0.35">
      <c r="A141">
        <v>110</v>
      </c>
      <c r="B141" t="str">
        <f xml:space="preserve"> CONCATENATE("ruta ", ka_res_4[[#This Row],[Column1]])</f>
        <v>ruta 110</v>
      </c>
      <c r="C141" s="1" t="s">
        <v>105</v>
      </c>
      <c r="D141">
        <v>212.01</v>
      </c>
    </row>
    <row r="142" spans="1:4" hidden="1" x14ac:dyDescent="0.35">
      <c r="A142">
        <v>284</v>
      </c>
      <c r="B142" t="str">
        <f xml:space="preserve"> CONCATENATE("ruta ", ka_res_4[[#This Row],[Column1]])</f>
        <v>ruta 284</v>
      </c>
      <c r="C142" s="1" t="s">
        <v>108</v>
      </c>
      <c r="D142">
        <v>215.03</v>
      </c>
    </row>
    <row r="143" spans="1:4" hidden="1" x14ac:dyDescent="0.35">
      <c r="A143">
        <v>217</v>
      </c>
      <c r="B143" t="str">
        <f xml:space="preserve"> CONCATENATE("ruta ", ka_res_4[[#This Row],[Column1]])</f>
        <v>ruta 217</v>
      </c>
      <c r="C143" s="1" t="s">
        <v>95</v>
      </c>
      <c r="D143">
        <v>217.27</v>
      </c>
    </row>
    <row r="144" spans="1:4" hidden="1" x14ac:dyDescent="0.35">
      <c r="A144">
        <v>37</v>
      </c>
      <c r="B144" t="str">
        <f xml:space="preserve"> CONCATENATE("ruta ", ka_res_4[[#This Row],[Column1]])</f>
        <v>ruta 37</v>
      </c>
      <c r="C144" s="1" t="s">
        <v>69</v>
      </c>
      <c r="D144">
        <v>217.48</v>
      </c>
    </row>
    <row r="145" spans="1:4" hidden="1" x14ac:dyDescent="0.35">
      <c r="A145">
        <v>275</v>
      </c>
      <c r="B145" t="str">
        <f xml:space="preserve"> CONCATENATE("ruta ", ka_res_4[[#This Row],[Column1]])</f>
        <v>ruta 275</v>
      </c>
      <c r="C145" s="1" t="s">
        <v>101</v>
      </c>
      <c r="D145">
        <v>218.09</v>
      </c>
    </row>
    <row r="146" spans="1:4" hidden="1" x14ac:dyDescent="0.35">
      <c r="A146">
        <v>267</v>
      </c>
      <c r="B146" t="str">
        <f xml:space="preserve"> CONCATENATE("ruta ", ka_res_4[[#This Row],[Column1]])</f>
        <v>ruta 267</v>
      </c>
      <c r="C146" s="1" t="s">
        <v>97</v>
      </c>
      <c r="D146">
        <v>218.19</v>
      </c>
    </row>
    <row r="147" spans="1:4" hidden="1" x14ac:dyDescent="0.35">
      <c r="A147">
        <v>30</v>
      </c>
      <c r="B147" t="str">
        <f xml:space="preserve"> CONCATENATE("ruta ", ka_res_4[[#This Row],[Column1]])</f>
        <v>ruta 30</v>
      </c>
      <c r="C147" s="1" t="s">
        <v>103</v>
      </c>
      <c r="D147">
        <v>218.32</v>
      </c>
    </row>
    <row r="148" spans="1:4" hidden="1" x14ac:dyDescent="0.35">
      <c r="A148">
        <v>131</v>
      </c>
      <c r="B148" t="str">
        <f xml:space="preserve"> CONCATENATE("ruta ", ka_res_4[[#This Row],[Column1]])</f>
        <v>ruta 131</v>
      </c>
      <c r="C148" s="1" t="s">
        <v>71</v>
      </c>
      <c r="D148">
        <v>220.07</v>
      </c>
    </row>
    <row r="149" spans="1:4" hidden="1" x14ac:dyDescent="0.35">
      <c r="A149">
        <v>292</v>
      </c>
      <c r="B149" t="str">
        <f xml:space="preserve"> CONCATENATE("ruta ", ka_res_4[[#This Row],[Column1]])</f>
        <v>ruta 292</v>
      </c>
      <c r="C149" s="1" t="s">
        <v>75</v>
      </c>
      <c r="D149">
        <v>222.42</v>
      </c>
    </row>
    <row r="150" spans="1:4" hidden="1" x14ac:dyDescent="0.35">
      <c r="A150">
        <v>77</v>
      </c>
      <c r="B150" t="str">
        <f xml:space="preserve"> CONCATENATE("ruta ", ka_res_4[[#This Row],[Column1]])</f>
        <v>ruta 77</v>
      </c>
      <c r="C150" s="1" t="s">
        <v>95</v>
      </c>
      <c r="D150">
        <v>223.06</v>
      </c>
    </row>
    <row r="151" spans="1:4" hidden="1" x14ac:dyDescent="0.35">
      <c r="A151">
        <v>274</v>
      </c>
      <c r="B151" t="str">
        <f xml:space="preserve"> CONCATENATE("ruta ", ka_res_4[[#This Row],[Column1]])</f>
        <v>ruta 274</v>
      </c>
      <c r="C151" s="1" t="s">
        <v>107</v>
      </c>
      <c r="D151">
        <v>226.07</v>
      </c>
    </row>
    <row r="152" spans="1:4" hidden="1" x14ac:dyDescent="0.35">
      <c r="A152">
        <v>300</v>
      </c>
      <c r="B152" t="str">
        <f xml:space="preserve"> CONCATENATE("ruta ", ka_res_4[[#This Row],[Column1]])</f>
        <v>ruta 300</v>
      </c>
      <c r="C152" s="1" t="s">
        <v>100</v>
      </c>
      <c r="D152">
        <v>227.21</v>
      </c>
    </row>
    <row r="153" spans="1:4" hidden="1" x14ac:dyDescent="0.35">
      <c r="A153">
        <v>276</v>
      </c>
      <c r="B153" t="str">
        <f xml:space="preserve"> CONCATENATE("ruta ", ka_res_4[[#This Row],[Column1]])</f>
        <v>ruta 276</v>
      </c>
      <c r="C153" s="1" t="s">
        <v>74</v>
      </c>
      <c r="D153">
        <v>227.3</v>
      </c>
    </row>
    <row r="154" spans="1:4" hidden="1" x14ac:dyDescent="0.35">
      <c r="A154">
        <v>211</v>
      </c>
      <c r="B154" t="str">
        <f xml:space="preserve"> CONCATENATE("ruta ", ka_res_4[[#This Row],[Column1]])</f>
        <v>ruta 211</v>
      </c>
      <c r="C154" s="1" t="s">
        <v>109</v>
      </c>
      <c r="D154">
        <v>228.29</v>
      </c>
    </row>
    <row r="155" spans="1:4" hidden="1" x14ac:dyDescent="0.35">
      <c r="A155">
        <v>54</v>
      </c>
      <c r="B155" t="str">
        <f xml:space="preserve"> CONCATENATE("ruta ", ka_res_4[[#This Row],[Column1]])</f>
        <v>ruta 54</v>
      </c>
      <c r="C155" s="1" t="s">
        <v>103</v>
      </c>
      <c r="D155">
        <v>230.4</v>
      </c>
    </row>
    <row r="156" spans="1:4" hidden="1" x14ac:dyDescent="0.35">
      <c r="A156">
        <v>266</v>
      </c>
      <c r="B156" t="str">
        <f xml:space="preserve"> CONCATENATE("ruta ", ka_res_4[[#This Row],[Column1]])</f>
        <v>ruta 266</v>
      </c>
      <c r="C156" s="1" t="s">
        <v>96</v>
      </c>
      <c r="D156">
        <v>232.97</v>
      </c>
    </row>
    <row r="157" spans="1:4" hidden="1" x14ac:dyDescent="0.35">
      <c r="A157">
        <v>122</v>
      </c>
      <c r="B157" t="str">
        <f xml:space="preserve"> CONCATENATE("ruta ", ka_res_4[[#This Row],[Column1]])</f>
        <v>ruta 122</v>
      </c>
      <c r="C157" s="1" t="s">
        <v>100</v>
      </c>
      <c r="D157">
        <v>233.19</v>
      </c>
    </row>
    <row r="158" spans="1:4" hidden="1" x14ac:dyDescent="0.35">
      <c r="A158">
        <v>229</v>
      </c>
      <c r="B158" t="str">
        <f xml:space="preserve"> CONCATENATE("ruta ", ka_res_4[[#This Row],[Column1]])</f>
        <v>ruta 229</v>
      </c>
      <c r="C158" s="1" t="s">
        <v>110</v>
      </c>
      <c r="D158">
        <v>234.1</v>
      </c>
    </row>
    <row r="159" spans="1:4" hidden="1" x14ac:dyDescent="0.35">
      <c r="A159">
        <v>297</v>
      </c>
      <c r="B159" t="str">
        <f xml:space="preserve"> CONCATENATE("ruta ", ka_res_4[[#This Row],[Column1]])</f>
        <v>ruta 297</v>
      </c>
      <c r="C159" s="1" t="s">
        <v>104</v>
      </c>
      <c r="D159">
        <v>239.38</v>
      </c>
    </row>
    <row r="160" spans="1:4" hidden="1" x14ac:dyDescent="0.35">
      <c r="A160">
        <v>153</v>
      </c>
      <c r="B160" t="str">
        <f xml:space="preserve"> CONCATENATE("ruta ", ka_res_4[[#This Row],[Column1]])</f>
        <v>ruta 153</v>
      </c>
      <c r="C160" s="1" t="s">
        <v>95</v>
      </c>
      <c r="D160">
        <v>240.36</v>
      </c>
    </row>
    <row r="161" spans="1:4" hidden="1" x14ac:dyDescent="0.35">
      <c r="A161">
        <v>177</v>
      </c>
      <c r="B161" t="str">
        <f xml:space="preserve"> CONCATENATE("ruta ", ka_res_4[[#This Row],[Column1]])</f>
        <v>ruta 177</v>
      </c>
      <c r="C161" s="1" t="s">
        <v>111</v>
      </c>
      <c r="D161">
        <v>243.08</v>
      </c>
    </row>
    <row r="162" spans="1:4" hidden="1" x14ac:dyDescent="0.35">
      <c r="A162">
        <v>205</v>
      </c>
      <c r="B162" t="str">
        <f xml:space="preserve"> CONCATENATE("ruta ", ka_res_4[[#This Row],[Column1]])</f>
        <v>ruta 205</v>
      </c>
      <c r="C162" s="1" t="s">
        <v>75</v>
      </c>
      <c r="D162">
        <v>245.54</v>
      </c>
    </row>
    <row r="163" spans="1:4" hidden="1" x14ac:dyDescent="0.35">
      <c r="A163">
        <v>138</v>
      </c>
      <c r="B163" t="str">
        <f xml:space="preserve"> CONCATENATE("ruta ", ka_res_4[[#This Row],[Column1]])</f>
        <v>ruta 138</v>
      </c>
      <c r="C163" s="1" t="s">
        <v>69</v>
      </c>
      <c r="D163">
        <v>246.23</v>
      </c>
    </row>
    <row r="164" spans="1:4" hidden="1" x14ac:dyDescent="0.35">
      <c r="A164">
        <v>175</v>
      </c>
      <c r="B164" t="str">
        <f xml:space="preserve"> CONCATENATE("ruta ", ka_res_4[[#This Row],[Column1]])</f>
        <v>ruta 175</v>
      </c>
      <c r="C164" s="1" t="s">
        <v>108</v>
      </c>
      <c r="D164">
        <v>247.42</v>
      </c>
    </row>
    <row r="165" spans="1:4" hidden="1" x14ac:dyDescent="0.35">
      <c r="A165">
        <v>253</v>
      </c>
      <c r="B165" t="str">
        <f xml:space="preserve"> CONCATENATE("ruta ", ka_res_4[[#This Row],[Column1]])</f>
        <v>ruta 253</v>
      </c>
      <c r="C165" s="1" t="s">
        <v>105</v>
      </c>
      <c r="D165">
        <v>247.5</v>
      </c>
    </row>
    <row r="166" spans="1:4" hidden="1" x14ac:dyDescent="0.35">
      <c r="A166">
        <v>207</v>
      </c>
      <c r="B166" t="str">
        <f xml:space="preserve"> CONCATENATE("ruta ", ka_res_4[[#This Row],[Column1]])</f>
        <v>ruta 207</v>
      </c>
      <c r="C166" s="1" t="s">
        <v>111</v>
      </c>
      <c r="D166">
        <v>247.77</v>
      </c>
    </row>
    <row r="167" spans="1:4" hidden="1" x14ac:dyDescent="0.35">
      <c r="A167">
        <v>137</v>
      </c>
      <c r="B167" t="str">
        <f xml:space="preserve"> CONCATENATE("ruta ", ka_res_4[[#This Row],[Column1]])</f>
        <v>ruta 137</v>
      </c>
      <c r="C167" s="1" t="s">
        <v>75</v>
      </c>
      <c r="D167">
        <v>249.23</v>
      </c>
    </row>
    <row r="168" spans="1:4" hidden="1" x14ac:dyDescent="0.35">
      <c r="A168">
        <v>154</v>
      </c>
      <c r="B168" t="str">
        <f xml:space="preserve"> CONCATENATE("ruta ", ka_res_4[[#This Row],[Column1]])</f>
        <v>ruta 154</v>
      </c>
      <c r="C168" s="1" t="s">
        <v>108</v>
      </c>
      <c r="D168">
        <v>250.12</v>
      </c>
    </row>
    <row r="169" spans="1:4" hidden="1" x14ac:dyDescent="0.35">
      <c r="A169">
        <v>215</v>
      </c>
      <c r="B169" t="str">
        <f xml:space="preserve"> CONCATENATE("ruta ", ka_res_4[[#This Row],[Column1]])</f>
        <v>ruta 215</v>
      </c>
      <c r="C169" s="1" t="s">
        <v>72</v>
      </c>
      <c r="D169">
        <v>251.62</v>
      </c>
    </row>
    <row r="170" spans="1:4" hidden="1" x14ac:dyDescent="0.35">
      <c r="A170">
        <v>19</v>
      </c>
      <c r="B170" t="str">
        <f xml:space="preserve"> CONCATENATE("ruta ", ka_res_4[[#This Row],[Column1]])</f>
        <v>ruta 19</v>
      </c>
      <c r="C170" s="1" t="s">
        <v>95</v>
      </c>
      <c r="D170">
        <v>253.85</v>
      </c>
    </row>
    <row r="171" spans="1:4" hidden="1" x14ac:dyDescent="0.35">
      <c r="A171">
        <v>230</v>
      </c>
      <c r="B171" t="str">
        <f xml:space="preserve"> CONCATENATE("ruta ", ka_res_4[[#This Row],[Column1]])</f>
        <v>ruta 230</v>
      </c>
      <c r="C171" s="1" t="s">
        <v>100</v>
      </c>
      <c r="D171">
        <v>254.14</v>
      </c>
    </row>
    <row r="172" spans="1:4" hidden="1" x14ac:dyDescent="0.35">
      <c r="A172">
        <v>193</v>
      </c>
      <c r="B172" t="str">
        <f xml:space="preserve"> CONCATENATE("ruta ", ka_res_4[[#This Row],[Column1]])</f>
        <v>ruta 193</v>
      </c>
      <c r="C172" s="1" t="s">
        <v>102</v>
      </c>
      <c r="D172">
        <v>254.5</v>
      </c>
    </row>
    <row r="173" spans="1:4" hidden="1" x14ac:dyDescent="0.35">
      <c r="A173">
        <v>114</v>
      </c>
      <c r="B173" t="str">
        <f xml:space="preserve"> CONCATENATE("ruta ", ka_res_4[[#This Row],[Column1]])</f>
        <v>ruta 114</v>
      </c>
      <c r="C173" s="1" t="s">
        <v>75</v>
      </c>
      <c r="D173">
        <v>257.70999999999998</v>
      </c>
    </row>
    <row r="174" spans="1:4" hidden="1" x14ac:dyDescent="0.35">
      <c r="A174">
        <v>93</v>
      </c>
      <c r="B174" t="str">
        <f xml:space="preserve"> CONCATENATE("ruta ", ka_res_4[[#This Row],[Column1]])</f>
        <v>ruta 93</v>
      </c>
      <c r="C174" s="1" t="s">
        <v>109</v>
      </c>
      <c r="D174">
        <v>258.54000000000002</v>
      </c>
    </row>
    <row r="175" spans="1:4" hidden="1" x14ac:dyDescent="0.35">
      <c r="A175">
        <v>59</v>
      </c>
      <c r="B175" t="str">
        <f xml:space="preserve"> CONCATENATE("ruta ", ka_res_4[[#This Row],[Column1]])</f>
        <v>ruta 59</v>
      </c>
      <c r="C175" s="1" t="s">
        <v>110</v>
      </c>
      <c r="D175">
        <v>259.14</v>
      </c>
    </row>
    <row r="176" spans="1:4" hidden="1" x14ac:dyDescent="0.35">
      <c r="A176">
        <v>291</v>
      </c>
      <c r="B176" t="str">
        <f xml:space="preserve"> CONCATENATE("ruta ", ka_res_4[[#This Row],[Column1]])</f>
        <v>ruta 291</v>
      </c>
      <c r="C176" s="1" t="s">
        <v>104</v>
      </c>
      <c r="D176">
        <v>259.22000000000003</v>
      </c>
    </row>
    <row r="177" spans="1:4" hidden="1" x14ac:dyDescent="0.35">
      <c r="A177">
        <v>10</v>
      </c>
      <c r="B177" t="str">
        <f xml:space="preserve"> CONCATENATE("ruta ", ka_res_4[[#This Row],[Column1]])</f>
        <v>ruta 10</v>
      </c>
      <c r="C177" s="1" t="s">
        <v>73</v>
      </c>
      <c r="D177">
        <v>259.25</v>
      </c>
    </row>
    <row r="178" spans="1:4" hidden="1" x14ac:dyDescent="0.35">
      <c r="A178">
        <v>189</v>
      </c>
      <c r="B178" t="str">
        <f xml:space="preserve"> CONCATENATE("ruta ", ka_res_4[[#This Row],[Column1]])</f>
        <v>ruta 189</v>
      </c>
      <c r="C178" s="1" t="s">
        <v>71</v>
      </c>
      <c r="D178">
        <v>259.52999999999997</v>
      </c>
    </row>
    <row r="179" spans="1:4" hidden="1" x14ac:dyDescent="0.35">
      <c r="A179">
        <v>212</v>
      </c>
      <c r="B179" t="str">
        <f xml:space="preserve"> CONCATENATE("ruta ", ka_res_4[[#This Row],[Column1]])</f>
        <v>ruta 212</v>
      </c>
      <c r="C179" s="1" t="s">
        <v>95</v>
      </c>
      <c r="D179">
        <v>260.52999999999997</v>
      </c>
    </row>
    <row r="180" spans="1:4" hidden="1" x14ac:dyDescent="0.35">
      <c r="A180">
        <v>188</v>
      </c>
      <c r="B180" t="str">
        <f xml:space="preserve"> CONCATENATE("ruta ", ka_res_4[[#This Row],[Column1]])</f>
        <v>ruta 188</v>
      </c>
      <c r="C180" s="1" t="s">
        <v>108</v>
      </c>
      <c r="D180">
        <v>261.37</v>
      </c>
    </row>
    <row r="181" spans="1:4" hidden="1" x14ac:dyDescent="0.35">
      <c r="A181">
        <v>162</v>
      </c>
      <c r="B181" t="str">
        <f xml:space="preserve"> CONCATENATE("ruta ", ka_res_4[[#This Row],[Column1]])</f>
        <v>ruta 162</v>
      </c>
      <c r="C181" s="1" t="s">
        <v>104</v>
      </c>
      <c r="D181">
        <v>263.8</v>
      </c>
    </row>
    <row r="182" spans="1:4" hidden="1" x14ac:dyDescent="0.35">
      <c r="A182">
        <v>239</v>
      </c>
      <c r="B182" t="str">
        <f xml:space="preserve"> CONCATENATE("ruta ", ka_res_4[[#This Row],[Column1]])</f>
        <v>ruta 239</v>
      </c>
      <c r="C182" s="1" t="s">
        <v>111</v>
      </c>
      <c r="D182">
        <v>264.10000000000002</v>
      </c>
    </row>
    <row r="183" spans="1:4" hidden="1" x14ac:dyDescent="0.35">
      <c r="A183">
        <v>128</v>
      </c>
      <c r="B183" t="str">
        <f xml:space="preserve"> CONCATENATE("ruta ", ka_res_4[[#This Row],[Column1]])</f>
        <v>ruta 128</v>
      </c>
      <c r="C183" s="1" t="s">
        <v>70</v>
      </c>
      <c r="D183">
        <v>265.82</v>
      </c>
    </row>
    <row r="184" spans="1:4" hidden="1" x14ac:dyDescent="0.35">
      <c r="A184">
        <v>201</v>
      </c>
      <c r="B184" t="str">
        <f xml:space="preserve"> CONCATENATE("ruta ", ka_res_4[[#This Row],[Column1]])</f>
        <v>ruta 201</v>
      </c>
      <c r="C184" s="1" t="s">
        <v>104</v>
      </c>
      <c r="D184">
        <v>267.82</v>
      </c>
    </row>
    <row r="185" spans="1:4" hidden="1" x14ac:dyDescent="0.35">
      <c r="A185">
        <v>156</v>
      </c>
      <c r="B185" t="str">
        <f xml:space="preserve"> CONCATENATE("ruta ", ka_res_4[[#This Row],[Column1]])</f>
        <v>ruta 156</v>
      </c>
      <c r="C185" s="1" t="s">
        <v>73</v>
      </c>
      <c r="D185">
        <v>267.88</v>
      </c>
    </row>
    <row r="186" spans="1:4" hidden="1" x14ac:dyDescent="0.35">
      <c r="A186">
        <v>219</v>
      </c>
      <c r="B186" t="str">
        <f xml:space="preserve"> CONCATENATE("ruta ", ka_res_4[[#This Row],[Column1]])</f>
        <v>ruta 219</v>
      </c>
      <c r="C186" s="1" t="s">
        <v>106</v>
      </c>
      <c r="D186">
        <v>268.08</v>
      </c>
    </row>
    <row r="187" spans="1:4" hidden="1" x14ac:dyDescent="0.35">
      <c r="A187">
        <v>55</v>
      </c>
      <c r="B187" t="str">
        <f xml:space="preserve"> CONCATENATE("ruta ", ka_res_4[[#This Row],[Column1]])</f>
        <v>ruta 55</v>
      </c>
      <c r="C187" s="1" t="s">
        <v>75</v>
      </c>
      <c r="D187">
        <v>268.56</v>
      </c>
    </row>
    <row r="188" spans="1:4" hidden="1" x14ac:dyDescent="0.35">
      <c r="A188">
        <v>22</v>
      </c>
      <c r="B188" t="str">
        <f xml:space="preserve"> CONCATENATE("ruta ", ka_res_4[[#This Row],[Column1]])</f>
        <v>ruta 22</v>
      </c>
      <c r="C188" s="1" t="s">
        <v>95</v>
      </c>
      <c r="D188">
        <v>273.42</v>
      </c>
    </row>
    <row r="189" spans="1:4" hidden="1" x14ac:dyDescent="0.35">
      <c r="A189">
        <v>130</v>
      </c>
      <c r="B189" t="str">
        <f xml:space="preserve"> CONCATENATE("ruta ", ka_res_4[[#This Row],[Column1]])</f>
        <v>ruta 130</v>
      </c>
      <c r="C189" s="1" t="s">
        <v>98</v>
      </c>
      <c r="D189">
        <v>273.94</v>
      </c>
    </row>
    <row r="190" spans="1:4" hidden="1" x14ac:dyDescent="0.35">
      <c r="A190">
        <v>262</v>
      </c>
      <c r="B190" t="str">
        <f xml:space="preserve"> CONCATENATE("ruta ", ka_res_4[[#This Row],[Column1]])</f>
        <v>ruta 262</v>
      </c>
      <c r="C190" s="1" t="s">
        <v>96</v>
      </c>
      <c r="D190">
        <v>276.70999999999998</v>
      </c>
    </row>
    <row r="191" spans="1:4" hidden="1" x14ac:dyDescent="0.35">
      <c r="A191">
        <v>127</v>
      </c>
      <c r="B191" t="str">
        <f xml:space="preserve"> CONCATENATE("ruta ", ka_res_4[[#This Row],[Column1]])</f>
        <v>ruta 127</v>
      </c>
      <c r="C191" s="1" t="s">
        <v>99</v>
      </c>
      <c r="D191">
        <v>279.36</v>
      </c>
    </row>
    <row r="192" spans="1:4" hidden="1" x14ac:dyDescent="0.35">
      <c r="A192">
        <v>64</v>
      </c>
      <c r="B192" t="str">
        <f xml:space="preserve"> CONCATENATE("ruta ", ka_res_4[[#This Row],[Column1]])</f>
        <v>ruta 64</v>
      </c>
      <c r="C192" s="1" t="s">
        <v>72</v>
      </c>
      <c r="D192">
        <v>280.56</v>
      </c>
    </row>
    <row r="193" spans="1:4" hidden="1" x14ac:dyDescent="0.35">
      <c r="A193">
        <v>132</v>
      </c>
      <c r="B193" t="str">
        <f xml:space="preserve"> CONCATENATE("ruta ", ka_res_4[[#This Row],[Column1]])</f>
        <v>ruta 132</v>
      </c>
      <c r="C193" s="1" t="s">
        <v>97</v>
      </c>
      <c r="D193">
        <v>280.7</v>
      </c>
    </row>
    <row r="194" spans="1:4" hidden="1" x14ac:dyDescent="0.35">
      <c r="A194">
        <v>238</v>
      </c>
      <c r="B194" t="str">
        <f xml:space="preserve"> CONCATENATE("ruta ", ka_res_4[[#This Row],[Column1]])</f>
        <v>ruta 238</v>
      </c>
      <c r="C194" s="1" t="s">
        <v>98</v>
      </c>
      <c r="D194">
        <v>281.55</v>
      </c>
    </row>
    <row r="195" spans="1:4" hidden="1" x14ac:dyDescent="0.35">
      <c r="A195">
        <v>90</v>
      </c>
      <c r="B195" t="str">
        <f xml:space="preserve"> CONCATENATE("ruta ", ka_res_4[[#This Row],[Column1]])</f>
        <v>ruta 90</v>
      </c>
      <c r="C195" s="1" t="s">
        <v>72</v>
      </c>
      <c r="D195">
        <v>282.93</v>
      </c>
    </row>
    <row r="196" spans="1:4" hidden="1" x14ac:dyDescent="0.35">
      <c r="A196">
        <v>263</v>
      </c>
      <c r="B196" t="str">
        <f xml:space="preserve"> CONCATENATE("ruta ", ka_res_4[[#This Row],[Column1]])</f>
        <v>ruta 263</v>
      </c>
      <c r="C196" s="1" t="s">
        <v>104</v>
      </c>
      <c r="D196">
        <v>282.95</v>
      </c>
    </row>
    <row r="197" spans="1:4" hidden="1" x14ac:dyDescent="0.35">
      <c r="A197">
        <v>191</v>
      </c>
      <c r="B197" t="str">
        <f xml:space="preserve"> CONCATENATE("ruta ", ka_res_4[[#This Row],[Column1]])</f>
        <v>ruta 191</v>
      </c>
      <c r="C197" s="1" t="s">
        <v>98</v>
      </c>
      <c r="D197">
        <v>283.01</v>
      </c>
    </row>
    <row r="198" spans="1:4" hidden="1" x14ac:dyDescent="0.35">
      <c r="A198">
        <v>152</v>
      </c>
      <c r="B198" t="str">
        <f xml:space="preserve"> CONCATENATE("ruta ", ka_res_4[[#This Row],[Column1]])</f>
        <v>ruta 152</v>
      </c>
      <c r="C198" s="1" t="s">
        <v>72</v>
      </c>
      <c r="D198">
        <v>283.3</v>
      </c>
    </row>
    <row r="199" spans="1:4" hidden="1" x14ac:dyDescent="0.35">
      <c r="A199">
        <v>179</v>
      </c>
      <c r="B199" t="str">
        <f xml:space="preserve"> CONCATENATE("ruta ", ka_res_4[[#This Row],[Column1]])</f>
        <v>ruta 179</v>
      </c>
      <c r="C199" s="1" t="s">
        <v>101</v>
      </c>
      <c r="D199">
        <v>286.24</v>
      </c>
    </row>
    <row r="200" spans="1:4" hidden="1" x14ac:dyDescent="0.35">
      <c r="A200">
        <v>12</v>
      </c>
      <c r="B200" t="str">
        <f xml:space="preserve"> CONCATENATE("ruta ", ka_res_4[[#This Row],[Column1]])</f>
        <v>ruta 12</v>
      </c>
      <c r="C200" s="1" t="s">
        <v>72</v>
      </c>
      <c r="D200">
        <v>287.01</v>
      </c>
    </row>
    <row r="201" spans="1:4" hidden="1" x14ac:dyDescent="0.35">
      <c r="A201">
        <v>50</v>
      </c>
      <c r="B201" t="str">
        <f xml:space="preserve"> CONCATENATE("ruta ", ka_res_4[[#This Row],[Column1]])</f>
        <v>ruta 50</v>
      </c>
      <c r="C201" s="1" t="s">
        <v>97</v>
      </c>
      <c r="D201">
        <v>287.51</v>
      </c>
    </row>
    <row r="202" spans="1:4" hidden="1" x14ac:dyDescent="0.35">
      <c r="A202">
        <v>241</v>
      </c>
      <c r="B202" t="str">
        <f xml:space="preserve"> CONCATENATE("ruta ", ka_res_4[[#This Row],[Column1]])</f>
        <v>ruta 241</v>
      </c>
      <c r="C202" s="1" t="s">
        <v>104</v>
      </c>
      <c r="D202">
        <v>288.26</v>
      </c>
    </row>
    <row r="203" spans="1:4" hidden="1" x14ac:dyDescent="0.35">
      <c r="A203">
        <v>183</v>
      </c>
      <c r="B203" t="str">
        <f xml:space="preserve"> CONCATENATE("ruta ", ka_res_4[[#This Row],[Column1]])</f>
        <v>ruta 183</v>
      </c>
      <c r="C203" s="1" t="s">
        <v>71</v>
      </c>
      <c r="D203">
        <v>292.77</v>
      </c>
    </row>
    <row r="204" spans="1:4" hidden="1" x14ac:dyDescent="0.35">
      <c r="A204">
        <v>62</v>
      </c>
      <c r="B204" t="str">
        <f xml:space="preserve"> CONCATENATE("ruta ", ka_res_4[[#This Row],[Column1]])</f>
        <v>ruta 62</v>
      </c>
      <c r="C204" s="1" t="s">
        <v>110</v>
      </c>
      <c r="D204">
        <v>294.72000000000003</v>
      </c>
    </row>
    <row r="205" spans="1:4" hidden="1" x14ac:dyDescent="0.35">
      <c r="A205">
        <v>88</v>
      </c>
      <c r="B205" t="str">
        <f xml:space="preserve"> CONCATENATE("ruta ", ka_res_4[[#This Row],[Column1]])</f>
        <v>ruta 88</v>
      </c>
      <c r="C205" s="1" t="s">
        <v>103</v>
      </c>
      <c r="D205">
        <v>296.47000000000003</v>
      </c>
    </row>
    <row r="206" spans="1:4" hidden="1" x14ac:dyDescent="0.35">
      <c r="A206">
        <v>281</v>
      </c>
      <c r="B206" t="str">
        <f xml:space="preserve"> CONCATENATE("ruta ", ka_res_4[[#This Row],[Column1]])</f>
        <v>ruta 281</v>
      </c>
      <c r="C206" s="1" t="s">
        <v>69</v>
      </c>
      <c r="D206">
        <v>296.82</v>
      </c>
    </row>
    <row r="207" spans="1:4" hidden="1" x14ac:dyDescent="0.35">
      <c r="A207">
        <v>61</v>
      </c>
      <c r="B207" t="str">
        <f xml:space="preserve"> CONCATENATE("ruta ", ka_res_4[[#This Row],[Column1]])</f>
        <v>ruta 61</v>
      </c>
      <c r="C207" s="1" t="s">
        <v>108</v>
      </c>
      <c r="D207">
        <v>297.01</v>
      </c>
    </row>
    <row r="208" spans="1:4" hidden="1" x14ac:dyDescent="0.35">
      <c r="A208">
        <v>216</v>
      </c>
      <c r="B208" t="str">
        <f xml:space="preserve"> CONCATENATE("ruta ", ka_res_4[[#This Row],[Column1]])</f>
        <v>ruta 216</v>
      </c>
      <c r="C208" s="1" t="s">
        <v>70</v>
      </c>
      <c r="D208">
        <v>297.58</v>
      </c>
    </row>
    <row r="209" spans="1:4" hidden="1" x14ac:dyDescent="0.35">
      <c r="A209">
        <v>164</v>
      </c>
      <c r="B209" t="str">
        <f xml:space="preserve"> CONCATENATE("ruta ", ka_res_4[[#This Row],[Column1]])</f>
        <v>ruta 164</v>
      </c>
      <c r="C209" s="1" t="s">
        <v>95</v>
      </c>
      <c r="D209">
        <v>297.75</v>
      </c>
    </row>
    <row r="210" spans="1:4" hidden="1" x14ac:dyDescent="0.35">
      <c r="A210">
        <v>121</v>
      </c>
      <c r="B210" t="str">
        <f xml:space="preserve"> CONCATENATE("ruta ", ka_res_4[[#This Row],[Column1]])</f>
        <v>ruta 121</v>
      </c>
      <c r="C210" s="1" t="s">
        <v>95</v>
      </c>
      <c r="D210">
        <v>300.93</v>
      </c>
    </row>
    <row r="211" spans="1:4" hidden="1" x14ac:dyDescent="0.35">
      <c r="A211">
        <v>1</v>
      </c>
      <c r="B211" t="str">
        <f xml:space="preserve"> CONCATENATE("ruta ", ka_res_4[[#This Row],[Column1]])</f>
        <v>ruta 1</v>
      </c>
      <c r="C211" s="1" t="s">
        <v>102</v>
      </c>
      <c r="D211">
        <v>301.8</v>
      </c>
    </row>
    <row r="212" spans="1:4" hidden="1" x14ac:dyDescent="0.35">
      <c r="A212">
        <v>69</v>
      </c>
      <c r="B212" t="str">
        <f xml:space="preserve"> CONCATENATE("ruta ", ka_res_4[[#This Row],[Column1]])</f>
        <v>ruta 69</v>
      </c>
      <c r="C212" s="1" t="s">
        <v>108</v>
      </c>
      <c r="D212">
        <v>302.08</v>
      </c>
    </row>
    <row r="213" spans="1:4" hidden="1" x14ac:dyDescent="0.35">
      <c r="A213">
        <v>227</v>
      </c>
      <c r="B213" t="str">
        <f xml:space="preserve"> CONCATENATE("ruta ", ka_res_4[[#This Row],[Column1]])</f>
        <v>ruta 227</v>
      </c>
      <c r="C213" s="1" t="s">
        <v>107</v>
      </c>
      <c r="D213">
        <v>303.13</v>
      </c>
    </row>
    <row r="214" spans="1:4" hidden="1" x14ac:dyDescent="0.35">
      <c r="A214">
        <v>280</v>
      </c>
      <c r="B214" t="str">
        <f xml:space="preserve"> CONCATENATE("ruta ", ka_res_4[[#This Row],[Column1]])</f>
        <v>ruta 280</v>
      </c>
      <c r="C214" s="1" t="s">
        <v>108</v>
      </c>
      <c r="D214">
        <v>303.33999999999997</v>
      </c>
    </row>
    <row r="215" spans="1:4" hidden="1" x14ac:dyDescent="0.35">
      <c r="A215">
        <v>279</v>
      </c>
      <c r="B215" t="str">
        <f xml:space="preserve"> CONCATENATE("ruta ", ka_res_4[[#This Row],[Column1]])</f>
        <v>ruta 279</v>
      </c>
      <c r="C215" s="1" t="s">
        <v>100</v>
      </c>
      <c r="D215">
        <v>304.58999999999997</v>
      </c>
    </row>
    <row r="216" spans="1:4" hidden="1" x14ac:dyDescent="0.35">
      <c r="A216">
        <v>246</v>
      </c>
      <c r="B216" t="str">
        <f xml:space="preserve"> CONCATENATE("ruta ", ka_res_4[[#This Row],[Column1]])</f>
        <v>ruta 246</v>
      </c>
      <c r="C216" s="1" t="s">
        <v>69</v>
      </c>
      <c r="D216">
        <v>305.32</v>
      </c>
    </row>
    <row r="217" spans="1:4" hidden="1" x14ac:dyDescent="0.35">
      <c r="A217">
        <v>91</v>
      </c>
      <c r="B217" t="str">
        <f xml:space="preserve"> CONCATENATE("ruta ", ka_res_4[[#This Row],[Column1]])</f>
        <v>ruta 91</v>
      </c>
      <c r="C217" s="1" t="s">
        <v>96</v>
      </c>
      <c r="D217">
        <v>305.33999999999997</v>
      </c>
    </row>
    <row r="218" spans="1:4" hidden="1" x14ac:dyDescent="0.35">
      <c r="A218">
        <v>118</v>
      </c>
      <c r="B218" t="str">
        <f xml:space="preserve"> CONCATENATE("ruta ", ka_res_4[[#This Row],[Column1]])</f>
        <v>ruta 118</v>
      </c>
      <c r="C218" s="1" t="s">
        <v>102</v>
      </c>
      <c r="D218">
        <v>309.14999999999998</v>
      </c>
    </row>
    <row r="219" spans="1:4" hidden="1" x14ac:dyDescent="0.35">
      <c r="A219">
        <v>226</v>
      </c>
      <c r="B219" t="str">
        <f xml:space="preserve"> CONCATENATE("ruta ", ka_res_4[[#This Row],[Column1]])</f>
        <v>ruta 226</v>
      </c>
      <c r="C219" s="1" t="s">
        <v>102</v>
      </c>
      <c r="D219">
        <v>310.91000000000003</v>
      </c>
    </row>
    <row r="220" spans="1:4" hidden="1" x14ac:dyDescent="0.35">
      <c r="A220">
        <v>146</v>
      </c>
      <c r="B220" t="str">
        <f xml:space="preserve"> CONCATENATE("ruta ", ka_res_4[[#This Row],[Column1]])</f>
        <v>ruta 146</v>
      </c>
      <c r="C220" s="1" t="s">
        <v>69</v>
      </c>
      <c r="D220">
        <v>312.64999999999998</v>
      </c>
    </row>
    <row r="221" spans="1:4" hidden="1" x14ac:dyDescent="0.35">
      <c r="A221">
        <v>84</v>
      </c>
      <c r="B221" t="str">
        <f xml:space="preserve"> CONCATENATE("ruta ", ka_res_4[[#This Row],[Column1]])</f>
        <v>ruta 84</v>
      </c>
      <c r="C221" s="1" t="s">
        <v>102</v>
      </c>
      <c r="D221">
        <v>312.94</v>
      </c>
    </row>
    <row r="222" spans="1:4" hidden="1" x14ac:dyDescent="0.35">
      <c r="A222">
        <v>87</v>
      </c>
      <c r="B222" t="str">
        <f xml:space="preserve"> CONCATENATE("ruta ", ka_res_4[[#This Row],[Column1]])</f>
        <v>ruta 87</v>
      </c>
      <c r="C222" s="1" t="s">
        <v>75</v>
      </c>
      <c r="D222">
        <v>313.72000000000003</v>
      </c>
    </row>
    <row r="223" spans="1:4" hidden="1" x14ac:dyDescent="0.35">
      <c r="A223">
        <v>161</v>
      </c>
      <c r="B223" t="str">
        <f xml:space="preserve"> CONCATENATE("ruta ", ka_res_4[[#This Row],[Column1]])</f>
        <v>ruta 161</v>
      </c>
      <c r="C223" s="1" t="s">
        <v>110</v>
      </c>
      <c r="D223">
        <v>313.93</v>
      </c>
    </row>
    <row r="224" spans="1:4" hidden="1" x14ac:dyDescent="0.35">
      <c r="A224">
        <v>221</v>
      </c>
      <c r="B224" t="str">
        <f xml:space="preserve"> CONCATENATE("ruta ", ka_res_4[[#This Row],[Column1]])</f>
        <v>ruta 221</v>
      </c>
      <c r="C224" s="1" t="s">
        <v>103</v>
      </c>
      <c r="D224">
        <v>315.39</v>
      </c>
    </row>
    <row r="225" spans="1:4" hidden="1" x14ac:dyDescent="0.35">
      <c r="A225">
        <v>9</v>
      </c>
      <c r="B225" t="str">
        <f xml:space="preserve"> CONCATENATE("ruta ", ka_res_4[[#This Row],[Column1]])</f>
        <v>ruta 9</v>
      </c>
      <c r="C225" s="1" t="s">
        <v>103</v>
      </c>
      <c r="D225">
        <v>315.69</v>
      </c>
    </row>
    <row r="226" spans="1:4" hidden="1" x14ac:dyDescent="0.35">
      <c r="A226">
        <v>26</v>
      </c>
      <c r="B226" t="str">
        <f xml:space="preserve"> CONCATENATE("ruta ", ka_res_4[[#This Row],[Column1]])</f>
        <v>ruta 26</v>
      </c>
      <c r="C226" s="1" t="s">
        <v>71</v>
      </c>
      <c r="D226">
        <v>317.19</v>
      </c>
    </row>
    <row r="227" spans="1:4" hidden="1" x14ac:dyDescent="0.35">
      <c r="A227">
        <v>36</v>
      </c>
      <c r="B227" t="str">
        <f xml:space="preserve"> CONCATENATE("ruta ", ka_res_4[[#This Row],[Column1]])</f>
        <v>ruta 36</v>
      </c>
      <c r="C227" s="1" t="s">
        <v>111</v>
      </c>
      <c r="D227">
        <v>317.45999999999998</v>
      </c>
    </row>
    <row r="228" spans="1:4" hidden="1" x14ac:dyDescent="0.35">
      <c r="A228">
        <v>245</v>
      </c>
      <c r="B228" t="str">
        <f xml:space="preserve"> CONCATENATE("ruta ", ka_res_4[[#This Row],[Column1]])</f>
        <v>ruta 245</v>
      </c>
      <c r="C228" s="1" t="s">
        <v>103</v>
      </c>
      <c r="D228">
        <v>319.04000000000002</v>
      </c>
    </row>
    <row r="229" spans="1:4" hidden="1" x14ac:dyDescent="0.35">
      <c r="A229">
        <v>271</v>
      </c>
      <c r="B229" t="str">
        <f xml:space="preserve"> CONCATENATE("ruta ", ka_res_4[[#This Row],[Column1]])</f>
        <v>ruta 271</v>
      </c>
      <c r="C229" s="1" t="s">
        <v>75</v>
      </c>
      <c r="D229">
        <v>319.39999999999998</v>
      </c>
    </row>
    <row r="230" spans="1:4" hidden="1" x14ac:dyDescent="0.35">
      <c r="A230">
        <v>66</v>
      </c>
      <c r="B230" t="str">
        <f xml:space="preserve"> CONCATENATE("ruta ", ka_res_4[[#This Row],[Column1]])</f>
        <v>ruta 66</v>
      </c>
      <c r="C230" s="1" t="s">
        <v>96</v>
      </c>
      <c r="D230">
        <v>319.7</v>
      </c>
    </row>
    <row r="231" spans="1:4" hidden="1" x14ac:dyDescent="0.35">
      <c r="A231">
        <v>256</v>
      </c>
      <c r="B231" t="str">
        <f xml:space="preserve"> CONCATENATE("ruta ", ka_res_4[[#This Row],[Column1]])</f>
        <v>ruta 256</v>
      </c>
      <c r="C231" s="1" t="s">
        <v>96</v>
      </c>
      <c r="D231">
        <v>319.83</v>
      </c>
    </row>
    <row r="232" spans="1:4" hidden="1" x14ac:dyDescent="0.35">
      <c r="A232">
        <v>100</v>
      </c>
      <c r="B232" t="str">
        <f xml:space="preserve"> CONCATENATE("ruta ", ka_res_4[[#This Row],[Column1]])</f>
        <v>ruta 100</v>
      </c>
      <c r="C232" s="1" t="s">
        <v>70</v>
      </c>
      <c r="D232">
        <v>320.24</v>
      </c>
    </row>
    <row r="233" spans="1:4" hidden="1" x14ac:dyDescent="0.35">
      <c r="A233">
        <v>104</v>
      </c>
      <c r="B233" t="str">
        <f xml:space="preserve"> CONCATENATE("ruta ", ka_res_4[[#This Row],[Column1]])</f>
        <v>ruta 104</v>
      </c>
      <c r="C233" s="1" t="s">
        <v>108</v>
      </c>
      <c r="D233">
        <v>320.73</v>
      </c>
    </row>
    <row r="234" spans="1:4" hidden="1" x14ac:dyDescent="0.35">
      <c r="A234">
        <v>86</v>
      </c>
      <c r="B234" t="str">
        <f xml:space="preserve"> CONCATENATE("ruta ", ka_res_4[[#This Row],[Column1]])</f>
        <v>ruta 86</v>
      </c>
      <c r="C234" s="1" t="s">
        <v>110</v>
      </c>
      <c r="D234">
        <v>321.58999999999997</v>
      </c>
    </row>
    <row r="235" spans="1:4" hidden="1" x14ac:dyDescent="0.35">
      <c r="A235">
        <v>101</v>
      </c>
      <c r="B235" t="str">
        <f xml:space="preserve"> CONCATENATE("ruta ", ka_res_4[[#This Row],[Column1]])</f>
        <v>ruta 101</v>
      </c>
      <c r="C235" s="1" t="s">
        <v>111</v>
      </c>
      <c r="D235">
        <v>323.81</v>
      </c>
    </row>
    <row r="236" spans="1:4" hidden="1" x14ac:dyDescent="0.35">
      <c r="A236">
        <v>223</v>
      </c>
      <c r="B236" t="str">
        <f xml:space="preserve"> CONCATENATE("ruta ", ka_res_4[[#This Row],[Column1]])</f>
        <v>ruta 223</v>
      </c>
      <c r="C236" s="1" t="s">
        <v>99</v>
      </c>
      <c r="D236">
        <v>325.31</v>
      </c>
    </row>
    <row r="237" spans="1:4" hidden="1" x14ac:dyDescent="0.35">
      <c r="A237" s="1">
        <v>53</v>
      </c>
      <c r="B237" s="1" t="str">
        <f xml:space="preserve"> CONCATENATE("ruta ", ka_res_4[[#This Row],[Column1]])</f>
        <v>ruta 53</v>
      </c>
      <c r="C237" s="1" t="s">
        <v>71</v>
      </c>
      <c r="D237" s="1">
        <v>330.1</v>
      </c>
    </row>
    <row r="238" spans="1:4" hidden="1" x14ac:dyDescent="0.35">
      <c r="A238" s="1">
        <v>115</v>
      </c>
      <c r="B238" s="1" t="str">
        <f xml:space="preserve"> CONCATENATE("ruta ", ka_res_4[[#This Row],[Column1]])</f>
        <v>ruta 115</v>
      </c>
      <c r="C238" s="1" t="s">
        <v>72</v>
      </c>
      <c r="D238" s="1">
        <v>331.3</v>
      </c>
    </row>
    <row r="239" spans="1:4" hidden="1" x14ac:dyDescent="0.35">
      <c r="A239" s="1">
        <v>24</v>
      </c>
      <c r="B239" s="1" t="str">
        <f xml:space="preserve"> CONCATENATE("ruta ", ka_res_4[[#This Row],[Column1]])</f>
        <v>ruta 24</v>
      </c>
      <c r="C239" s="1" t="s">
        <v>75</v>
      </c>
      <c r="D239" s="1">
        <v>332.09</v>
      </c>
    </row>
    <row r="240" spans="1:4" hidden="1" x14ac:dyDescent="0.35">
      <c r="A240" s="1">
        <v>261</v>
      </c>
      <c r="B240" s="1" t="str">
        <f xml:space="preserve"> CONCATENATE("ruta ", ka_res_4[[#This Row],[Column1]])</f>
        <v>ruta 261</v>
      </c>
      <c r="C240" s="1" t="s">
        <v>74</v>
      </c>
      <c r="D240" s="1">
        <v>332.55</v>
      </c>
    </row>
    <row r="241" spans="1:4" hidden="1" x14ac:dyDescent="0.35">
      <c r="A241" s="1">
        <v>159</v>
      </c>
      <c r="B241" s="1" t="str">
        <f xml:space="preserve"> CONCATENATE("ruta ", ka_res_4[[#This Row],[Column1]])</f>
        <v>ruta 159</v>
      </c>
      <c r="C241" s="1" t="s">
        <v>73</v>
      </c>
      <c r="D241" s="1">
        <v>332.67</v>
      </c>
    </row>
    <row r="242" spans="1:4" hidden="1" x14ac:dyDescent="0.35">
      <c r="A242" s="1">
        <v>173</v>
      </c>
      <c r="B242" s="1" t="str">
        <f xml:space="preserve"> CONCATENATE("ruta ", ka_res_4[[#This Row],[Column1]])</f>
        <v>ruta 173</v>
      </c>
      <c r="C242" s="1" t="s">
        <v>72</v>
      </c>
      <c r="D242" s="1">
        <v>334.11</v>
      </c>
    </row>
    <row r="243" spans="1:4" hidden="1" x14ac:dyDescent="0.35">
      <c r="A243" s="1">
        <v>204</v>
      </c>
      <c r="B243" s="1" t="str">
        <f xml:space="preserve"> CONCATENATE("ruta ", ka_res_4[[#This Row],[Column1]])</f>
        <v>ruta 204</v>
      </c>
      <c r="C243" s="1" t="s">
        <v>70</v>
      </c>
      <c r="D243" s="1">
        <v>335.15</v>
      </c>
    </row>
    <row r="244" spans="1:4" hidden="1" x14ac:dyDescent="0.35">
      <c r="A244" s="1">
        <v>220</v>
      </c>
      <c r="B244" s="1" t="str">
        <f xml:space="preserve"> CONCATENATE("ruta ", ka_res_4[[#This Row],[Column1]])</f>
        <v>ruta 220</v>
      </c>
      <c r="C244" s="1" t="s">
        <v>71</v>
      </c>
      <c r="D244" s="1">
        <v>335.53</v>
      </c>
    </row>
    <row r="245" spans="1:4" hidden="1" x14ac:dyDescent="0.35">
      <c r="A245" s="1">
        <v>277</v>
      </c>
      <c r="B245" s="1" t="str">
        <f xml:space="preserve"> CONCATENATE("ruta ", ka_res_4[[#This Row],[Column1]])</f>
        <v>ruta 277</v>
      </c>
      <c r="C245" s="1" t="s">
        <v>70</v>
      </c>
      <c r="D245" s="1">
        <v>337.44</v>
      </c>
    </row>
    <row r="246" spans="1:4" hidden="1" x14ac:dyDescent="0.35">
      <c r="A246" s="1">
        <v>94</v>
      </c>
      <c r="B246" s="1" t="str">
        <f xml:space="preserve"> CONCATENATE("ruta ", ka_res_4[[#This Row],[Column1]])</f>
        <v>ruta 94</v>
      </c>
      <c r="C246" s="1" t="s">
        <v>69</v>
      </c>
      <c r="D246" s="1">
        <v>342.73</v>
      </c>
    </row>
    <row r="247" spans="1:4" hidden="1" x14ac:dyDescent="0.35">
      <c r="A247" s="1">
        <v>171</v>
      </c>
      <c r="B247" s="1" t="str">
        <f xml:space="preserve"> CONCATENATE("ruta ", ka_res_4[[#This Row],[Column1]])</f>
        <v>ruta 171</v>
      </c>
      <c r="C247" s="1" t="s">
        <v>63</v>
      </c>
      <c r="D247" s="1">
        <v>812</v>
      </c>
    </row>
    <row r="248" spans="1:4" hidden="1" x14ac:dyDescent="0.35">
      <c r="A248" s="1">
        <v>14</v>
      </c>
      <c r="B248" s="1" t="str">
        <f xml:space="preserve"> CONCATENATE("ruta ", ka_res_4[[#This Row],[Column1]])</f>
        <v>ruta 14</v>
      </c>
      <c r="C248" s="1" t="s">
        <v>63</v>
      </c>
      <c r="D248" s="1">
        <v>836.81</v>
      </c>
    </row>
    <row r="249" spans="1:4" hidden="1" x14ac:dyDescent="0.35">
      <c r="A249" s="1">
        <v>199</v>
      </c>
      <c r="B249" s="1" t="str">
        <f xml:space="preserve"> CONCATENATE("ruta ", ka_res_4[[#This Row],[Column1]])</f>
        <v>ruta 199</v>
      </c>
      <c r="C249" s="1" t="s">
        <v>67</v>
      </c>
      <c r="D249" s="1">
        <v>840.02</v>
      </c>
    </row>
    <row r="250" spans="1:4" hidden="1" x14ac:dyDescent="0.35">
      <c r="A250" s="1">
        <v>16</v>
      </c>
      <c r="B250" s="1" t="str">
        <f xml:space="preserve"> CONCATENATE("ruta ", ka_res_4[[#This Row],[Column1]])</f>
        <v>ruta 16</v>
      </c>
      <c r="C250" s="1" t="s">
        <v>66</v>
      </c>
      <c r="D250" s="1">
        <v>868.81</v>
      </c>
    </row>
    <row r="251" spans="1:4" hidden="1" x14ac:dyDescent="0.35">
      <c r="A251" s="1">
        <v>203</v>
      </c>
      <c r="B251" s="1" t="str">
        <f xml:space="preserve"> CONCATENATE("ruta ", ka_res_4[[#This Row],[Column1]])</f>
        <v>ruta 203</v>
      </c>
      <c r="C251" s="1" t="s">
        <v>67</v>
      </c>
      <c r="D251" s="1">
        <v>886.24</v>
      </c>
    </row>
    <row r="252" spans="1:4" hidden="1" x14ac:dyDescent="0.35">
      <c r="A252" s="1">
        <v>139</v>
      </c>
      <c r="B252" s="1" t="str">
        <f xml:space="preserve"> CONCATENATE("ruta ", ka_res_4[[#This Row],[Column1]])</f>
        <v>ruta 139</v>
      </c>
      <c r="C252" s="1" t="s">
        <v>66</v>
      </c>
      <c r="D252" s="1">
        <v>900.1</v>
      </c>
    </row>
    <row r="253" spans="1:4" hidden="1" x14ac:dyDescent="0.35">
      <c r="A253" s="1">
        <v>136</v>
      </c>
      <c r="B253" s="1" t="str">
        <f xml:space="preserve"> CONCATENATE("ruta ", ka_res_4[[#This Row],[Column1]])</f>
        <v>ruta 136</v>
      </c>
      <c r="C253" s="1" t="s">
        <v>65</v>
      </c>
      <c r="D253" s="1">
        <v>902.59</v>
      </c>
    </row>
    <row r="254" spans="1:4" hidden="1" x14ac:dyDescent="0.35">
      <c r="A254" s="1">
        <v>218</v>
      </c>
      <c r="B254" s="1" t="str">
        <f xml:space="preserve"> CONCATENATE("ruta ", ka_res_4[[#This Row],[Column1]])</f>
        <v>ruta 218</v>
      </c>
      <c r="C254" s="1" t="s">
        <v>63</v>
      </c>
      <c r="D254" s="1">
        <v>952.23</v>
      </c>
    </row>
    <row r="255" spans="1:4" hidden="1" x14ac:dyDescent="0.35">
      <c r="A255" s="1">
        <v>289</v>
      </c>
      <c r="B255" s="1" t="str">
        <f xml:space="preserve"> CONCATENATE("ruta ", ka_res_4[[#This Row],[Column1]])</f>
        <v>ruta 289</v>
      </c>
      <c r="C255" s="1" t="s">
        <v>68</v>
      </c>
      <c r="D255" s="1">
        <v>956.97</v>
      </c>
    </row>
    <row r="256" spans="1:4" hidden="1" x14ac:dyDescent="0.35">
      <c r="A256" s="1">
        <v>65</v>
      </c>
      <c r="B256" s="1" t="str">
        <f xml:space="preserve"> CONCATENATE("ruta ", ka_res_4[[#This Row],[Column1]])</f>
        <v>ruta 65</v>
      </c>
      <c r="C256" s="1" t="s">
        <v>67</v>
      </c>
      <c r="D256" s="1">
        <v>959.14</v>
      </c>
    </row>
    <row r="257" spans="1:4" hidden="1" x14ac:dyDescent="0.35">
      <c r="A257" s="1">
        <v>80</v>
      </c>
      <c r="B257" s="1" t="str">
        <f xml:space="preserve"> CONCATENATE("ruta ", ka_res_4[[#This Row],[Column1]])</f>
        <v>ruta 80</v>
      </c>
      <c r="C257" s="1" t="s">
        <v>65</v>
      </c>
      <c r="D257" s="1">
        <v>963.54</v>
      </c>
    </row>
    <row r="258" spans="1:4" hidden="1" x14ac:dyDescent="0.35">
      <c r="A258" s="1">
        <v>174</v>
      </c>
      <c r="B258" s="1" t="str">
        <f xml:space="preserve"> CONCATENATE("ruta ", ka_res_4[[#This Row],[Column1]])</f>
        <v>ruta 174</v>
      </c>
      <c r="C258" s="1" t="s">
        <v>63</v>
      </c>
      <c r="D258" s="1">
        <v>999.02</v>
      </c>
    </row>
    <row r="259" spans="1:4" hidden="1" x14ac:dyDescent="0.35">
      <c r="A259" s="1">
        <v>248</v>
      </c>
      <c r="B259" s="1" t="str">
        <f xml:space="preserve"> CONCATENATE("ruta ", ka_res_4[[#This Row],[Column1]])</f>
        <v>ruta 248</v>
      </c>
      <c r="C259" s="1" t="s">
        <v>68</v>
      </c>
      <c r="D259" s="1">
        <v>999.48</v>
      </c>
    </row>
    <row r="260" spans="1:4" hidden="1" x14ac:dyDescent="0.35">
      <c r="A260" s="1">
        <v>234</v>
      </c>
      <c r="B260" s="1" t="str">
        <f xml:space="preserve"> CONCATENATE("ruta ", ka_res_4[[#This Row],[Column1]])</f>
        <v>ruta 234</v>
      </c>
      <c r="C260" s="1" t="s">
        <v>66</v>
      </c>
      <c r="D260" s="1">
        <v>1009.08</v>
      </c>
    </row>
    <row r="261" spans="1:4" hidden="1" x14ac:dyDescent="0.35">
      <c r="A261" s="1">
        <v>258</v>
      </c>
      <c r="B261" s="1" t="str">
        <f xml:space="preserve"> CONCATENATE("ruta ", ka_res_4[[#This Row],[Column1]])</f>
        <v>ruta 258</v>
      </c>
      <c r="C261" s="1" t="s">
        <v>64</v>
      </c>
      <c r="D261" s="1">
        <v>1013.95</v>
      </c>
    </row>
    <row r="262" spans="1:4" hidden="1" x14ac:dyDescent="0.35">
      <c r="A262" s="1">
        <v>70</v>
      </c>
      <c r="B262" s="1" t="str">
        <f xml:space="preserve"> CONCATENATE("ruta ", ka_res_4[[#This Row],[Column1]])</f>
        <v>ruta 70</v>
      </c>
      <c r="C262" s="1" t="s">
        <v>64</v>
      </c>
      <c r="D262" s="1">
        <v>1020.43</v>
      </c>
    </row>
    <row r="263" spans="1:4" hidden="1" x14ac:dyDescent="0.35">
      <c r="A263" s="1">
        <v>129</v>
      </c>
      <c r="B263" s="1" t="str">
        <f xml:space="preserve"> CONCATENATE("ruta ", ka_res_4[[#This Row],[Column1]])</f>
        <v>ruta 129</v>
      </c>
      <c r="C263" s="1" t="s">
        <v>65</v>
      </c>
      <c r="D263" s="1">
        <v>1028.9000000000001</v>
      </c>
    </row>
    <row r="264" spans="1:4" hidden="1" x14ac:dyDescent="0.35">
      <c r="A264" s="1">
        <v>126</v>
      </c>
      <c r="B264" s="1" t="str">
        <f xml:space="preserve"> CONCATENATE("ruta ", ka_res_4[[#This Row],[Column1]])</f>
        <v>ruta 126</v>
      </c>
      <c r="C264" s="1" t="s">
        <v>64</v>
      </c>
      <c r="D264" s="1">
        <v>1030.27</v>
      </c>
    </row>
    <row r="265" spans="1:4" hidden="1" x14ac:dyDescent="0.35">
      <c r="A265" s="1">
        <v>83</v>
      </c>
      <c r="B265" s="1" t="str">
        <f xml:space="preserve"> CONCATENATE("ruta ", ka_res_4[[#This Row],[Column1]])</f>
        <v>ruta 83</v>
      </c>
      <c r="C265" s="1" t="s">
        <v>68</v>
      </c>
      <c r="D265" s="1">
        <v>1039.8699999999999</v>
      </c>
    </row>
    <row r="266" spans="1:4" hidden="1" x14ac:dyDescent="0.35">
      <c r="A266" s="1">
        <v>60</v>
      </c>
      <c r="B266" s="1" t="str">
        <f xml:space="preserve"> CONCATENATE("ruta ", ka_res_4[[#This Row],[Column1]])</f>
        <v>ruta 60</v>
      </c>
      <c r="C266" s="1" t="s">
        <v>67</v>
      </c>
      <c r="D266" s="1">
        <v>1062.04</v>
      </c>
    </row>
    <row r="267" spans="1:4" hidden="1" x14ac:dyDescent="0.35">
      <c r="A267" s="1">
        <v>233</v>
      </c>
      <c r="B267" s="1" t="str">
        <f xml:space="preserve"> CONCATENATE("ruta ", ka_res_4[[#This Row],[Column1]])</f>
        <v>ruta 233</v>
      </c>
      <c r="C267" s="1" t="s">
        <v>68</v>
      </c>
      <c r="D267" s="1">
        <v>1065.8800000000001</v>
      </c>
    </row>
    <row r="268" spans="1:4" hidden="1" x14ac:dyDescent="0.35">
      <c r="A268" s="1">
        <v>286</v>
      </c>
      <c r="B268" s="1" t="str">
        <f xml:space="preserve"> CONCATENATE("ruta ", ka_res_4[[#This Row],[Column1]])</f>
        <v>ruta 286</v>
      </c>
      <c r="C268" s="1" t="s">
        <v>63</v>
      </c>
      <c r="D268" s="1">
        <v>1069.3900000000001</v>
      </c>
    </row>
    <row r="269" spans="1:4" hidden="1" x14ac:dyDescent="0.35">
      <c r="A269" s="1">
        <v>49</v>
      </c>
      <c r="B269" s="1" t="str">
        <f xml:space="preserve"> CONCATENATE("ruta ", ka_res_4[[#This Row],[Column1]])</f>
        <v>ruta 49</v>
      </c>
      <c r="C269" s="1" t="s">
        <v>66</v>
      </c>
      <c r="D269" s="1">
        <v>1089.4100000000001</v>
      </c>
    </row>
    <row r="270" spans="1:4" hidden="1" x14ac:dyDescent="0.35">
      <c r="A270" s="1">
        <v>147</v>
      </c>
      <c r="B270" s="1" t="str">
        <f xml:space="preserve"> CONCATENATE("ruta ", ka_res_4[[#This Row],[Column1]])</f>
        <v>ruta 147</v>
      </c>
      <c r="C270" s="1" t="s">
        <v>65</v>
      </c>
      <c r="D270" s="1">
        <v>1124.53</v>
      </c>
    </row>
    <row r="271" spans="1:4" hidden="1" x14ac:dyDescent="0.35">
      <c r="A271" s="1">
        <v>105</v>
      </c>
      <c r="B271" s="1" t="str">
        <f xml:space="preserve"> CONCATENATE("ruta ", ka_res_4[[#This Row],[Column1]])</f>
        <v>ruta 105</v>
      </c>
      <c r="C271" s="1" t="s">
        <v>63</v>
      </c>
      <c r="D271" s="1">
        <v>1125.78</v>
      </c>
    </row>
    <row r="272" spans="1:4" hidden="1" x14ac:dyDescent="0.35">
      <c r="A272" s="1">
        <v>228</v>
      </c>
      <c r="B272" s="1" t="str">
        <f xml:space="preserve"> CONCATENATE("ruta ", ka_res_4[[#This Row],[Column1]])</f>
        <v>ruta 228</v>
      </c>
      <c r="C272" s="1" t="s">
        <v>67</v>
      </c>
      <c r="D272" s="1">
        <v>1157.5999999999999</v>
      </c>
    </row>
    <row r="273" spans="1:4" hidden="1" x14ac:dyDescent="0.35">
      <c r="A273" s="1">
        <v>133</v>
      </c>
      <c r="B273" s="1" t="str">
        <f xml:space="preserve"> CONCATENATE("ruta ", ka_res_4[[#This Row],[Column1]])</f>
        <v>ruta 133</v>
      </c>
      <c r="C273" s="1" t="s">
        <v>66</v>
      </c>
      <c r="D273" s="1">
        <v>1160.8499999999999</v>
      </c>
    </row>
    <row r="274" spans="1:4" hidden="1" x14ac:dyDescent="0.35">
      <c r="A274" s="1">
        <v>28</v>
      </c>
      <c r="B274" s="1" t="str">
        <f xml:space="preserve"> CONCATENATE("ruta ", ka_res_4[[#This Row],[Column1]])</f>
        <v>ruta 28</v>
      </c>
      <c r="C274" s="1" t="s">
        <v>63</v>
      </c>
      <c r="D274" s="1">
        <v>1164.07</v>
      </c>
    </row>
    <row r="275" spans="1:4" hidden="1" x14ac:dyDescent="0.35">
      <c r="A275" s="1">
        <v>272</v>
      </c>
      <c r="B275" s="1" t="str">
        <f xml:space="preserve"> CONCATENATE("ruta ", ka_res_4[[#This Row],[Column1]])</f>
        <v>ruta 272</v>
      </c>
      <c r="C275" s="1" t="s">
        <v>65</v>
      </c>
      <c r="D275" s="1">
        <v>1183.9000000000001</v>
      </c>
    </row>
    <row r="276" spans="1:4" hidden="1" x14ac:dyDescent="0.35">
      <c r="A276" s="1">
        <v>231</v>
      </c>
      <c r="B276" s="1" t="str">
        <f xml:space="preserve"> CONCATENATE("ruta ", ka_res_4[[#This Row],[Column1]])</f>
        <v>ruta 231</v>
      </c>
      <c r="C276" s="1" t="s">
        <v>65</v>
      </c>
      <c r="D276" s="1">
        <v>1190.6500000000001</v>
      </c>
    </row>
    <row r="277" spans="1:4" hidden="1" x14ac:dyDescent="0.35">
      <c r="A277" s="1">
        <v>120</v>
      </c>
      <c r="B277" s="1" t="str">
        <f xml:space="preserve"> CONCATENATE("ruta ", ka_res_4[[#This Row],[Column1]])</f>
        <v>ruta 120</v>
      </c>
      <c r="C277" s="1" t="s">
        <v>67</v>
      </c>
      <c r="D277" s="1">
        <v>1191.19</v>
      </c>
    </row>
    <row r="278" spans="1:4" hidden="1" x14ac:dyDescent="0.35">
      <c r="A278" s="1">
        <v>170</v>
      </c>
      <c r="B278" s="1" t="str">
        <f xml:space="preserve"> CONCATENATE("ruta ", ka_res_4[[#This Row],[Column1]])</f>
        <v>ruta 170</v>
      </c>
      <c r="C278" s="1" t="s">
        <v>65</v>
      </c>
      <c r="D278" s="1">
        <v>1204.6500000000001</v>
      </c>
    </row>
    <row r="279" spans="1:4" hidden="1" x14ac:dyDescent="0.35">
      <c r="A279" s="1">
        <v>168</v>
      </c>
      <c r="B279" s="1" t="str">
        <f xml:space="preserve"> CONCATENATE("ruta ", ka_res_4[[#This Row],[Column1]])</f>
        <v>ruta 168</v>
      </c>
      <c r="C279" s="1" t="s">
        <v>66</v>
      </c>
      <c r="D279" s="1">
        <v>1223.55</v>
      </c>
    </row>
    <row r="280" spans="1:4" hidden="1" x14ac:dyDescent="0.35">
      <c r="A280" s="1">
        <v>97</v>
      </c>
      <c r="B280" s="1" t="str">
        <f xml:space="preserve"> CONCATENATE("ruta ", ka_res_4[[#This Row],[Column1]])</f>
        <v>ruta 97</v>
      </c>
      <c r="C280" s="1" t="s">
        <v>68</v>
      </c>
      <c r="D280" s="1">
        <v>1231.06</v>
      </c>
    </row>
    <row r="281" spans="1:4" hidden="1" x14ac:dyDescent="0.35">
      <c r="A281" s="1">
        <v>264</v>
      </c>
      <c r="B281" s="1" t="str">
        <f xml:space="preserve"> CONCATENATE("ruta ", ka_res_4[[#This Row],[Column1]])</f>
        <v>ruta 264</v>
      </c>
      <c r="C281" s="1" t="s">
        <v>65</v>
      </c>
      <c r="D281" s="1">
        <v>1237.3900000000001</v>
      </c>
    </row>
    <row r="282" spans="1:4" hidden="1" x14ac:dyDescent="0.35">
      <c r="A282" s="1">
        <v>257</v>
      </c>
      <c r="B282" s="1" t="str">
        <f xml:space="preserve"> CONCATENATE("ruta ", ka_res_4[[#This Row],[Column1]])</f>
        <v>ruta 257</v>
      </c>
      <c r="C282" s="1" t="s">
        <v>64</v>
      </c>
      <c r="D282" s="1">
        <v>1247.4000000000001</v>
      </c>
    </row>
    <row r="283" spans="1:4" hidden="1" x14ac:dyDescent="0.35">
      <c r="A283" s="1">
        <v>102</v>
      </c>
      <c r="B283" s="1" t="str">
        <f xml:space="preserve"> CONCATENATE("ruta ", ka_res_4[[#This Row],[Column1]])</f>
        <v>ruta 102</v>
      </c>
      <c r="C283" s="1" t="s">
        <v>67</v>
      </c>
      <c r="D283" s="1">
        <v>1253.78</v>
      </c>
    </row>
    <row r="284" spans="1:4" hidden="1" x14ac:dyDescent="0.35">
      <c r="A284" s="1">
        <v>182</v>
      </c>
      <c r="B284" s="1" t="str">
        <f xml:space="preserve"> CONCATENATE("ruta ", ka_res_4[[#This Row],[Column1]])</f>
        <v>ruta 182</v>
      </c>
      <c r="C284" s="1" t="s">
        <v>68</v>
      </c>
      <c r="D284" s="1">
        <v>1261.02</v>
      </c>
    </row>
    <row r="285" spans="1:4" hidden="1" x14ac:dyDescent="0.35">
      <c r="A285" s="1">
        <v>119</v>
      </c>
      <c r="B285" s="1" t="str">
        <f xml:space="preserve"> CONCATENATE("ruta ", ka_res_4[[#This Row],[Column1]])</f>
        <v>ruta 119</v>
      </c>
      <c r="C285" s="1" t="s">
        <v>68</v>
      </c>
      <c r="D285" s="1">
        <v>1261.54</v>
      </c>
    </row>
    <row r="286" spans="1:4" hidden="1" x14ac:dyDescent="0.35">
      <c r="A286" s="1">
        <v>27</v>
      </c>
      <c r="B286" s="1" t="str">
        <f xml:space="preserve"> CONCATENATE("ruta ", ka_res_4[[#This Row],[Column1]])</f>
        <v>ruta 27</v>
      </c>
      <c r="C286" s="1" t="s">
        <v>64</v>
      </c>
      <c r="D286" s="1">
        <v>1278.29</v>
      </c>
    </row>
    <row r="287" spans="1:4" x14ac:dyDescent="0.35">
      <c r="A287" s="1">
        <v>259</v>
      </c>
      <c r="B287" s="1" t="str">
        <f xml:space="preserve"> CONCATENATE("ruta ", ka_res_4[[#This Row],[Column1]])</f>
        <v>ruta 259</v>
      </c>
      <c r="C287" s="1" t="s">
        <v>63</v>
      </c>
      <c r="D287" s="1">
        <v>1305.9000000000001</v>
      </c>
    </row>
    <row r="288" spans="1:4" x14ac:dyDescent="0.35">
      <c r="A288" s="1">
        <v>20</v>
      </c>
      <c r="B288" s="1" t="str">
        <f xml:space="preserve"> CONCATENATE("ruta ", ka_res_4[[#This Row],[Column1]])</f>
        <v>ruta 20</v>
      </c>
      <c r="C288" s="1" t="s">
        <v>65</v>
      </c>
      <c r="D288" s="1">
        <v>1337.51</v>
      </c>
    </row>
    <row r="289" spans="1:4" x14ac:dyDescent="0.35">
      <c r="A289" s="1">
        <v>78</v>
      </c>
      <c r="B289" s="1" t="str">
        <f xml:space="preserve"> CONCATENATE("ruta ", ka_res_4[[#This Row],[Column1]])</f>
        <v>ruta 78</v>
      </c>
      <c r="C289" s="1" t="s">
        <v>64</v>
      </c>
      <c r="D289" s="1">
        <v>1338.73</v>
      </c>
    </row>
    <row r="290" spans="1:4" x14ac:dyDescent="0.35">
      <c r="A290" s="1">
        <v>148</v>
      </c>
      <c r="B290" s="1" t="str">
        <f xml:space="preserve"> CONCATENATE("ruta ", ka_res_4[[#This Row],[Column1]])</f>
        <v>ruta 148</v>
      </c>
      <c r="C290" s="1" t="s">
        <v>66</v>
      </c>
      <c r="D290" s="1">
        <v>1348.45</v>
      </c>
    </row>
    <row r="291" spans="1:4" x14ac:dyDescent="0.35">
      <c r="A291" s="1">
        <v>210</v>
      </c>
      <c r="B291" s="1" t="str">
        <f xml:space="preserve"> CONCATENATE("ruta ", ka_res_4[[#This Row],[Column1]])</f>
        <v>ruta 210</v>
      </c>
      <c r="C291" s="1" t="s">
        <v>67</v>
      </c>
      <c r="D291" s="1">
        <v>1349.92</v>
      </c>
    </row>
    <row r="292" spans="1:4" x14ac:dyDescent="0.35">
      <c r="A292" s="1">
        <v>31</v>
      </c>
      <c r="B292" s="1" t="str">
        <f xml:space="preserve"> CONCATENATE("ruta ", ka_res_4[[#This Row],[Column1]])</f>
        <v>ruta 31</v>
      </c>
      <c r="C292" s="1" t="s">
        <v>63</v>
      </c>
      <c r="D292" s="1">
        <v>1358.9</v>
      </c>
    </row>
    <row r="293" spans="1:4" x14ac:dyDescent="0.35">
      <c r="A293" s="1">
        <v>144</v>
      </c>
      <c r="B293" s="1" t="str">
        <f xml:space="preserve"> CONCATENATE("ruta ", ka_res_4[[#This Row],[Column1]])</f>
        <v>ruta 144</v>
      </c>
      <c r="C293" s="1" t="s">
        <v>68</v>
      </c>
      <c r="D293" s="1">
        <v>1375.11</v>
      </c>
    </row>
    <row r="294" spans="1:4" x14ac:dyDescent="0.35">
      <c r="A294" s="1">
        <v>181</v>
      </c>
      <c r="B294" s="1" t="str">
        <f xml:space="preserve"> CONCATENATE("ruta ", ka_res_4[[#This Row],[Column1]])</f>
        <v>ruta 181</v>
      </c>
      <c r="C294" s="1" t="s">
        <v>63</v>
      </c>
      <c r="D294" s="1">
        <v>1404.85</v>
      </c>
    </row>
    <row r="295" spans="1:4" x14ac:dyDescent="0.35">
      <c r="A295" s="1">
        <v>158</v>
      </c>
      <c r="B295" s="1" t="str">
        <f xml:space="preserve"> CONCATENATE("ruta ", ka_res_4[[#This Row],[Column1]])</f>
        <v>ruta 158</v>
      </c>
      <c r="C295" s="1" t="s">
        <v>66</v>
      </c>
      <c r="D295" s="1">
        <v>1410.32</v>
      </c>
    </row>
    <row r="296" spans="1:4" x14ac:dyDescent="0.35">
      <c r="A296" s="1">
        <v>25</v>
      </c>
      <c r="B296" s="1" t="str">
        <f xml:space="preserve"> CONCATENATE("ruta ", ka_res_4[[#This Row],[Column1]])</f>
        <v>ruta 25</v>
      </c>
      <c r="C296" s="1" t="s">
        <v>67</v>
      </c>
      <c r="D296" s="1">
        <v>1438.5</v>
      </c>
    </row>
    <row r="297" spans="1:4" x14ac:dyDescent="0.35">
      <c r="A297" s="1">
        <v>172</v>
      </c>
      <c r="B297" s="1" t="str">
        <f xml:space="preserve"> CONCATENATE("ruta ", ka_res_4[[#This Row],[Column1]])</f>
        <v>ruta 172</v>
      </c>
      <c r="C297" s="1" t="s">
        <v>66</v>
      </c>
      <c r="D297" s="1">
        <v>1439.25</v>
      </c>
    </row>
    <row r="298" spans="1:4" x14ac:dyDescent="0.35">
      <c r="A298" s="1">
        <v>285</v>
      </c>
      <c r="B298" s="1" t="str">
        <f xml:space="preserve"> CONCATENATE("ruta ", ka_res_4[[#This Row],[Column1]])</f>
        <v>ruta 285</v>
      </c>
      <c r="C298" s="1" t="s">
        <v>64</v>
      </c>
      <c r="D298" s="1">
        <v>1450.72</v>
      </c>
    </row>
    <row r="299" spans="1:4" x14ac:dyDescent="0.35">
      <c r="A299" s="1">
        <v>42</v>
      </c>
      <c r="B299" s="1" t="str">
        <f xml:space="preserve"> CONCATENATE("ruta ", ka_res_4[[#This Row],[Column1]])</f>
        <v>ruta 42</v>
      </c>
      <c r="C299" s="1" t="s">
        <v>65</v>
      </c>
      <c r="D299" s="1">
        <v>1453.28</v>
      </c>
    </row>
    <row r="300" spans="1:4" x14ac:dyDescent="0.35">
      <c r="A300" s="1">
        <v>34</v>
      </c>
      <c r="B300" s="1" t="str">
        <f xml:space="preserve"> CONCATENATE("ruta ", ka_res_4[[#This Row],[Column1]])</f>
        <v>ruta 34</v>
      </c>
      <c r="C300" s="1" t="s">
        <v>64</v>
      </c>
      <c r="D300" s="1">
        <v>1465.16</v>
      </c>
    </row>
    <row r="301" spans="1:4" x14ac:dyDescent="0.35">
      <c r="A301" s="1">
        <v>140</v>
      </c>
      <c r="B301" s="1" t="str">
        <f xml:space="preserve"> CONCATENATE("ruta ", ka_res_4[[#This Row],[Column1]])</f>
        <v>ruta 140</v>
      </c>
      <c r="C301" s="1" t="s">
        <v>63</v>
      </c>
      <c r="D301" s="1">
        <v>1511.15</v>
      </c>
    </row>
  </sheetData>
  <phoneticPr fontId="2"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E455F-99B2-443E-A5A5-48115BD4049A}">
  <dimension ref="A1:B5"/>
  <sheetViews>
    <sheetView workbookViewId="0">
      <selection activeCell="A2" sqref="A2"/>
    </sheetView>
  </sheetViews>
  <sheetFormatPr defaultRowHeight="14.5" x14ac:dyDescent="0.35"/>
  <cols>
    <col min="1" max="1" width="13.54296875" bestFit="1" customWidth="1"/>
    <col min="2" max="2" width="16.7265625" bestFit="1" customWidth="1"/>
  </cols>
  <sheetData>
    <row r="1" spans="1:2" x14ac:dyDescent="0.35">
      <c r="A1" s="1" t="s">
        <v>114</v>
      </c>
      <c r="B1" s="1" t="s">
        <v>113</v>
      </c>
    </row>
    <row r="2" spans="1:2" x14ac:dyDescent="0.35">
      <c r="A2" s="1" t="s">
        <v>76</v>
      </c>
      <c r="B2" s="1">
        <v>15770</v>
      </c>
    </row>
    <row r="3" spans="1:2" x14ac:dyDescent="0.35">
      <c r="A3" s="1" t="s">
        <v>77</v>
      </c>
      <c r="B3" s="1">
        <v>10489</v>
      </c>
    </row>
    <row r="4" spans="1:2" x14ac:dyDescent="0.35">
      <c r="A4" s="1" t="s">
        <v>78</v>
      </c>
      <c r="B4" s="1">
        <v>10450</v>
      </c>
    </row>
    <row r="5" spans="1:2" x14ac:dyDescent="0.35">
      <c r="A5" s="1" t="s">
        <v>79</v>
      </c>
      <c r="B5" s="1">
        <v>5291</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D75D7-689B-4469-AB63-9E7D51D1724D}">
  <dimension ref="A1:G11"/>
  <sheetViews>
    <sheetView zoomScale="85" zoomScaleNormal="85" workbookViewId="0">
      <selection activeCell="E22" sqref="E22"/>
    </sheetView>
  </sheetViews>
  <sheetFormatPr defaultRowHeight="14.5" x14ac:dyDescent="0.35"/>
  <cols>
    <col min="1" max="2" width="10.54296875" bestFit="1" customWidth="1"/>
    <col min="3" max="3" width="15.453125" customWidth="1"/>
    <col min="6" max="6" width="12.36328125" bestFit="1" customWidth="1"/>
    <col min="7" max="7" width="14.6328125" bestFit="1" customWidth="1"/>
  </cols>
  <sheetData>
    <row r="1" spans="1:7" x14ac:dyDescent="0.35">
      <c r="A1" s="1" t="s">
        <v>0</v>
      </c>
      <c r="B1" s="1" t="s">
        <v>1</v>
      </c>
      <c r="C1" s="1" t="s">
        <v>62</v>
      </c>
    </row>
    <row r="2" spans="1:7" x14ac:dyDescent="0.35">
      <c r="A2" s="1" t="s">
        <v>80</v>
      </c>
      <c r="B2" s="1" t="s">
        <v>81</v>
      </c>
      <c r="C2" s="1">
        <v>3579536.72</v>
      </c>
      <c r="F2" s="2" t="s">
        <v>115</v>
      </c>
      <c r="G2" t="s">
        <v>117</v>
      </c>
    </row>
    <row r="3" spans="1:7" x14ac:dyDescent="0.35">
      <c r="A3" s="1" t="s">
        <v>80</v>
      </c>
      <c r="B3" s="1" t="s">
        <v>82</v>
      </c>
      <c r="C3" s="1">
        <v>2712538.35</v>
      </c>
      <c r="F3" s="3" t="s">
        <v>82</v>
      </c>
      <c r="G3" s="4">
        <v>6651939.2200000007</v>
      </c>
    </row>
    <row r="4" spans="1:7" x14ac:dyDescent="0.35">
      <c r="A4" s="1" t="s">
        <v>83</v>
      </c>
      <c r="B4" s="1" t="s">
        <v>81</v>
      </c>
      <c r="C4" s="1">
        <v>1893364.99</v>
      </c>
      <c r="F4" s="3" t="s">
        <v>81</v>
      </c>
      <c r="G4" s="4">
        <v>8877833.8000000007</v>
      </c>
    </row>
    <row r="5" spans="1:7" x14ac:dyDescent="0.35">
      <c r="A5" s="1" t="s">
        <v>83</v>
      </c>
      <c r="B5" s="1" t="s">
        <v>82</v>
      </c>
      <c r="C5" s="1">
        <v>1440761.11</v>
      </c>
      <c r="F5" s="3" t="s">
        <v>116</v>
      </c>
      <c r="G5" s="4">
        <v>15529773.020000001</v>
      </c>
    </row>
    <row r="6" spans="1:7" x14ac:dyDescent="0.35">
      <c r="A6" s="1" t="s">
        <v>84</v>
      </c>
      <c r="B6" s="1" t="s">
        <v>81</v>
      </c>
      <c r="C6" s="1">
        <v>1034486.76</v>
      </c>
    </row>
    <row r="7" spans="1:7" x14ac:dyDescent="0.35">
      <c r="A7" s="1" t="s">
        <v>84</v>
      </c>
      <c r="B7" s="1" t="s">
        <v>82</v>
      </c>
      <c r="C7" s="1">
        <v>772234.59</v>
      </c>
    </row>
    <row r="8" spans="1:7" x14ac:dyDescent="0.35">
      <c r="A8" s="1" t="s">
        <v>85</v>
      </c>
      <c r="B8" s="1" t="s">
        <v>81</v>
      </c>
      <c r="C8" s="1">
        <v>820581.44</v>
      </c>
    </row>
    <row r="9" spans="1:7" x14ac:dyDescent="0.35">
      <c r="A9" s="1" t="s">
        <v>85</v>
      </c>
      <c r="B9" s="1" t="s">
        <v>82</v>
      </c>
      <c r="C9" s="1">
        <v>625103.02</v>
      </c>
    </row>
    <row r="10" spans="1:7" x14ac:dyDescent="0.35">
      <c r="A10" s="1" t="s">
        <v>86</v>
      </c>
      <c r="B10" s="1" t="s">
        <v>81</v>
      </c>
      <c r="C10" s="1">
        <v>1549863.89</v>
      </c>
    </row>
    <row r="11" spans="1:7" x14ac:dyDescent="0.35">
      <c r="A11" s="1" t="s">
        <v>86</v>
      </c>
      <c r="B11" s="1" t="s">
        <v>82</v>
      </c>
      <c r="C11" s="1">
        <v>1101302.1499999999</v>
      </c>
    </row>
  </sheetData>
  <phoneticPr fontId="2"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08713-2917-4B60-A667-CC130D2C620C}">
  <dimension ref="A1:B6"/>
  <sheetViews>
    <sheetView workbookViewId="0">
      <selection activeCell="B7" sqref="B7"/>
    </sheetView>
  </sheetViews>
  <sheetFormatPr defaultRowHeight="14.5" x14ac:dyDescent="0.35"/>
  <cols>
    <col min="1" max="1" width="30" bestFit="1" customWidth="1"/>
    <col min="2" max="2" width="19.81640625" bestFit="1" customWidth="1"/>
  </cols>
  <sheetData>
    <row r="1" spans="1:2" x14ac:dyDescent="0.35">
      <c r="A1" s="1" t="s">
        <v>119</v>
      </c>
      <c r="B1" s="1" t="s">
        <v>118</v>
      </c>
    </row>
    <row r="2" spans="1:2" x14ac:dyDescent="0.35">
      <c r="A2" s="1" t="s">
        <v>61</v>
      </c>
      <c r="B2" s="1">
        <v>776.64830241928905</v>
      </c>
    </row>
    <row r="3" spans="1:2" x14ac:dyDescent="0.35">
      <c r="A3" s="1" t="s">
        <v>28</v>
      </c>
      <c r="B3" s="1">
        <v>259.15740117763698</v>
      </c>
    </row>
    <row r="4" spans="1:2" x14ac:dyDescent="0.35">
      <c r="A4" s="1" t="s">
        <v>35</v>
      </c>
      <c r="B4" s="1">
        <v>252.04510601988599</v>
      </c>
    </row>
    <row r="5" spans="1:2" x14ac:dyDescent="0.35">
      <c r="A5" s="1" t="s">
        <v>22</v>
      </c>
      <c r="B5" s="1">
        <v>241.15830936444101</v>
      </c>
    </row>
    <row r="6" spans="1:2" x14ac:dyDescent="0.35">
      <c r="A6" s="1" t="s">
        <v>39</v>
      </c>
      <c r="B6" s="1">
        <v>239.534748900197</v>
      </c>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02856-C16C-4EF7-A219-C220F9A05CD3}">
  <dimension ref="A1:D25"/>
  <sheetViews>
    <sheetView topLeftCell="B1" workbookViewId="0">
      <selection activeCell="C4" sqref="C4"/>
    </sheetView>
  </sheetViews>
  <sheetFormatPr defaultRowHeight="14.5" x14ac:dyDescent="0.35"/>
  <cols>
    <col min="1" max="2" width="10.54296875" bestFit="1" customWidth="1"/>
    <col min="3" max="3" width="10.54296875" customWidth="1"/>
    <col min="4" max="4" width="10.54296875" bestFit="1" customWidth="1"/>
  </cols>
  <sheetData>
    <row r="1" spans="1:4" x14ac:dyDescent="0.35">
      <c r="A1" s="1" t="s">
        <v>120</v>
      </c>
      <c r="B1" s="1" t="s">
        <v>121</v>
      </c>
      <c r="C1" s="1" t="s">
        <v>0</v>
      </c>
      <c r="D1" s="1" t="s">
        <v>122</v>
      </c>
    </row>
    <row r="2" spans="1:4" x14ac:dyDescent="0.35">
      <c r="A2" s="1">
        <v>2023</v>
      </c>
      <c r="B2" s="1">
        <v>1</v>
      </c>
      <c r="C2" s="1" t="str">
        <f>CONCATENATE(ka_res_8[[#This Row],[YEAR]]&amp;"-",ka_res_8[[#This Row],[MONTH]])</f>
        <v>2023-1</v>
      </c>
      <c r="D2" s="1">
        <v>2302.29</v>
      </c>
    </row>
    <row r="3" spans="1:4" x14ac:dyDescent="0.35">
      <c r="A3" s="1">
        <v>2023</v>
      </c>
      <c r="B3" s="1">
        <v>2</v>
      </c>
      <c r="C3" s="1" t="str">
        <f>CONCATENATE(ka_res_8[[#This Row],[YEAR]]&amp;"-",ka_res_8[[#This Row],[MONTH]])</f>
        <v>2023-2</v>
      </c>
      <c r="D3" s="1">
        <v>2344.9299999999998</v>
      </c>
    </row>
    <row r="4" spans="1:4" x14ac:dyDescent="0.35">
      <c r="A4" s="1">
        <v>2023</v>
      </c>
      <c r="B4" s="1">
        <v>3</v>
      </c>
      <c r="C4" s="1" t="str">
        <f>CONCATENATE(ka_res_8[[#This Row],[YEAR]]&amp;"-",ka_res_8[[#This Row],[MONTH]])</f>
        <v>2023-3</v>
      </c>
      <c r="D4" s="1">
        <v>2308.33</v>
      </c>
    </row>
    <row r="5" spans="1:4" x14ac:dyDescent="0.35">
      <c r="A5" s="1">
        <v>2023</v>
      </c>
      <c r="B5" s="1">
        <v>4</v>
      </c>
      <c r="C5" s="1" t="str">
        <f>CONCATENATE(ka_res_8[[#This Row],[YEAR]]&amp;"-",ka_res_8[[#This Row],[MONTH]])</f>
        <v>2023-4</v>
      </c>
      <c r="D5" s="1">
        <v>2323.04</v>
      </c>
    </row>
    <row r="6" spans="1:4" x14ac:dyDescent="0.35">
      <c r="A6" s="1">
        <v>2023</v>
      </c>
      <c r="B6" s="1">
        <v>5</v>
      </c>
      <c r="C6" s="1" t="str">
        <f>CONCATENATE(ka_res_8[[#This Row],[YEAR]]&amp;"-",ka_res_8[[#This Row],[MONTH]])</f>
        <v>2023-5</v>
      </c>
      <c r="D6" s="1">
        <v>2202.61</v>
      </c>
    </row>
    <row r="7" spans="1:4" x14ac:dyDescent="0.35">
      <c r="A7" s="1">
        <v>2023</v>
      </c>
      <c r="B7" s="1">
        <v>6</v>
      </c>
      <c r="C7" s="1" t="str">
        <f>CONCATENATE(ka_res_8[[#This Row],[YEAR]]&amp;"-",ka_res_8[[#This Row],[MONTH]])</f>
        <v>2023-6</v>
      </c>
      <c r="D7" s="1">
        <v>2186.0500000000002</v>
      </c>
    </row>
    <row r="8" spans="1:4" x14ac:dyDescent="0.35">
      <c r="A8" s="1">
        <v>2023</v>
      </c>
      <c r="B8" s="1">
        <v>7</v>
      </c>
      <c r="C8" s="1" t="str">
        <f>CONCATENATE(ka_res_8[[#This Row],[YEAR]]&amp;"-",ka_res_8[[#This Row],[MONTH]])</f>
        <v>2023-7</v>
      </c>
      <c r="D8" s="1">
        <v>2309.06</v>
      </c>
    </row>
    <row r="9" spans="1:4" x14ac:dyDescent="0.35">
      <c r="A9" s="1">
        <v>2023</v>
      </c>
      <c r="B9" s="1">
        <v>8</v>
      </c>
      <c r="C9" s="1" t="str">
        <f>CONCATENATE(ka_res_8[[#This Row],[YEAR]]&amp;"-",ka_res_8[[#This Row],[MONTH]])</f>
        <v>2023-8</v>
      </c>
      <c r="D9" s="1">
        <v>2277.29</v>
      </c>
    </row>
    <row r="10" spans="1:4" x14ac:dyDescent="0.35">
      <c r="A10" s="1">
        <v>2023</v>
      </c>
      <c r="B10" s="1">
        <v>9</v>
      </c>
      <c r="C10" s="1" t="str">
        <f>CONCATENATE(ka_res_8[[#This Row],[YEAR]]&amp;"-",ka_res_8[[#This Row],[MONTH]])</f>
        <v>2023-9</v>
      </c>
      <c r="D10" s="1">
        <v>2233.81</v>
      </c>
    </row>
    <row r="11" spans="1:4" x14ac:dyDescent="0.35">
      <c r="A11" s="1">
        <v>2023</v>
      </c>
      <c r="B11" s="1">
        <v>10</v>
      </c>
      <c r="C11" s="1" t="str">
        <f>CONCATENATE(ka_res_8[[#This Row],[YEAR]]&amp;"-",ka_res_8[[#This Row],[MONTH]])</f>
        <v>2023-10</v>
      </c>
      <c r="D11" s="1">
        <v>2255.27</v>
      </c>
    </row>
    <row r="12" spans="1:4" x14ac:dyDescent="0.35">
      <c r="A12" s="1">
        <v>2023</v>
      </c>
      <c r="B12" s="1">
        <v>11</v>
      </c>
      <c r="C12" s="1" t="str">
        <f>CONCATENATE(ka_res_8[[#This Row],[YEAR]]&amp;"-",ka_res_8[[#This Row],[MONTH]])</f>
        <v>2023-11</v>
      </c>
      <c r="D12" s="1">
        <v>2288.36</v>
      </c>
    </row>
    <row r="13" spans="1:4" x14ac:dyDescent="0.35">
      <c r="A13" s="1">
        <v>2023</v>
      </c>
      <c r="B13" s="1">
        <v>12</v>
      </c>
      <c r="C13" s="1" t="str">
        <f>CONCATENATE(ka_res_8[[#This Row],[YEAR]]&amp;"-",ka_res_8[[#This Row],[MONTH]])</f>
        <v>2023-12</v>
      </c>
      <c r="D13" s="1">
        <v>2244.19</v>
      </c>
    </row>
    <row r="14" spans="1:4" x14ac:dyDescent="0.35">
      <c r="A14" s="1">
        <v>2024</v>
      </c>
      <c r="B14" s="1">
        <v>1</v>
      </c>
      <c r="C14" s="1" t="str">
        <f>CONCATENATE(ka_res_8[[#This Row],[YEAR]]&amp;"-",ka_res_8[[#This Row],[MONTH]])</f>
        <v>2024-1</v>
      </c>
      <c r="D14" s="1">
        <v>2577.9699999999998</v>
      </c>
    </row>
    <row r="15" spans="1:4" x14ac:dyDescent="0.35">
      <c r="A15" s="1">
        <v>2024</v>
      </c>
      <c r="B15" s="1">
        <v>2</v>
      </c>
      <c r="C15" s="1" t="str">
        <f>CONCATENATE(ka_res_8[[#This Row],[YEAR]]&amp;"-",ka_res_8[[#This Row],[MONTH]])</f>
        <v>2024-2</v>
      </c>
      <c r="D15" s="1">
        <v>2489.52</v>
      </c>
    </row>
    <row r="16" spans="1:4" x14ac:dyDescent="0.35">
      <c r="A16" s="1">
        <v>2024</v>
      </c>
      <c r="B16" s="1">
        <v>3</v>
      </c>
      <c r="C16" s="1" t="str">
        <f>CONCATENATE(ka_res_8[[#This Row],[YEAR]]&amp;"-",ka_res_8[[#This Row],[MONTH]])</f>
        <v>2024-3</v>
      </c>
      <c r="D16" s="1">
        <v>2413.5300000000002</v>
      </c>
    </row>
    <row r="17" spans="1:4" x14ac:dyDescent="0.35">
      <c r="A17" s="1">
        <v>2024</v>
      </c>
      <c r="B17" s="1">
        <v>4</v>
      </c>
      <c r="C17" s="1" t="str">
        <f>CONCATENATE(ka_res_8[[#This Row],[YEAR]]&amp;"-",ka_res_8[[#This Row],[MONTH]])</f>
        <v>2024-4</v>
      </c>
      <c r="D17" s="1">
        <v>2464.7800000000002</v>
      </c>
    </row>
    <row r="18" spans="1:4" x14ac:dyDescent="0.35">
      <c r="A18" s="1">
        <v>2024</v>
      </c>
      <c r="B18" s="1">
        <v>5</v>
      </c>
      <c r="C18" s="1" t="str">
        <f>CONCATENATE(ka_res_8[[#This Row],[YEAR]]&amp;"-",ka_res_8[[#This Row],[MONTH]])</f>
        <v>2024-5</v>
      </c>
      <c r="D18" s="1">
        <v>2445.15</v>
      </c>
    </row>
    <row r="19" spans="1:4" x14ac:dyDescent="0.35">
      <c r="A19" s="1">
        <v>2024</v>
      </c>
      <c r="B19" s="1">
        <v>6</v>
      </c>
      <c r="C19" s="1" t="str">
        <f>CONCATENATE(ka_res_8[[#This Row],[YEAR]]&amp;"-",ka_res_8[[#This Row],[MONTH]])</f>
        <v>2024-6</v>
      </c>
      <c r="D19" s="1">
        <v>2439.19</v>
      </c>
    </row>
    <row r="20" spans="1:4" x14ac:dyDescent="0.35">
      <c r="A20" s="1">
        <v>2024</v>
      </c>
      <c r="B20" s="1">
        <v>7</v>
      </c>
      <c r="C20" s="1" t="str">
        <f>CONCATENATE(ka_res_8[[#This Row],[YEAR]]&amp;"-",ka_res_8[[#This Row],[MONTH]])</f>
        <v>2024-7</v>
      </c>
      <c r="D20" s="1">
        <v>2361.39</v>
      </c>
    </row>
    <row r="21" spans="1:4" x14ac:dyDescent="0.35">
      <c r="A21" s="1">
        <v>2024</v>
      </c>
      <c r="B21" s="1">
        <v>8</v>
      </c>
      <c r="C21" s="1" t="str">
        <f>CONCATENATE(ka_res_8[[#This Row],[YEAR]]&amp;"-",ka_res_8[[#This Row],[MONTH]])</f>
        <v>2024-8</v>
      </c>
      <c r="D21" s="1">
        <v>2542.5100000000002</v>
      </c>
    </row>
    <row r="22" spans="1:4" x14ac:dyDescent="0.35">
      <c r="A22" s="1">
        <v>2024</v>
      </c>
      <c r="B22" s="1">
        <v>9</v>
      </c>
      <c r="C22" s="1" t="str">
        <f>CONCATENATE(ka_res_8[[#This Row],[YEAR]]&amp;"-",ka_res_8[[#This Row],[MONTH]])</f>
        <v>2024-9</v>
      </c>
      <c r="D22" s="1">
        <v>2376.61</v>
      </c>
    </row>
    <row r="23" spans="1:4" x14ac:dyDescent="0.35">
      <c r="A23" s="1">
        <v>2024</v>
      </c>
      <c r="B23" s="1">
        <v>10</v>
      </c>
      <c r="C23" s="1" t="str">
        <f>CONCATENATE(ka_res_8[[#This Row],[YEAR]]&amp;"-",ka_res_8[[#This Row],[MONTH]])</f>
        <v>2024-10</v>
      </c>
      <c r="D23" s="1">
        <v>2527.38</v>
      </c>
    </row>
    <row r="24" spans="1:4" x14ac:dyDescent="0.35">
      <c r="A24" s="1">
        <v>2024</v>
      </c>
      <c r="B24" s="1">
        <v>11</v>
      </c>
      <c r="C24" s="1" t="str">
        <f>CONCATENATE(ka_res_8[[#This Row],[YEAR]]&amp;"-",ka_res_8[[#This Row],[MONTH]])</f>
        <v>2024-11</v>
      </c>
      <c r="D24" s="1">
        <v>2403.8200000000002</v>
      </c>
    </row>
    <row r="25" spans="1:4" x14ac:dyDescent="0.35">
      <c r="A25" s="1">
        <v>2024</v>
      </c>
      <c r="B25" s="1">
        <v>12</v>
      </c>
      <c r="C25" s="1" t="str">
        <f>CONCATENATE(ka_res_8[[#This Row],[YEAR]]&amp;"-",ka_res_8[[#This Row],[MONTH]])</f>
        <v>2024-12</v>
      </c>
      <c r="D25" s="1">
        <v>2422.3200000000002</v>
      </c>
    </row>
  </sheetData>
  <phoneticPr fontId="2" type="noConversion"/>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ABE02-FF34-4C7E-88CC-EA39C2D5ABBD}">
  <dimension ref="A1:D8"/>
  <sheetViews>
    <sheetView workbookViewId="0">
      <selection activeCell="F11" sqref="F11"/>
    </sheetView>
  </sheetViews>
  <sheetFormatPr defaultRowHeight="14.5" x14ac:dyDescent="0.35"/>
  <cols>
    <col min="1" max="1" width="17.90625" bestFit="1" customWidth="1"/>
    <col min="2" max="2" width="17.36328125" bestFit="1" customWidth="1"/>
    <col min="3" max="3" width="13.7265625" style="4" bestFit="1" customWidth="1"/>
    <col min="4" max="4" width="16.7265625" style="4" bestFit="1" customWidth="1"/>
  </cols>
  <sheetData>
    <row r="1" spans="1:4" x14ac:dyDescent="0.35">
      <c r="A1" s="1" t="s">
        <v>123</v>
      </c>
      <c r="B1" s="1" t="s">
        <v>124</v>
      </c>
      <c r="C1" s="4" t="s">
        <v>125</v>
      </c>
      <c r="D1" s="4" t="s">
        <v>126</v>
      </c>
    </row>
    <row r="2" spans="1:4" x14ac:dyDescent="0.35">
      <c r="A2" s="1" t="s">
        <v>88</v>
      </c>
      <c r="B2" s="1">
        <v>4</v>
      </c>
      <c r="C2" s="4">
        <v>4078855.62</v>
      </c>
      <c r="D2" s="4">
        <v>1019713.91</v>
      </c>
    </row>
    <row r="3" spans="1:4" x14ac:dyDescent="0.35">
      <c r="A3" s="1" t="s">
        <v>89</v>
      </c>
      <c r="B3" s="1">
        <v>7</v>
      </c>
      <c r="C3" s="4">
        <v>2003438.87</v>
      </c>
      <c r="D3" s="4">
        <v>286205.55</v>
      </c>
    </row>
    <row r="4" spans="1:4" x14ac:dyDescent="0.35">
      <c r="A4" s="1" t="s">
        <v>90</v>
      </c>
      <c r="B4" s="1">
        <v>13</v>
      </c>
      <c r="C4" s="4">
        <v>3189018.48</v>
      </c>
      <c r="D4" s="4">
        <v>245309.11</v>
      </c>
    </row>
    <row r="5" spans="1:4" x14ac:dyDescent="0.35">
      <c r="A5" s="1" t="s">
        <v>91</v>
      </c>
      <c r="B5" s="1">
        <v>9</v>
      </c>
      <c r="C5" s="4">
        <v>2054520.36</v>
      </c>
      <c r="D5" s="4">
        <v>228280.04</v>
      </c>
    </row>
    <row r="6" spans="1:4" x14ac:dyDescent="0.35">
      <c r="A6" s="1" t="s">
        <v>92</v>
      </c>
      <c r="B6" s="1">
        <v>11</v>
      </c>
      <c r="C6" s="4">
        <v>2383087.17</v>
      </c>
      <c r="D6" s="4">
        <v>216644.29</v>
      </c>
    </row>
    <row r="7" spans="1:4" x14ac:dyDescent="0.35">
      <c r="A7" s="1" t="s">
        <v>93</v>
      </c>
      <c r="B7" s="1">
        <v>10</v>
      </c>
      <c r="C7" s="4">
        <v>1195808.25</v>
      </c>
      <c r="D7" s="4">
        <v>119580.82</v>
      </c>
    </row>
    <row r="8" spans="1:4" x14ac:dyDescent="0.35">
      <c r="A8" s="1" t="s">
        <v>94</v>
      </c>
      <c r="B8" s="1">
        <v>6</v>
      </c>
      <c r="C8" s="4">
        <v>625044.27</v>
      </c>
      <c r="D8" s="4">
        <v>104174.04</v>
      </c>
    </row>
  </sheetData>
  <phoneticPr fontId="2" type="noConversion"/>
  <conditionalFormatting sqref="B2:B8">
    <cfRule type="dataBar" priority="3">
      <dataBar>
        <cfvo type="min"/>
        <cfvo type="max"/>
        <color rgb="FF638EC6"/>
      </dataBar>
      <extLst>
        <ext xmlns:x14="http://schemas.microsoft.com/office/spreadsheetml/2009/9/main" uri="{B025F937-C7B1-47D3-B67F-A62EFF666E3E}">
          <x14:id>{821C501E-C5D9-484C-A872-CF07AFD4D2FC}</x14:id>
        </ext>
      </extLst>
    </cfRule>
  </conditionalFormatting>
  <conditionalFormatting sqref="C2:C8">
    <cfRule type="dataBar" priority="2">
      <dataBar>
        <cfvo type="min"/>
        <cfvo type="max"/>
        <color rgb="FF63C384"/>
      </dataBar>
      <extLst>
        <ext xmlns:x14="http://schemas.microsoft.com/office/spreadsheetml/2009/9/main" uri="{B025F937-C7B1-47D3-B67F-A62EFF666E3E}">
          <x14:id>{337EFEF5-D581-41CC-AA95-94A96C03BF9F}</x14:id>
        </ext>
      </extLst>
    </cfRule>
  </conditionalFormatting>
  <conditionalFormatting sqref="D2:D8">
    <cfRule type="colorScale" priority="1">
      <colorScale>
        <cfvo type="min"/>
        <cfvo type="percentile" val="50"/>
        <cfvo type="max"/>
        <color rgb="FFF8696B"/>
        <color rgb="FFFCFCFF"/>
        <color rgb="FF5A8AC6"/>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21C501E-C5D9-484C-A872-CF07AFD4D2FC}">
            <x14:dataBar minLength="0" maxLength="100" border="1" negativeBarBorderColorSameAsPositive="0">
              <x14:cfvo type="autoMin"/>
              <x14:cfvo type="autoMax"/>
              <x14:borderColor rgb="FF638EC6"/>
              <x14:negativeFillColor rgb="FFFF0000"/>
              <x14:negativeBorderColor rgb="FFFF0000"/>
              <x14:axisColor rgb="FF000000"/>
            </x14:dataBar>
          </x14:cfRule>
          <xm:sqref>B2:B8</xm:sqref>
        </x14:conditionalFormatting>
        <x14:conditionalFormatting xmlns:xm="http://schemas.microsoft.com/office/excel/2006/main">
          <x14:cfRule type="dataBar" id="{337EFEF5-D581-41CC-AA95-94A96C03BF9F}">
            <x14:dataBar minLength="0" maxLength="100" border="1" negativeBarBorderColorSameAsPositive="0">
              <x14:cfvo type="autoMin"/>
              <x14:cfvo type="autoMax"/>
              <x14:borderColor rgb="FF63C384"/>
              <x14:negativeFillColor rgb="FFFF0000"/>
              <x14:negativeBorderColor rgb="FFFF0000"/>
              <x14:axisColor rgb="FF000000"/>
            </x14:dataBar>
          </x14:cfRule>
          <xm:sqref>C2:C8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3165D-CBCD-4C97-8430-D5DCA1A30F7A}">
  <dimension ref="A1:D301"/>
  <sheetViews>
    <sheetView workbookViewId="0">
      <selection activeCell="B289" sqref="A2:D301"/>
    </sheetView>
  </sheetViews>
  <sheetFormatPr defaultRowHeight="14.5" x14ac:dyDescent="0.35"/>
  <cols>
    <col min="1" max="1" width="10.54296875" bestFit="1" customWidth="1"/>
    <col min="2" max="2" width="10.7265625" bestFit="1" customWidth="1"/>
    <col min="3" max="3" width="12.6328125" bestFit="1" customWidth="1"/>
    <col min="4" max="4" width="10.54296875" bestFit="1" customWidth="1"/>
  </cols>
  <sheetData>
    <row r="1" spans="1:4" x14ac:dyDescent="0.35">
      <c r="A1" s="1" t="s">
        <v>0</v>
      </c>
      <c r="B1" s="1" t="s">
        <v>127</v>
      </c>
      <c r="C1" s="1" t="s">
        <v>128</v>
      </c>
      <c r="D1" s="1" t="s">
        <v>87</v>
      </c>
    </row>
    <row r="2" spans="1:4" x14ac:dyDescent="0.35">
      <c r="A2" s="1">
        <v>42</v>
      </c>
      <c r="B2" s="1" t="s">
        <v>95</v>
      </c>
      <c r="C2" s="1" t="s">
        <v>65</v>
      </c>
      <c r="D2" s="1">
        <v>3363</v>
      </c>
    </row>
    <row r="3" spans="1:4" x14ac:dyDescent="0.35">
      <c r="A3" s="1">
        <v>34</v>
      </c>
      <c r="B3" s="1" t="s">
        <v>96</v>
      </c>
      <c r="C3" s="1" t="s">
        <v>64</v>
      </c>
      <c r="D3" s="1">
        <v>3354</v>
      </c>
    </row>
    <row r="4" spans="1:4" x14ac:dyDescent="0.35">
      <c r="A4" s="1">
        <v>140</v>
      </c>
      <c r="B4" s="1" t="s">
        <v>96</v>
      </c>
      <c r="C4" s="1" t="s">
        <v>63</v>
      </c>
      <c r="D4" s="1">
        <v>3347</v>
      </c>
    </row>
    <row r="5" spans="1:4" x14ac:dyDescent="0.35">
      <c r="A5" s="1">
        <v>285</v>
      </c>
      <c r="B5" s="1" t="s">
        <v>97</v>
      </c>
      <c r="C5" s="1" t="s">
        <v>64</v>
      </c>
      <c r="D5" s="1">
        <v>3291</v>
      </c>
    </row>
    <row r="6" spans="1:4" x14ac:dyDescent="0.35">
      <c r="A6" s="1">
        <v>172</v>
      </c>
      <c r="B6" s="1" t="s">
        <v>98</v>
      </c>
      <c r="C6" s="1" t="s">
        <v>66</v>
      </c>
      <c r="D6" s="1">
        <v>3278</v>
      </c>
    </row>
    <row r="7" spans="1:4" x14ac:dyDescent="0.35">
      <c r="A7" s="1">
        <v>158</v>
      </c>
      <c r="B7" s="1" t="s">
        <v>99</v>
      </c>
      <c r="C7" s="1" t="s">
        <v>66</v>
      </c>
      <c r="D7" s="1">
        <v>3193</v>
      </c>
    </row>
    <row r="8" spans="1:4" x14ac:dyDescent="0.35">
      <c r="A8" s="1">
        <v>210</v>
      </c>
      <c r="B8" s="1" t="s">
        <v>100</v>
      </c>
      <c r="C8" s="1" t="s">
        <v>67</v>
      </c>
      <c r="D8" s="1">
        <v>3151</v>
      </c>
    </row>
    <row r="9" spans="1:4" x14ac:dyDescent="0.35">
      <c r="A9" s="1">
        <v>25</v>
      </c>
      <c r="B9" s="1" t="s">
        <v>101</v>
      </c>
      <c r="C9" s="1" t="s">
        <v>67</v>
      </c>
      <c r="D9" s="1">
        <v>3130</v>
      </c>
    </row>
    <row r="10" spans="1:4" x14ac:dyDescent="0.35">
      <c r="A10" s="1">
        <v>181</v>
      </c>
      <c r="B10" s="1" t="s">
        <v>70</v>
      </c>
      <c r="C10" s="1" t="s">
        <v>63</v>
      </c>
      <c r="D10" s="1">
        <v>3108</v>
      </c>
    </row>
    <row r="11" spans="1:4" x14ac:dyDescent="0.35">
      <c r="A11" s="1">
        <v>78</v>
      </c>
      <c r="B11" s="1" t="s">
        <v>71</v>
      </c>
      <c r="C11" s="1" t="s">
        <v>64</v>
      </c>
      <c r="D11" s="1">
        <v>3101</v>
      </c>
    </row>
    <row r="12" spans="1:4" x14ac:dyDescent="0.35">
      <c r="A12" s="1">
        <v>144</v>
      </c>
      <c r="B12" s="1" t="s">
        <v>73</v>
      </c>
      <c r="C12" s="1" t="s">
        <v>68</v>
      </c>
      <c r="D12" s="1">
        <v>3085</v>
      </c>
    </row>
    <row r="13" spans="1:4" x14ac:dyDescent="0.35">
      <c r="A13" s="1">
        <v>20</v>
      </c>
      <c r="B13" s="1" t="s">
        <v>102</v>
      </c>
      <c r="C13" s="1" t="s">
        <v>65</v>
      </c>
      <c r="D13" s="1">
        <v>3032</v>
      </c>
    </row>
    <row r="14" spans="1:4" x14ac:dyDescent="0.35">
      <c r="A14" s="1">
        <v>148</v>
      </c>
      <c r="B14" s="1" t="s">
        <v>64</v>
      </c>
      <c r="C14" s="1" t="s">
        <v>66</v>
      </c>
      <c r="D14" s="1">
        <v>3021</v>
      </c>
    </row>
    <row r="15" spans="1:4" x14ac:dyDescent="0.35">
      <c r="A15" s="1">
        <v>31</v>
      </c>
      <c r="B15" s="1" t="s">
        <v>103</v>
      </c>
      <c r="C15" s="1" t="s">
        <v>63</v>
      </c>
      <c r="D15" s="1">
        <v>3006</v>
      </c>
    </row>
    <row r="16" spans="1:4" x14ac:dyDescent="0.35">
      <c r="A16" s="1">
        <v>102</v>
      </c>
      <c r="B16" s="1" t="s">
        <v>66</v>
      </c>
      <c r="C16" s="1" t="s">
        <v>67</v>
      </c>
      <c r="D16" s="1">
        <v>2940</v>
      </c>
    </row>
    <row r="17" spans="1:4" x14ac:dyDescent="0.35">
      <c r="A17" s="1">
        <v>27</v>
      </c>
      <c r="B17" s="1" t="s">
        <v>104</v>
      </c>
      <c r="C17" s="1" t="s">
        <v>64</v>
      </c>
      <c r="D17" s="1">
        <v>2916</v>
      </c>
    </row>
    <row r="18" spans="1:4" x14ac:dyDescent="0.35">
      <c r="A18" s="1">
        <v>259</v>
      </c>
      <c r="B18" s="1" t="s">
        <v>65</v>
      </c>
      <c r="C18" s="1" t="s">
        <v>63</v>
      </c>
      <c r="D18" s="1">
        <v>2904</v>
      </c>
    </row>
    <row r="19" spans="1:4" x14ac:dyDescent="0.35">
      <c r="A19" s="1">
        <v>182</v>
      </c>
      <c r="B19" s="1" t="s">
        <v>100</v>
      </c>
      <c r="C19" s="1" t="s">
        <v>68</v>
      </c>
      <c r="D19" s="1">
        <v>2839</v>
      </c>
    </row>
    <row r="20" spans="1:4" x14ac:dyDescent="0.35">
      <c r="A20" s="1">
        <v>119</v>
      </c>
      <c r="B20" s="1" t="s">
        <v>105</v>
      </c>
      <c r="C20" s="1" t="s">
        <v>68</v>
      </c>
      <c r="D20" s="1">
        <v>2822</v>
      </c>
    </row>
    <row r="21" spans="1:4" x14ac:dyDescent="0.35">
      <c r="A21" s="1">
        <v>257</v>
      </c>
      <c r="B21" s="1" t="s">
        <v>105</v>
      </c>
      <c r="C21" s="1" t="s">
        <v>64</v>
      </c>
      <c r="D21" s="1">
        <v>2794</v>
      </c>
    </row>
    <row r="22" spans="1:4" x14ac:dyDescent="0.35">
      <c r="A22" s="1">
        <v>264</v>
      </c>
      <c r="B22" s="1" t="s">
        <v>98</v>
      </c>
      <c r="C22" s="1" t="s">
        <v>65</v>
      </c>
      <c r="D22" s="1">
        <v>2768</v>
      </c>
    </row>
    <row r="23" spans="1:4" x14ac:dyDescent="0.35">
      <c r="A23" s="1">
        <v>97</v>
      </c>
      <c r="B23" s="1" t="s">
        <v>67</v>
      </c>
      <c r="C23" s="1" t="s">
        <v>68</v>
      </c>
      <c r="D23" s="1">
        <v>2746</v>
      </c>
    </row>
    <row r="24" spans="1:4" x14ac:dyDescent="0.35">
      <c r="A24" s="1">
        <v>170</v>
      </c>
      <c r="B24" s="1" t="s">
        <v>99</v>
      </c>
      <c r="C24" s="1" t="s">
        <v>65</v>
      </c>
      <c r="D24" s="1">
        <v>2729</v>
      </c>
    </row>
    <row r="25" spans="1:4" x14ac:dyDescent="0.35">
      <c r="A25" s="1">
        <v>231</v>
      </c>
      <c r="B25" s="1" t="s">
        <v>96</v>
      </c>
      <c r="C25" s="1" t="s">
        <v>65</v>
      </c>
      <c r="D25" s="1">
        <v>2724</v>
      </c>
    </row>
    <row r="26" spans="1:4" x14ac:dyDescent="0.35">
      <c r="A26" s="1">
        <v>168</v>
      </c>
      <c r="B26" s="1" t="s">
        <v>96</v>
      </c>
      <c r="C26" s="1" t="s">
        <v>66</v>
      </c>
      <c r="D26" s="1">
        <v>2690</v>
      </c>
    </row>
    <row r="27" spans="1:4" x14ac:dyDescent="0.35">
      <c r="A27" s="1">
        <v>272</v>
      </c>
      <c r="B27" s="1" t="s">
        <v>99</v>
      </c>
      <c r="C27" s="1" t="s">
        <v>65</v>
      </c>
      <c r="D27" s="1">
        <v>2682</v>
      </c>
    </row>
    <row r="28" spans="1:4" x14ac:dyDescent="0.35">
      <c r="A28" s="1">
        <v>147</v>
      </c>
      <c r="B28" s="1" t="s">
        <v>101</v>
      </c>
      <c r="C28" s="1" t="s">
        <v>65</v>
      </c>
      <c r="D28" s="1">
        <v>2664</v>
      </c>
    </row>
    <row r="29" spans="1:4" x14ac:dyDescent="0.35">
      <c r="A29" s="1">
        <v>28</v>
      </c>
      <c r="B29" s="1" t="s">
        <v>75</v>
      </c>
      <c r="C29" s="1" t="s">
        <v>63</v>
      </c>
      <c r="D29" s="1">
        <v>2659</v>
      </c>
    </row>
    <row r="30" spans="1:4" x14ac:dyDescent="0.35">
      <c r="A30" s="1">
        <v>133</v>
      </c>
      <c r="B30" s="1" t="s">
        <v>101</v>
      </c>
      <c r="C30" s="1" t="s">
        <v>66</v>
      </c>
      <c r="D30" s="1">
        <v>2617</v>
      </c>
    </row>
    <row r="31" spans="1:4" x14ac:dyDescent="0.35">
      <c r="A31" s="1">
        <v>120</v>
      </c>
      <c r="B31" s="1" t="s">
        <v>95</v>
      </c>
      <c r="C31" s="1" t="s">
        <v>67</v>
      </c>
      <c r="D31" s="1">
        <v>2610</v>
      </c>
    </row>
    <row r="32" spans="1:4" x14ac:dyDescent="0.35">
      <c r="A32" s="1">
        <v>228</v>
      </c>
      <c r="B32" s="1" t="s">
        <v>68</v>
      </c>
      <c r="C32" s="1" t="s">
        <v>67</v>
      </c>
      <c r="D32" s="1">
        <v>2564</v>
      </c>
    </row>
    <row r="33" spans="1:4" x14ac:dyDescent="0.35">
      <c r="A33" s="1">
        <v>49</v>
      </c>
      <c r="B33" s="1" t="s">
        <v>74</v>
      </c>
      <c r="C33" s="1" t="s">
        <v>66</v>
      </c>
      <c r="D33" s="1">
        <v>2504</v>
      </c>
    </row>
    <row r="34" spans="1:4" x14ac:dyDescent="0.35">
      <c r="A34" s="1">
        <v>286</v>
      </c>
      <c r="B34" s="1" t="s">
        <v>106</v>
      </c>
      <c r="C34" s="1" t="s">
        <v>63</v>
      </c>
      <c r="D34" s="1">
        <v>2494</v>
      </c>
    </row>
    <row r="35" spans="1:4" x14ac:dyDescent="0.35">
      <c r="A35" s="1">
        <v>105</v>
      </c>
      <c r="B35" s="1" t="s">
        <v>74</v>
      </c>
      <c r="C35" s="1" t="s">
        <v>63</v>
      </c>
      <c r="D35" s="1">
        <v>2464</v>
      </c>
    </row>
    <row r="36" spans="1:4" x14ac:dyDescent="0.35">
      <c r="A36" s="1">
        <v>60</v>
      </c>
      <c r="B36" s="1" t="s">
        <v>95</v>
      </c>
      <c r="C36" s="1" t="s">
        <v>67</v>
      </c>
      <c r="D36" s="1">
        <v>2400</v>
      </c>
    </row>
    <row r="37" spans="1:4" x14ac:dyDescent="0.35">
      <c r="A37" s="1">
        <v>174</v>
      </c>
      <c r="B37" s="1" t="s">
        <v>102</v>
      </c>
      <c r="C37" s="1" t="s">
        <v>63</v>
      </c>
      <c r="D37" s="1">
        <v>2339</v>
      </c>
    </row>
    <row r="38" spans="1:4" x14ac:dyDescent="0.35">
      <c r="A38" s="1">
        <v>129</v>
      </c>
      <c r="B38" s="1" t="s">
        <v>107</v>
      </c>
      <c r="C38" s="1" t="s">
        <v>65</v>
      </c>
      <c r="D38" s="1">
        <v>2338</v>
      </c>
    </row>
    <row r="39" spans="1:4" x14ac:dyDescent="0.35">
      <c r="A39" s="1">
        <v>233</v>
      </c>
      <c r="B39" s="1" t="s">
        <v>108</v>
      </c>
      <c r="C39" s="1" t="s">
        <v>68</v>
      </c>
      <c r="D39" s="1">
        <v>2307</v>
      </c>
    </row>
    <row r="40" spans="1:4" x14ac:dyDescent="0.35">
      <c r="A40" s="1">
        <v>126</v>
      </c>
      <c r="B40" s="1" t="s">
        <v>98</v>
      </c>
      <c r="C40" s="1" t="s">
        <v>64</v>
      </c>
      <c r="D40" s="1">
        <v>2305</v>
      </c>
    </row>
    <row r="41" spans="1:4" x14ac:dyDescent="0.35">
      <c r="A41" s="1">
        <v>248</v>
      </c>
      <c r="B41" s="1" t="s">
        <v>65</v>
      </c>
      <c r="C41" s="1" t="s">
        <v>68</v>
      </c>
      <c r="D41" s="1">
        <v>2268</v>
      </c>
    </row>
    <row r="42" spans="1:4" x14ac:dyDescent="0.35">
      <c r="A42" s="1">
        <v>70</v>
      </c>
      <c r="B42" s="1" t="s">
        <v>109</v>
      </c>
      <c r="C42" s="1" t="s">
        <v>64</v>
      </c>
      <c r="D42" s="1">
        <v>2266</v>
      </c>
    </row>
    <row r="43" spans="1:4" x14ac:dyDescent="0.35">
      <c r="A43" s="1">
        <v>234</v>
      </c>
      <c r="B43" s="1" t="s">
        <v>110</v>
      </c>
      <c r="C43" s="1" t="s">
        <v>66</v>
      </c>
      <c r="D43" s="1">
        <v>2260</v>
      </c>
    </row>
    <row r="44" spans="1:4" x14ac:dyDescent="0.35">
      <c r="A44" s="1">
        <v>258</v>
      </c>
      <c r="B44" s="1" t="s">
        <v>101</v>
      </c>
      <c r="C44" s="1" t="s">
        <v>64</v>
      </c>
      <c r="D44" s="1">
        <v>2238</v>
      </c>
    </row>
    <row r="45" spans="1:4" x14ac:dyDescent="0.35">
      <c r="A45" s="1">
        <v>218</v>
      </c>
      <c r="B45" s="1" t="s">
        <v>108</v>
      </c>
      <c r="C45" s="1" t="s">
        <v>63</v>
      </c>
      <c r="D45" s="1">
        <v>2233</v>
      </c>
    </row>
    <row r="46" spans="1:4" x14ac:dyDescent="0.35">
      <c r="A46" s="1">
        <v>83</v>
      </c>
      <c r="B46" s="1" t="s">
        <v>107</v>
      </c>
      <c r="C46" s="1" t="s">
        <v>68</v>
      </c>
      <c r="D46" s="1">
        <v>2229</v>
      </c>
    </row>
    <row r="47" spans="1:4" x14ac:dyDescent="0.35">
      <c r="A47" s="1">
        <v>65</v>
      </c>
      <c r="B47" s="1" t="s">
        <v>65</v>
      </c>
      <c r="C47" s="1" t="s">
        <v>67</v>
      </c>
      <c r="D47" s="1">
        <v>2193</v>
      </c>
    </row>
    <row r="48" spans="1:4" x14ac:dyDescent="0.35">
      <c r="A48" s="1">
        <v>289</v>
      </c>
      <c r="B48" s="1" t="s">
        <v>75</v>
      </c>
      <c r="C48" s="1" t="s">
        <v>68</v>
      </c>
      <c r="D48" s="1">
        <v>2192</v>
      </c>
    </row>
    <row r="49" spans="1:4" x14ac:dyDescent="0.35">
      <c r="A49" s="1">
        <v>80</v>
      </c>
      <c r="B49" s="1" t="s">
        <v>106</v>
      </c>
      <c r="C49" s="1" t="s">
        <v>65</v>
      </c>
      <c r="D49" s="1">
        <v>2133</v>
      </c>
    </row>
    <row r="50" spans="1:4" x14ac:dyDescent="0.35">
      <c r="A50" s="1">
        <v>136</v>
      </c>
      <c r="B50" s="1" t="s">
        <v>106</v>
      </c>
      <c r="C50" s="1" t="s">
        <v>65</v>
      </c>
      <c r="D50" s="1">
        <v>2083</v>
      </c>
    </row>
    <row r="51" spans="1:4" x14ac:dyDescent="0.35">
      <c r="A51">
        <v>16</v>
      </c>
      <c r="B51" s="1" t="s">
        <v>110</v>
      </c>
      <c r="C51" s="1" t="s">
        <v>66</v>
      </c>
      <c r="D51">
        <v>1991</v>
      </c>
    </row>
    <row r="52" spans="1:4" x14ac:dyDescent="0.35">
      <c r="A52">
        <v>139</v>
      </c>
      <c r="B52" s="1" t="s">
        <v>109</v>
      </c>
      <c r="C52" s="1" t="s">
        <v>66</v>
      </c>
      <c r="D52">
        <v>1986</v>
      </c>
    </row>
    <row r="53" spans="1:4" x14ac:dyDescent="0.35">
      <c r="A53">
        <v>203</v>
      </c>
      <c r="B53" s="1" t="s">
        <v>73</v>
      </c>
      <c r="C53" s="1" t="s">
        <v>67</v>
      </c>
      <c r="D53">
        <v>1975</v>
      </c>
    </row>
    <row r="54" spans="1:4" x14ac:dyDescent="0.35">
      <c r="A54">
        <v>199</v>
      </c>
      <c r="B54" s="1" t="s">
        <v>74</v>
      </c>
      <c r="C54" s="1" t="s">
        <v>67</v>
      </c>
      <c r="D54">
        <v>1918</v>
      </c>
    </row>
    <row r="55" spans="1:4" x14ac:dyDescent="0.35">
      <c r="A55">
        <v>14</v>
      </c>
      <c r="B55" s="1" t="s">
        <v>108</v>
      </c>
      <c r="C55" s="1" t="s">
        <v>63</v>
      </c>
      <c r="D55">
        <v>1865</v>
      </c>
    </row>
    <row r="56" spans="1:4" x14ac:dyDescent="0.35">
      <c r="A56">
        <v>171</v>
      </c>
      <c r="B56" s="1" t="s">
        <v>101</v>
      </c>
      <c r="C56" s="1" t="s">
        <v>63</v>
      </c>
      <c r="D56">
        <v>1806</v>
      </c>
    </row>
    <row r="57" spans="1:4" x14ac:dyDescent="0.35">
      <c r="A57">
        <v>204</v>
      </c>
      <c r="B57" s="1" t="s">
        <v>98</v>
      </c>
      <c r="C57" s="1" t="s">
        <v>70</v>
      </c>
      <c r="D57">
        <v>1798</v>
      </c>
    </row>
    <row r="58" spans="1:4" x14ac:dyDescent="0.35">
      <c r="A58">
        <v>220</v>
      </c>
      <c r="B58" s="1" t="s">
        <v>96</v>
      </c>
      <c r="C58" s="1" t="s">
        <v>71</v>
      </c>
      <c r="D58">
        <v>1794</v>
      </c>
    </row>
    <row r="59" spans="1:4" x14ac:dyDescent="0.35">
      <c r="A59">
        <v>53</v>
      </c>
      <c r="B59" s="1" t="s">
        <v>75</v>
      </c>
      <c r="C59" s="1" t="s">
        <v>71</v>
      </c>
      <c r="D59">
        <v>1794</v>
      </c>
    </row>
    <row r="60" spans="1:4" x14ac:dyDescent="0.35">
      <c r="A60">
        <v>94</v>
      </c>
      <c r="B60" s="1" t="s">
        <v>98</v>
      </c>
      <c r="C60" s="1" t="s">
        <v>69</v>
      </c>
      <c r="D60">
        <v>1793</v>
      </c>
    </row>
    <row r="61" spans="1:4" x14ac:dyDescent="0.35">
      <c r="A61">
        <v>277</v>
      </c>
      <c r="B61" s="1" t="s">
        <v>105</v>
      </c>
      <c r="C61" s="1" t="s">
        <v>70</v>
      </c>
      <c r="D61">
        <v>1793</v>
      </c>
    </row>
    <row r="62" spans="1:4" x14ac:dyDescent="0.35">
      <c r="A62">
        <v>261</v>
      </c>
      <c r="B62" s="1" t="s">
        <v>105</v>
      </c>
      <c r="C62" s="1" t="s">
        <v>74</v>
      </c>
      <c r="D62">
        <v>1781</v>
      </c>
    </row>
    <row r="63" spans="1:4" x14ac:dyDescent="0.35">
      <c r="A63">
        <v>159</v>
      </c>
      <c r="B63" s="1" t="s">
        <v>65</v>
      </c>
      <c r="C63" s="1" t="s">
        <v>73</v>
      </c>
      <c r="D63">
        <v>1776</v>
      </c>
    </row>
    <row r="64" spans="1:4" x14ac:dyDescent="0.35">
      <c r="A64">
        <v>173</v>
      </c>
      <c r="B64" s="1" t="s">
        <v>107</v>
      </c>
      <c r="C64" s="1" t="s">
        <v>72</v>
      </c>
      <c r="D64">
        <v>1773</v>
      </c>
    </row>
    <row r="65" spans="1:4" x14ac:dyDescent="0.35">
      <c r="A65">
        <v>115</v>
      </c>
      <c r="B65" s="1" t="s">
        <v>67</v>
      </c>
      <c r="C65" s="1" t="s">
        <v>72</v>
      </c>
      <c r="D65">
        <v>1770</v>
      </c>
    </row>
    <row r="66" spans="1:4" x14ac:dyDescent="0.35">
      <c r="A66">
        <v>24</v>
      </c>
      <c r="B66" s="1" t="s">
        <v>110</v>
      </c>
      <c r="C66" s="1" t="s">
        <v>75</v>
      </c>
      <c r="D66">
        <v>1766</v>
      </c>
    </row>
    <row r="67" spans="1:4" x14ac:dyDescent="0.35">
      <c r="A67">
        <v>223</v>
      </c>
      <c r="B67" s="1" t="s">
        <v>102</v>
      </c>
      <c r="C67" s="1" t="s">
        <v>99</v>
      </c>
      <c r="D67">
        <v>1760</v>
      </c>
    </row>
    <row r="68" spans="1:4" x14ac:dyDescent="0.35">
      <c r="A68">
        <v>245</v>
      </c>
      <c r="B68" s="1" t="s">
        <v>96</v>
      </c>
      <c r="C68" s="1" t="s">
        <v>103</v>
      </c>
      <c r="D68">
        <v>1749</v>
      </c>
    </row>
    <row r="69" spans="1:4" x14ac:dyDescent="0.35">
      <c r="A69">
        <v>66</v>
      </c>
      <c r="B69" s="1" t="s">
        <v>95</v>
      </c>
      <c r="C69" s="1" t="s">
        <v>96</v>
      </c>
      <c r="D69">
        <v>1742</v>
      </c>
    </row>
    <row r="70" spans="1:4" x14ac:dyDescent="0.35">
      <c r="A70">
        <v>86</v>
      </c>
      <c r="B70" s="1" t="s">
        <v>63</v>
      </c>
      <c r="C70" s="1" t="s">
        <v>110</v>
      </c>
      <c r="D70">
        <v>1737</v>
      </c>
    </row>
    <row r="71" spans="1:4" x14ac:dyDescent="0.35">
      <c r="A71">
        <v>26</v>
      </c>
      <c r="B71" s="1" t="s">
        <v>107</v>
      </c>
      <c r="C71" s="1" t="s">
        <v>71</v>
      </c>
      <c r="D71">
        <v>1736</v>
      </c>
    </row>
    <row r="72" spans="1:4" x14ac:dyDescent="0.35">
      <c r="A72">
        <v>36</v>
      </c>
      <c r="B72" s="1" t="s">
        <v>68</v>
      </c>
      <c r="C72" s="1" t="s">
        <v>111</v>
      </c>
      <c r="D72">
        <v>1729</v>
      </c>
    </row>
    <row r="73" spans="1:4" x14ac:dyDescent="0.35">
      <c r="A73">
        <v>221</v>
      </c>
      <c r="B73" s="1" t="s">
        <v>97</v>
      </c>
      <c r="C73" s="1" t="s">
        <v>103</v>
      </c>
      <c r="D73">
        <v>1712</v>
      </c>
    </row>
    <row r="74" spans="1:4" x14ac:dyDescent="0.35">
      <c r="A74">
        <v>101</v>
      </c>
      <c r="B74" s="1" t="s">
        <v>70</v>
      </c>
      <c r="C74" s="1" t="s">
        <v>111</v>
      </c>
      <c r="D74">
        <v>1709</v>
      </c>
    </row>
    <row r="75" spans="1:4" x14ac:dyDescent="0.35">
      <c r="A75">
        <v>104</v>
      </c>
      <c r="B75" s="1" t="s">
        <v>63</v>
      </c>
      <c r="C75" s="1" t="s">
        <v>108</v>
      </c>
      <c r="D75">
        <v>1702</v>
      </c>
    </row>
    <row r="76" spans="1:4" x14ac:dyDescent="0.35">
      <c r="A76">
        <v>87</v>
      </c>
      <c r="B76" s="1" t="s">
        <v>111</v>
      </c>
      <c r="C76" s="1" t="s">
        <v>75</v>
      </c>
      <c r="D76">
        <v>1699</v>
      </c>
    </row>
    <row r="77" spans="1:4" x14ac:dyDescent="0.35">
      <c r="A77">
        <v>161</v>
      </c>
      <c r="B77" s="1" t="s">
        <v>74</v>
      </c>
      <c r="C77" s="1" t="s">
        <v>110</v>
      </c>
      <c r="D77">
        <v>1696</v>
      </c>
    </row>
    <row r="78" spans="1:4" x14ac:dyDescent="0.35">
      <c r="A78">
        <v>146</v>
      </c>
      <c r="B78" s="1" t="s">
        <v>111</v>
      </c>
      <c r="C78" s="1" t="s">
        <v>69</v>
      </c>
      <c r="D78">
        <v>1693</v>
      </c>
    </row>
    <row r="79" spans="1:4" x14ac:dyDescent="0.35">
      <c r="A79">
        <v>9</v>
      </c>
      <c r="B79" s="1" t="s">
        <v>100</v>
      </c>
      <c r="C79" s="1" t="s">
        <v>103</v>
      </c>
      <c r="D79">
        <v>1685</v>
      </c>
    </row>
    <row r="80" spans="1:4" x14ac:dyDescent="0.35">
      <c r="A80">
        <v>279</v>
      </c>
      <c r="B80" s="1" t="s">
        <v>109</v>
      </c>
      <c r="C80" s="1" t="s">
        <v>100</v>
      </c>
      <c r="D80">
        <v>1679</v>
      </c>
    </row>
    <row r="81" spans="1:4" x14ac:dyDescent="0.35">
      <c r="A81">
        <v>226</v>
      </c>
      <c r="B81" s="1" t="s">
        <v>98</v>
      </c>
      <c r="C81" s="1" t="s">
        <v>102</v>
      </c>
      <c r="D81">
        <v>1675</v>
      </c>
    </row>
    <row r="82" spans="1:4" x14ac:dyDescent="0.35">
      <c r="A82">
        <v>84</v>
      </c>
      <c r="B82" s="1" t="s">
        <v>100</v>
      </c>
      <c r="C82" s="1" t="s">
        <v>102</v>
      </c>
      <c r="D82">
        <v>1672</v>
      </c>
    </row>
    <row r="83" spans="1:4" x14ac:dyDescent="0.35">
      <c r="A83">
        <v>256</v>
      </c>
      <c r="B83" s="1" t="s">
        <v>95</v>
      </c>
      <c r="C83" s="1" t="s">
        <v>96</v>
      </c>
      <c r="D83">
        <v>1670</v>
      </c>
    </row>
    <row r="84" spans="1:4" x14ac:dyDescent="0.35">
      <c r="A84">
        <v>69</v>
      </c>
      <c r="B84" s="1" t="s">
        <v>98</v>
      </c>
      <c r="C84" s="1" t="s">
        <v>108</v>
      </c>
      <c r="D84">
        <v>1654</v>
      </c>
    </row>
    <row r="85" spans="1:4" x14ac:dyDescent="0.35">
      <c r="A85">
        <v>271</v>
      </c>
      <c r="B85" s="1" t="s">
        <v>74</v>
      </c>
      <c r="C85" s="1" t="s">
        <v>75</v>
      </c>
      <c r="D85">
        <v>1649</v>
      </c>
    </row>
    <row r="86" spans="1:4" x14ac:dyDescent="0.35">
      <c r="A86">
        <v>118</v>
      </c>
      <c r="B86" s="1" t="s">
        <v>100</v>
      </c>
      <c r="C86" s="1" t="s">
        <v>102</v>
      </c>
      <c r="D86">
        <v>1642</v>
      </c>
    </row>
    <row r="87" spans="1:4" x14ac:dyDescent="0.35">
      <c r="A87">
        <v>280</v>
      </c>
      <c r="B87" s="1" t="s">
        <v>107</v>
      </c>
      <c r="C87" s="1" t="s">
        <v>108</v>
      </c>
      <c r="D87">
        <v>1638</v>
      </c>
    </row>
    <row r="88" spans="1:4" x14ac:dyDescent="0.35">
      <c r="A88">
        <v>227</v>
      </c>
      <c r="B88" s="1" t="s">
        <v>97</v>
      </c>
      <c r="C88" s="1" t="s">
        <v>107</v>
      </c>
      <c r="D88">
        <v>1630</v>
      </c>
    </row>
    <row r="89" spans="1:4" x14ac:dyDescent="0.35">
      <c r="A89">
        <v>88</v>
      </c>
      <c r="B89" s="1" t="s">
        <v>69</v>
      </c>
      <c r="C89" s="1" t="s">
        <v>103</v>
      </c>
      <c r="D89">
        <v>1627</v>
      </c>
    </row>
    <row r="90" spans="1:4" x14ac:dyDescent="0.35">
      <c r="A90">
        <v>281</v>
      </c>
      <c r="B90" s="1" t="s">
        <v>75</v>
      </c>
      <c r="C90" s="1" t="s">
        <v>69</v>
      </c>
      <c r="D90">
        <v>1623</v>
      </c>
    </row>
    <row r="91" spans="1:4" x14ac:dyDescent="0.35">
      <c r="A91">
        <v>121</v>
      </c>
      <c r="B91" s="1" t="s">
        <v>105</v>
      </c>
      <c r="C91" s="1" t="s">
        <v>95</v>
      </c>
      <c r="D91">
        <v>1616</v>
      </c>
    </row>
    <row r="92" spans="1:4" x14ac:dyDescent="0.35">
      <c r="A92">
        <v>164</v>
      </c>
      <c r="B92" s="1" t="s">
        <v>71</v>
      </c>
      <c r="C92" s="1" t="s">
        <v>95</v>
      </c>
      <c r="D92">
        <v>1612</v>
      </c>
    </row>
    <row r="93" spans="1:4" x14ac:dyDescent="0.35">
      <c r="A93">
        <v>100</v>
      </c>
      <c r="B93" s="1" t="s">
        <v>105</v>
      </c>
      <c r="C93" s="1" t="s">
        <v>70</v>
      </c>
      <c r="D93">
        <v>1610</v>
      </c>
    </row>
    <row r="94" spans="1:4" x14ac:dyDescent="0.35">
      <c r="A94">
        <v>1</v>
      </c>
      <c r="B94" s="1" t="s">
        <v>64</v>
      </c>
      <c r="C94" s="1" t="s">
        <v>102</v>
      </c>
      <c r="D94">
        <v>1609</v>
      </c>
    </row>
    <row r="95" spans="1:4" x14ac:dyDescent="0.35">
      <c r="A95">
        <v>91</v>
      </c>
      <c r="B95" s="1" t="s">
        <v>95</v>
      </c>
      <c r="C95" s="1" t="s">
        <v>96</v>
      </c>
      <c r="D95">
        <v>1600</v>
      </c>
    </row>
    <row r="96" spans="1:4" x14ac:dyDescent="0.35">
      <c r="A96">
        <v>246</v>
      </c>
      <c r="B96" s="1" t="s">
        <v>75</v>
      </c>
      <c r="C96" s="1" t="s">
        <v>69</v>
      </c>
      <c r="D96">
        <v>1592</v>
      </c>
    </row>
    <row r="97" spans="1:4" x14ac:dyDescent="0.35">
      <c r="A97">
        <v>61</v>
      </c>
      <c r="B97" s="1" t="s">
        <v>103</v>
      </c>
      <c r="C97" s="1" t="s">
        <v>108</v>
      </c>
      <c r="D97">
        <v>1587</v>
      </c>
    </row>
    <row r="98" spans="1:4" x14ac:dyDescent="0.35">
      <c r="A98">
        <v>179</v>
      </c>
      <c r="B98" s="1" t="s">
        <v>68</v>
      </c>
      <c r="C98" s="1" t="s">
        <v>101</v>
      </c>
      <c r="D98">
        <v>1580</v>
      </c>
    </row>
    <row r="99" spans="1:4" x14ac:dyDescent="0.35">
      <c r="A99">
        <v>62</v>
      </c>
      <c r="B99" s="1" t="s">
        <v>75</v>
      </c>
      <c r="C99" s="1" t="s">
        <v>110</v>
      </c>
      <c r="D99">
        <v>1566</v>
      </c>
    </row>
    <row r="100" spans="1:4" x14ac:dyDescent="0.35">
      <c r="A100">
        <v>90</v>
      </c>
      <c r="B100" s="1" t="s">
        <v>65</v>
      </c>
      <c r="C100" s="1" t="s">
        <v>72</v>
      </c>
      <c r="D100">
        <v>1547</v>
      </c>
    </row>
    <row r="101" spans="1:4" x14ac:dyDescent="0.35">
      <c r="A101">
        <v>183</v>
      </c>
      <c r="B101" s="1" t="s">
        <v>106</v>
      </c>
      <c r="C101" s="1" t="s">
        <v>71</v>
      </c>
      <c r="D101">
        <v>1547</v>
      </c>
    </row>
    <row r="102" spans="1:4" x14ac:dyDescent="0.35">
      <c r="A102">
        <v>216</v>
      </c>
      <c r="B102" s="1" t="s">
        <v>73</v>
      </c>
      <c r="C102" s="1" t="s">
        <v>70</v>
      </c>
      <c r="D102">
        <v>1542</v>
      </c>
    </row>
    <row r="103" spans="1:4" x14ac:dyDescent="0.35">
      <c r="A103">
        <v>50</v>
      </c>
      <c r="B103" s="1" t="s">
        <v>67</v>
      </c>
      <c r="C103" s="1" t="s">
        <v>97</v>
      </c>
      <c r="D103">
        <v>1536</v>
      </c>
    </row>
    <row r="104" spans="1:4" x14ac:dyDescent="0.35">
      <c r="A104">
        <v>191</v>
      </c>
      <c r="B104" s="1" t="s">
        <v>109</v>
      </c>
      <c r="C104" s="1" t="s">
        <v>98</v>
      </c>
      <c r="D104">
        <v>1526</v>
      </c>
    </row>
    <row r="105" spans="1:4" x14ac:dyDescent="0.35">
      <c r="A105">
        <v>152</v>
      </c>
      <c r="B105" s="1" t="s">
        <v>95</v>
      </c>
      <c r="C105" s="1" t="s">
        <v>72</v>
      </c>
      <c r="D105">
        <v>1520</v>
      </c>
    </row>
    <row r="106" spans="1:4" x14ac:dyDescent="0.35">
      <c r="A106">
        <v>12</v>
      </c>
      <c r="B106" s="1" t="s">
        <v>100</v>
      </c>
      <c r="C106" s="1" t="s">
        <v>72</v>
      </c>
      <c r="D106">
        <v>1509</v>
      </c>
    </row>
    <row r="107" spans="1:4" x14ac:dyDescent="0.35">
      <c r="A107">
        <v>241</v>
      </c>
      <c r="B107" s="1" t="s">
        <v>68</v>
      </c>
      <c r="C107" s="1" t="s">
        <v>104</v>
      </c>
      <c r="D107">
        <v>1505</v>
      </c>
    </row>
    <row r="108" spans="1:4" x14ac:dyDescent="0.35">
      <c r="A108">
        <v>238</v>
      </c>
      <c r="B108" s="1" t="s">
        <v>74</v>
      </c>
      <c r="C108" s="1" t="s">
        <v>98</v>
      </c>
      <c r="D108">
        <v>1504</v>
      </c>
    </row>
    <row r="109" spans="1:4" x14ac:dyDescent="0.35">
      <c r="A109">
        <v>130</v>
      </c>
      <c r="B109" s="1" t="s">
        <v>63</v>
      </c>
      <c r="C109" s="1" t="s">
        <v>98</v>
      </c>
      <c r="D109">
        <v>1497</v>
      </c>
    </row>
    <row r="110" spans="1:4" x14ac:dyDescent="0.35">
      <c r="A110">
        <v>132</v>
      </c>
      <c r="B110" s="1" t="s">
        <v>66</v>
      </c>
      <c r="C110" s="1" t="s">
        <v>97</v>
      </c>
      <c r="D110">
        <v>1495</v>
      </c>
    </row>
    <row r="111" spans="1:4" x14ac:dyDescent="0.35">
      <c r="A111">
        <v>64</v>
      </c>
      <c r="B111" s="1" t="s">
        <v>99</v>
      </c>
      <c r="C111" s="1" t="s">
        <v>72</v>
      </c>
      <c r="D111">
        <v>1482</v>
      </c>
    </row>
    <row r="112" spans="1:4" x14ac:dyDescent="0.35">
      <c r="A112">
        <v>263</v>
      </c>
      <c r="B112" s="1" t="s">
        <v>105</v>
      </c>
      <c r="C112" s="1" t="s">
        <v>104</v>
      </c>
      <c r="D112">
        <v>1480</v>
      </c>
    </row>
    <row r="113" spans="1:4" x14ac:dyDescent="0.35">
      <c r="A113">
        <v>262</v>
      </c>
      <c r="B113" s="1" t="s">
        <v>106</v>
      </c>
      <c r="C113" s="1" t="s">
        <v>96</v>
      </c>
      <c r="D113">
        <v>1469</v>
      </c>
    </row>
    <row r="114" spans="1:4" x14ac:dyDescent="0.35">
      <c r="A114">
        <v>201</v>
      </c>
      <c r="B114" s="1" t="s">
        <v>67</v>
      </c>
      <c r="C114" s="1" t="s">
        <v>104</v>
      </c>
      <c r="D114">
        <v>1461</v>
      </c>
    </row>
    <row r="115" spans="1:4" x14ac:dyDescent="0.35">
      <c r="A115">
        <v>114</v>
      </c>
      <c r="B115" s="1" t="s">
        <v>104</v>
      </c>
      <c r="C115" s="1" t="s">
        <v>75</v>
      </c>
      <c r="D115">
        <v>1461</v>
      </c>
    </row>
    <row r="116" spans="1:4" x14ac:dyDescent="0.35">
      <c r="A116">
        <v>127</v>
      </c>
      <c r="B116" s="1" t="s">
        <v>63</v>
      </c>
      <c r="C116" s="1" t="s">
        <v>99</v>
      </c>
      <c r="D116">
        <v>1449</v>
      </c>
    </row>
    <row r="117" spans="1:4" x14ac:dyDescent="0.35">
      <c r="A117">
        <v>22</v>
      </c>
      <c r="B117" s="1" t="s">
        <v>97</v>
      </c>
      <c r="C117" s="1" t="s">
        <v>95</v>
      </c>
      <c r="D117">
        <v>1449</v>
      </c>
    </row>
    <row r="118" spans="1:4" x14ac:dyDescent="0.35">
      <c r="A118">
        <v>239</v>
      </c>
      <c r="B118" s="1" t="s">
        <v>71</v>
      </c>
      <c r="C118" s="1" t="s">
        <v>111</v>
      </c>
      <c r="D118">
        <v>1434</v>
      </c>
    </row>
    <row r="119" spans="1:4" x14ac:dyDescent="0.35">
      <c r="A119">
        <v>156</v>
      </c>
      <c r="B119" s="1" t="s">
        <v>104</v>
      </c>
      <c r="C119" s="1" t="s">
        <v>73</v>
      </c>
      <c r="D119">
        <v>1433</v>
      </c>
    </row>
    <row r="120" spans="1:4" x14ac:dyDescent="0.35">
      <c r="A120">
        <v>59</v>
      </c>
      <c r="B120" s="1" t="s">
        <v>72</v>
      </c>
      <c r="C120" s="1" t="s">
        <v>110</v>
      </c>
      <c r="D120">
        <v>1430</v>
      </c>
    </row>
    <row r="121" spans="1:4" x14ac:dyDescent="0.35">
      <c r="A121">
        <v>212</v>
      </c>
      <c r="B121" s="1" t="s">
        <v>103</v>
      </c>
      <c r="C121" s="1" t="s">
        <v>95</v>
      </c>
      <c r="D121">
        <v>1425</v>
      </c>
    </row>
    <row r="122" spans="1:4" x14ac:dyDescent="0.35">
      <c r="A122">
        <v>10</v>
      </c>
      <c r="B122" s="1" t="s">
        <v>106</v>
      </c>
      <c r="C122" s="1" t="s">
        <v>73</v>
      </c>
      <c r="D122">
        <v>1416</v>
      </c>
    </row>
    <row r="123" spans="1:4" x14ac:dyDescent="0.35">
      <c r="A123">
        <v>188</v>
      </c>
      <c r="B123" s="1" t="s">
        <v>105</v>
      </c>
      <c r="C123" s="1" t="s">
        <v>108</v>
      </c>
      <c r="D123">
        <v>1404</v>
      </c>
    </row>
    <row r="124" spans="1:4" x14ac:dyDescent="0.35">
      <c r="A124">
        <v>219</v>
      </c>
      <c r="B124" s="1" t="s">
        <v>64</v>
      </c>
      <c r="C124" s="1" t="s">
        <v>106</v>
      </c>
      <c r="D124">
        <v>1404</v>
      </c>
    </row>
    <row r="125" spans="1:4" x14ac:dyDescent="0.35">
      <c r="A125">
        <v>128</v>
      </c>
      <c r="B125" s="1" t="s">
        <v>105</v>
      </c>
      <c r="C125" s="1" t="s">
        <v>70</v>
      </c>
      <c r="D125">
        <v>1403</v>
      </c>
    </row>
    <row r="126" spans="1:4" x14ac:dyDescent="0.35">
      <c r="A126">
        <v>162</v>
      </c>
      <c r="B126" s="1" t="s">
        <v>100</v>
      </c>
      <c r="C126" s="1" t="s">
        <v>104</v>
      </c>
      <c r="D126">
        <v>1399</v>
      </c>
    </row>
    <row r="127" spans="1:4" x14ac:dyDescent="0.35">
      <c r="A127">
        <v>55</v>
      </c>
      <c r="B127" s="1" t="s">
        <v>99</v>
      </c>
      <c r="C127" s="1" t="s">
        <v>75</v>
      </c>
      <c r="D127">
        <v>1398</v>
      </c>
    </row>
    <row r="128" spans="1:4" x14ac:dyDescent="0.35">
      <c r="A128">
        <v>291</v>
      </c>
      <c r="B128" s="1" t="s">
        <v>73</v>
      </c>
      <c r="C128" s="1" t="s">
        <v>104</v>
      </c>
      <c r="D128">
        <v>1398</v>
      </c>
    </row>
    <row r="129" spans="1:4" x14ac:dyDescent="0.35">
      <c r="A129">
        <v>93</v>
      </c>
      <c r="B129" s="1" t="s">
        <v>74</v>
      </c>
      <c r="C129" s="1" t="s">
        <v>109</v>
      </c>
      <c r="D129">
        <v>1393</v>
      </c>
    </row>
    <row r="130" spans="1:4" x14ac:dyDescent="0.35">
      <c r="A130">
        <v>207</v>
      </c>
      <c r="B130" s="1" t="s">
        <v>103</v>
      </c>
      <c r="C130" s="1" t="s">
        <v>111</v>
      </c>
      <c r="D130">
        <v>1390</v>
      </c>
    </row>
    <row r="131" spans="1:4" x14ac:dyDescent="0.35">
      <c r="A131">
        <v>189</v>
      </c>
      <c r="B131" s="1" t="s">
        <v>102</v>
      </c>
      <c r="C131" s="1" t="s">
        <v>71</v>
      </c>
      <c r="D131">
        <v>1386</v>
      </c>
    </row>
    <row r="132" spans="1:4" x14ac:dyDescent="0.35">
      <c r="A132">
        <v>154</v>
      </c>
      <c r="B132" s="1" t="s">
        <v>70</v>
      </c>
      <c r="C132" s="1" t="s">
        <v>108</v>
      </c>
      <c r="D132">
        <v>1383</v>
      </c>
    </row>
    <row r="133" spans="1:4" x14ac:dyDescent="0.35">
      <c r="A133">
        <v>215</v>
      </c>
      <c r="B133" s="1" t="s">
        <v>68</v>
      </c>
      <c r="C133" s="1" t="s">
        <v>72</v>
      </c>
      <c r="D133">
        <v>1380</v>
      </c>
    </row>
    <row r="134" spans="1:4" x14ac:dyDescent="0.35">
      <c r="A134">
        <v>230</v>
      </c>
      <c r="B134" s="1" t="s">
        <v>70</v>
      </c>
      <c r="C134" s="1" t="s">
        <v>100</v>
      </c>
      <c r="D134">
        <v>1359</v>
      </c>
    </row>
    <row r="135" spans="1:4" x14ac:dyDescent="0.35">
      <c r="A135">
        <v>253</v>
      </c>
      <c r="B135" s="1" t="s">
        <v>74</v>
      </c>
      <c r="C135" s="1" t="s">
        <v>105</v>
      </c>
      <c r="D135">
        <v>1352</v>
      </c>
    </row>
    <row r="136" spans="1:4" x14ac:dyDescent="0.35">
      <c r="A136">
        <v>137</v>
      </c>
      <c r="B136" s="1" t="s">
        <v>106</v>
      </c>
      <c r="C136" s="1" t="s">
        <v>75</v>
      </c>
      <c r="D136">
        <v>1343</v>
      </c>
    </row>
    <row r="137" spans="1:4" x14ac:dyDescent="0.35">
      <c r="A137">
        <v>177</v>
      </c>
      <c r="B137" s="1" t="s">
        <v>108</v>
      </c>
      <c r="C137" s="1" t="s">
        <v>111</v>
      </c>
      <c r="D137">
        <v>1339</v>
      </c>
    </row>
    <row r="138" spans="1:4" x14ac:dyDescent="0.35">
      <c r="A138">
        <v>19</v>
      </c>
      <c r="B138" s="1" t="s">
        <v>106</v>
      </c>
      <c r="C138" s="1" t="s">
        <v>95</v>
      </c>
      <c r="D138">
        <v>1334</v>
      </c>
    </row>
    <row r="139" spans="1:4" x14ac:dyDescent="0.35">
      <c r="A139">
        <v>175</v>
      </c>
      <c r="B139" s="1" t="s">
        <v>65</v>
      </c>
      <c r="C139" s="1" t="s">
        <v>108</v>
      </c>
      <c r="D139">
        <v>1325</v>
      </c>
    </row>
    <row r="140" spans="1:4" x14ac:dyDescent="0.35">
      <c r="A140">
        <v>138</v>
      </c>
      <c r="B140" s="1" t="s">
        <v>100</v>
      </c>
      <c r="C140" s="1" t="s">
        <v>69</v>
      </c>
      <c r="D140">
        <v>1310</v>
      </c>
    </row>
    <row r="141" spans="1:4" x14ac:dyDescent="0.35">
      <c r="A141">
        <v>193</v>
      </c>
      <c r="B141" s="1" t="s">
        <v>99</v>
      </c>
      <c r="C141" s="1" t="s">
        <v>102</v>
      </c>
      <c r="D141">
        <v>1300</v>
      </c>
    </row>
    <row r="142" spans="1:4" x14ac:dyDescent="0.35">
      <c r="A142">
        <v>205</v>
      </c>
      <c r="B142" s="1" t="s">
        <v>70</v>
      </c>
      <c r="C142" s="1" t="s">
        <v>75</v>
      </c>
      <c r="D142">
        <v>1295</v>
      </c>
    </row>
    <row r="143" spans="1:4" x14ac:dyDescent="0.35">
      <c r="A143">
        <v>211</v>
      </c>
      <c r="B143" s="1" t="s">
        <v>95</v>
      </c>
      <c r="C143" s="1" t="s">
        <v>109</v>
      </c>
      <c r="D143">
        <v>1273</v>
      </c>
    </row>
    <row r="144" spans="1:4" x14ac:dyDescent="0.35">
      <c r="A144">
        <v>266</v>
      </c>
      <c r="B144" s="1" t="s">
        <v>95</v>
      </c>
      <c r="C144" s="1" t="s">
        <v>96</v>
      </c>
      <c r="D144">
        <v>1268</v>
      </c>
    </row>
    <row r="145" spans="1:4" x14ac:dyDescent="0.35">
      <c r="A145">
        <v>153</v>
      </c>
      <c r="B145" s="1" t="s">
        <v>71</v>
      </c>
      <c r="C145" s="1" t="s">
        <v>95</v>
      </c>
      <c r="D145">
        <v>1258</v>
      </c>
    </row>
    <row r="146" spans="1:4" x14ac:dyDescent="0.35">
      <c r="A146">
        <v>276</v>
      </c>
      <c r="B146" s="1" t="s">
        <v>102</v>
      </c>
      <c r="C146" s="1" t="s">
        <v>74</v>
      </c>
      <c r="D146">
        <v>1256</v>
      </c>
    </row>
    <row r="147" spans="1:4" x14ac:dyDescent="0.35">
      <c r="A147">
        <v>297</v>
      </c>
      <c r="B147" s="1" t="s">
        <v>65</v>
      </c>
      <c r="C147" s="1" t="s">
        <v>104</v>
      </c>
      <c r="D147">
        <v>1247</v>
      </c>
    </row>
    <row r="148" spans="1:4" x14ac:dyDescent="0.35">
      <c r="A148">
        <v>54</v>
      </c>
      <c r="B148" s="1" t="s">
        <v>67</v>
      </c>
      <c r="C148" s="1" t="s">
        <v>103</v>
      </c>
      <c r="D148">
        <v>1240</v>
      </c>
    </row>
    <row r="149" spans="1:4" x14ac:dyDescent="0.35">
      <c r="A149">
        <v>122</v>
      </c>
      <c r="B149" s="1" t="s">
        <v>68</v>
      </c>
      <c r="C149" s="1" t="s">
        <v>100</v>
      </c>
      <c r="D149">
        <v>1239</v>
      </c>
    </row>
    <row r="150" spans="1:4" x14ac:dyDescent="0.35">
      <c r="A150">
        <v>77</v>
      </c>
      <c r="B150" s="1" t="s">
        <v>102</v>
      </c>
      <c r="C150" s="1" t="s">
        <v>95</v>
      </c>
      <c r="D150">
        <v>1228</v>
      </c>
    </row>
    <row r="151" spans="1:4" x14ac:dyDescent="0.35">
      <c r="A151">
        <v>30</v>
      </c>
      <c r="B151" s="1" t="s">
        <v>65</v>
      </c>
      <c r="C151" s="1" t="s">
        <v>103</v>
      </c>
      <c r="D151">
        <v>1219</v>
      </c>
    </row>
    <row r="152" spans="1:4" x14ac:dyDescent="0.35">
      <c r="A152">
        <v>292</v>
      </c>
      <c r="B152" s="1" t="s">
        <v>106</v>
      </c>
      <c r="C152" s="1" t="s">
        <v>75</v>
      </c>
      <c r="D152">
        <v>1218</v>
      </c>
    </row>
    <row r="153" spans="1:4" x14ac:dyDescent="0.35">
      <c r="A153">
        <v>300</v>
      </c>
      <c r="B153" s="1" t="s">
        <v>97</v>
      </c>
      <c r="C153" s="1" t="s">
        <v>100</v>
      </c>
      <c r="D153">
        <v>1207</v>
      </c>
    </row>
    <row r="154" spans="1:4" x14ac:dyDescent="0.35">
      <c r="A154">
        <v>229</v>
      </c>
      <c r="B154" s="1" t="s">
        <v>102</v>
      </c>
      <c r="C154" s="1" t="s">
        <v>110</v>
      </c>
      <c r="D154">
        <v>1197</v>
      </c>
    </row>
    <row r="155" spans="1:4" x14ac:dyDescent="0.35">
      <c r="A155">
        <v>131</v>
      </c>
      <c r="B155" s="1" t="s">
        <v>104</v>
      </c>
      <c r="C155" s="1" t="s">
        <v>71</v>
      </c>
      <c r="D155">
        <v>1177</v>
      </c>
    </row>
    <row r="156" spans="1:4" x14ac:dyDescent="0.35">
      <c r="A156">
        <v>274</v>
      </c>
      <c r="B156" s="1" t="s">
        <v>100</v>
      </c>
      <c r="C156" s="1" t="s">
        <v>107</v>
      </c>
      <c r="D156">
        <v>1167</v>
      </c>
    </row>
    <row r="157" spans="1:4" x14ac:dyDescent="0.35">
      <c r="A157">
        <v>217</v>
      </c>
      <c r="B157" s="1" t="s">
        <v>69</v>
      </c>
      <c r="C157" s="1" t="s">
        <v>95</v>
      </c>
      <c r="D157">
        <v>1166</v>
      </c>
    </row>
    <row r="158" spans="1:4" x14ac:dyDescent="0.35">
      <c r="A158">
        <v>37</v>
      </c>
      <c r="B158" s="1" t="s">
        <v>110</v>
      </c>
      <c r="C158" s="1" t="s">
        <v>69</v>
      </c>
      <c r="D158">
        <v>1165</v>
      </c>
    </row>
    <row r="159" spans="1:4" x14ac:dyDescent="0.35">
      <c r="A159">
        <v>13</v>
      </c>
      <c r="B159" s="1" t="s">
        <v>63</v>
      </c>
      <c r="C159" s="1" t="s">
        <v>110</v>
      </c>
      <c r="D159">
        <v>1164</v>
      </c>
    </row>
    <row r="160" spans="1:4" x14ac:dyDescent="0.35">
      <c r="A160">
        <v>294</v>
      </c>
      <c r="B160" s="1" t="s">
        <v>75</v>
      </c>
      <c r="C160" s="1" t="s">
        <v>109</v>
      </c>
      <c r="D160">
        <v>1164</v>
      </c>
    </row>
    <row r="161" spans="1:4" x14ac:dyDescent="0.35">
      <c r="A161">
        <v>275</v>
      </c>
      <c r="B161" s="1" t="s">
        <v>95</v>
      </c>
      <c r="C161" s="1" t="s">
        <v>101</v>
      </c>
      <c r="D161">
        <v>1141</v>
      </c>
    </row>
    <row r="162" spans="1:4" x14ac:dyDescent="0.35">
      <c r="A162">
        <v>267</v>
      </c>
      <c r="B162" s="1" t="s">
        <v>72</v>
      </c>
      <c r="C162" s="1" t="s">
        <v>97</v>
      </c>
      <c r="D162">
        <v>1133</v>
      </c>
    </row>
    <row r="163" spans="1:4" x14ac:dyDescent="0.35">
      <c r="A163">
        <v>284</v>
      </c>
      <c r="B163" s="1" t="s">
        <v>95</v>
      </c>
      <c r="C163" s="1" t="s">
        <v>108</v>
      </c>
      <c r="D163">
        <v>1124</v>
      </c>
    </row>
    <row r="164" spans="1:4" x14ac:dyDescent="0.35">
      <c r="A164">
        <v>110</v>
      </c>
      <c r="B164" s="1" t="s">
        <v>75</v>
      </c>
      <c r="C164" s="1" t="s">
        <v>105</v>
      </c>
      <c r="D164">
        <v>1121</v>
      </c>
    </row>
    <row r="165" spans="1:4" x14ac:dyDescent="0.35">
      <c r="A165">
        <v>225</v>
      </c>
      <c r="B165" s="1" t="s">
        <v>111</v>
      </c>
      <c r="C165" s="1" t="s">
        <v>95</v>
      </c>
      <c r="D165">
        <v>1117</v>
      </c>
    </row>
    <row r="166" spans="1:4" x14ac:dyDescent="0.35">
      <c r="A166">
        <v>150</v>
      </c>
      <c r="B166" s="1" t="s">
        <v>106</v>
      </c>
      <c r="C166" s="1" t="s">
        <v>110</v>
      </c>
      <c r="D166">
        <v>1088</v>
      </c>
    </row>
    <row r="167" spans="1:4" x14ac:dyDescent="0.35">
      <c r="A167">
        <v>151</v>
      </c>
      <c r="B167" s="1" t="s">
        <v>103</v>
      </c>
      <c r="C167" s="1" t="s">
        <v>72</v>
      </c>
      <c r="D167">
        <v>1081</v>
      </c>
    </row>
    <row r="168" spans="1:4" x14ac:dyDescent="0.35">
      <c r="A168">
        <v>75</v>
      </c>
      <c r="B168" s="1" t="s">
        <v>111</v>
      </c>
      <c r="C168" s="1" t="s">
        <v>110</v>
      </c>
      <c r="D168">
        <v>1078</v>
      </c>
    </row>
    <row r="169" spans="1:4" x14ac:dyDescent="0.35">
      <c r="A169">
        <v>46</v>
      </c>
      <c r="B169" s="1" t="s">
        <v>68</v>
      </c>
      <c r="C169" s="1" t="s">
        <v>96</v>
      </c>
      <c r="D169">
        <v>1078</v>
      </c>
    </row>
    <row r="170" spans="1:4" x14ac:dyDescent="0.35">
      <c r="A170">
        <v>98</v>
      </c>
      <c r="B170" s="1" t="s">
        <v>74</v>
      </c>
      <c r="C170" s="1" t="s">
        <v>102</v>
      </c>
      <c r="D170">
        <v>1077</v>
      </c>
    </row>
    <row r="171" spans="1:4" x14ac:dyDescent="0.35">
      <c r="A171">
        <v>57</v>
      </c>
      <c r="B171" s="1" t="s">
        <v>72</v>
      </c>
      <c r="C171" s="1" t="s">
        <v>102</v>
      </c>
      <c r="D171">
        <v>1075</v>
      </c>
    </row>
    <row r="172" spans="1:4" x14ac:dyDescent="0.35">
      <c r="A172">
        <v>186</v>
      </c>
      <c r="B172" s="1" t="s">
        <v>111</v>
      </c>
      <c r="C172" s="1" t="s">
        <v>98</v>
      </c>
      <c r="D172">
        <v>1065</v>
      </c>
    </row>
    <row r="173" spans="1:4" x14ac:dyDescent="0.35">
      <c r="A173">
        <v>81</v>
      </c>
      <c r="B173" s="1" t="s">
        <v>96</v>
      </c>
      <c r="C173" s="1" t="s">
        <v>70</v>
      </c>
      <c r="D173">
        <v>1058</v>
      </c>
    </row>
    <row r="174" spans="1:4" x14ac:dyDescent="0.35">
      <c r="A174">
        <v>79</v>
      </c>
      <c r="B174" s="1" t="s">
        <v>73</v>
      </c>
      <c r="C174" s="1" t="s">
        <v>111</v>
      </c>
      <c r="D174">
        <v>1047</v>
      </c>
    </row>
    <row r="175" spans="1:4" x14ac:dyDescent="0.35">
      <c r="A175">
        <v>196</v>
      </c>
      <c r="B175" s="1" t="s">
        <v>102</v>
      </c>
      <c r="C175" s="1" t="s">
        <v>100</v>
      </c>
      <c r="D175">
        <v>1043</v>
      </c>
    </row>
    <row r="176" spans="1:4" x14ac:dyDescent="0.35">
      <c r="A176">
        <v>134</v>
      </c>
      <c r="B176" s="1" t="s">
        <v>73</v>
      </c>
      <c r="C176" s="1" t="s">
        <v>95</v>
      </c>
      <c r="D176">
        <v>1041</v>
      </c>
    </row>
    <row r="177" spans="1:4" x14ac:dyDescent="0.35">
      <c r="A177">
        <v>63</v>
      </c>
      <c r="B177" s="1" t="s">
        <v>70</v>
      </c>
      <c r="C177" s="1" t="s">
        <v>109</v>
      </c>
      <c r="D177">
        <v>1040</v>
      </c>
    </row>
    <row r="178" spans="1:4" x14ac:dyDescent="0.35">
      <c r="A178">
        <v>48</v>
      </c>
      <c r="B178" s="1" t="s">
        <v>69</v>
      </c>
      <c r="C178" s="1" t="s">
        <v>98</v>
      </c>
      <c r="D178">
        <v>1035</v>
      </c>
    </row>
    <row r="179" spans="1:4" x14ac:dyDescent="0.35">
      <c r="A179">
        <v>82</v>
      </c>
      <c r="B179" s="1" t="s">
        <v>65</v>
      </c>
      <c r="C179" s="1" t="s">
        <v>69</v>
      </c>
      <c r="D179">
        <v>1027</v>
      </c>
    </row>
    <row r="180" spans="1:4" x14ac:dyDescent="0.35">
      <c r="A180">
        <v>273</v>
      </c>
      <c r="B180" s="1" t="s">
        <v>108</v>
      </c>
      <c r="C180" s="1" t="s">
        <v>109</v>
      </c>
      <c r="D180">
        <v>1025</v>
      </c>
    </row>
    <row r="181" spans="1:4" x14ac:dyDescent="0.35">
      <c r="A181">
        <v>165</v>
      </c>
      <c r="B181" s="1" t="s">
        <v>101</v>
      </c>
      <c r="C181" s="1" t="s">
        <v>71</v>
      </c>
      <c r="D181">
        <v>996</v>
      </c>
    </row>
    <row r="182" spans="1:4" x14ac:dyDescent="0.35">
      <c r="A182">
        <v>38</v>
      </c>
      <c r="B182" s="1" t="s">
        <v>103</v>
      </c>
      <c r="C182" s="1" t="s">
        <v>75</v>
      </c>
      <c r="D182">
        <v>996</v>
      </c>
    </row>
    <row r="183" spans="1:4" x14ac:dyDescent="0.35">
      <c r="A183">
        <v>236</v>
      </c>
      <c r="B183" s="1" t="s">
        <v>106</v>
      </c>
      <c r="C183" s="1" t="s">
        <v>74</v>
      </c>
      <c r="D183">
        <v>992</v>
      </c>
    </row>
    <row r="184" spans="1:4" x14ac:dyDescent="0.35">
      <c r="A184">
        <v>43</v>
      </c>
      <c r="B184" s="1" t="s">
        <v>63</v>
      </c>
      <c r="C184" s="1" t="s">
        <v>72</v>
      </c>
      <c r="D184">
        <v>989</v>
      </c>
    </row>
    <row r="185" spans="1:4" x14ac:dyDescent="0.35">
      <c r="A185">
        <v>251</v>
      </c>
      <c r="B185" s="1" t="s">
        <v>96</v>
      </c>
      <c r="C185" s="1" t="s">
        <v>104</v>
      </c>
      <c r="D185">
        <v>976</v>
      </c>
    </row>
    <row r="186" spans="1:4" x14ac:dyDescent="0.35">
      <c r="A186">
        <v>192</v>
      </c>
      <c r="B186" s="1" t="s">
        <v>72</v>
      </c>
      <c r="C186" s="1" t="s">
        <v>97</v>
      </c>
      <c r="D186">
        <v>963</v>
      </c>
    </row>
    <row r="187" spans="1:4" x14ac:dyDescent="0.35">
      <c r="A187">
        <v>109</v>
      </c>
      <c r="B187" s="1" t="s">
        <v>104</v>
      </c>
      <c r="C187" s="1" t="s">
        <v>107</v>
      </c>
      <c r="D187">
        <v>946</v>
      </c>
    </row>
    <row r="188" spans="1:4" x14ac:dyDescent="0.35">
      <c r="A188">
        <v>116</v>
      </c>
      <c r="B188" s="1" t="s">
        <v>98</v>
      </c>
      <c r="C188" s="1" t="s">
        <v>105</v>
      </c>
      <c r="D188">
        <v>944</v>
      </c>
    </row>
    <row r="189" spans="1:4" x14ac:dyDescent="0.35">
      <c r="A189">
        <v>224</v>
      </c>
      <c r="B189" s="1" t="s">
        <v>69</v>
      </c>
      <c r="C189" s="1" t="s">
        <v>109</v>
      </c>
      <c r="D189">
        <v>938</v>
      </c>
    </row>
    <row r="190" spans="1:4" x14ac:dyDescent="0.35">
      <c r="A190">
        <v>197</v>
      </c>
      <c r="B190" s="1" t="s">
        <v>96</v>
      </c>
      <c r="C190" s="1" t="s">
        <v>74</v>
      </c>
      <c r="D190">
        <v>929</v>
      </c>
    </row>
    <row r="191" spans="1:4" x14ac:dyDescent="0.35">
      <c r="A191">
        <v>180</v>
      </c>
      <c r="B191" s="1" t="s">
        <v>72</v>
      </c>
      <c r="C191" s="1" t="s">
        <v>70</v>
      </c>
      <c r="D191">
        <v>911</v>
      </c>
    </row>
    <row r="192" spans="1:4" x14ac:dyDescent="0.35">
      <c r="A192">
        <v>167</v>
      </c>
      <c r="B192" s="1" t="s">
        <v>100</v>
      </c>
      <c r="C192" s="1" t="s">
        <v>108</v>
      </c>
      <c r="D192">
        <v>901</v>
      </c>
    </row>
    <row r="193" spans="1:4" x14ac:dyDescent="0.35">
      <c r="A193">
        <v>71</v>
      </c>
      <c r="B193" s="1" t="s">
        <v>74</v>
      </c>
      <c r="C193" s="1" t="s">
        <v>70</v>
      </c>
      <c r="D193">
        <v>892</v>
      </c>
    </row>
    <row r="194" spans="1:4" x14ac:dyDescent="0.35">
      <c r="A194">
        <v>255</v>
      </c>
      <c r="B194" s="1" t="s">
        <v>64</v>
      </c>
      <c r="C194" s="1" t="s">
        <v>70</v>
      </c>
      <c r="D194">
        <v>870</v>
      </c>
    </row>
    <row r="195" spans="1:4" x14ac:dyDescent="0.35">
      <c r="A195">
        <v>296</v>
      </c>
      <c r="B195" s="1" t="s">
        <v>68</v>
      </c>
      <c r="C195" s="1" t="s">
        <v>97</v>
      </c>
      <c r="D195">
        <v>870</v>
      </c>
    </row>
    <row r="196" spans="1:4" x14ac:dyDescent="0.35">
      <c r="A196">
        <v>39</v>
      </c>
      <c r="B196" s="1" t="s">
        <v>102</v>
      </c>
      <c r="C196" s="1" t="s">
        <v>95</v>
      </c>
      <c r="D196">
        <v>869</v>
      </c>
    </row>
    <row r="197" spans="1:4" x14ac:dyDescent="0.35">
      <c r="A197">
        <v>32</v>
      </c>
      <c r="B197" s="1" t="s">
        <v>111</v>
      </c>
      <c r="C197" s="1" t="s">
        <v>70</v>
      </c>
      <c r="D197">
        <v>869</v>
      </c>
    </row>
    <row r="198" spans="1:4" x14ac:dyDescent="0.35">
      <c r="A198">
        <v>76</v>
      </c>
      <c r="B198" s="1" t="s">
        <v>99</v>
      </c>
      <c r="C198" s="1" t="s">
        <v>102</v>
      </c>
      <c r="D198">
        <v>869</v>
      </c>
    </row>
    <row r="199" spans="1:4" x14ac:dyDescent="0.35">
      <c r="A199">
        <v>4</v>
      </c>
      <c r="B199" s="1" t="s">
        <v>69</v>
      </c>
      <c r="C199" s="1" t="s">
        <v>96</v>
      </c>
      <c r="D199">
        <v>863</v>
      </c>
    </row>
    <row r="200" spans="1:4" x14ac:dyDescent="0.35">
      <c r="A200">
        <v>99</v>
      </c>
      <c r="B200" s="1" t="s">
        <v>69</v>
      </c>
      <c r="C200" s="1" t="s">
        <v>102</v>
      </c>
      <c r="D200">
        <v>852</v>
      </c>
    </row>
    <row r="201" spans="1:4" x14ac:dyDescent="0.35">
      <c r="A201">
        <v>111</v>
      </c>
      <c r="B201" s="1" t="s">
        <v>66</v>
      </c>
      <c r="C201" s="1" t="s">
        <v>100</v>
      </c>
      <c r="D201">
        <v>848</v>
      </c>
    </row>
    <row r="202" spans="1:4" x14ac:dyDescent="0.35">
      <c r="A202">
        <v>85</v>
      </c>
      <c r="B202" s="1" t="s">
        <v>108</v>
      </c>
      <c r="C202" s="1" t="s">
        <v>109</v>
      </c>
      <c r="D202">
        <v>846</v>
      </c>
    </row>
    <row r="203" spans="1:4" x14ac:dyDescent="0.35">
      <c r="A203">
        <v>163</v>
      </c>
      <c r="B203" s="1" t="s">
        <v>105</v>
      </c>
      <c r="C203" s="1" t="s">
        <v>102</v>
      </c>
      <c r="D203">
        <v>846</v>
      </c>
    </row>
    <row r="204" spans="1:4" x14ac:dyDescent="0.35">
      <c r="A204">
        <v>214</v>
      </c>
      <c r="B204" s="1" t="s">
        <v>109</v>
      </c>
      <c r="C204" s="1" t="s">
        <v>98</v>
      </c>
      <c r="D204">
        <v>842</v>
      </c>
    </row>
    <row r="205" spans="1:4" x14ac:dyDescent="0.35">
      <c r="A205">
        <v>124</v>
      </c>
      <c r="B205" s="1" t="s">
        <v>63</v>
      </c>
      <c r="C205" s="1" t="s">
        <v>70</v>
      </c>
      <c r="D205">
        <v>842</v>
      </c>
    </row>
    <row r="206" spans="1:4" x14ac:dyDescent="0.35">
      <c r="A206">
        <v>51</v>
      </c>
      <c r="B206" s="1" t="s">
        <v>65</v>
      </c>
      <c r="C206" s="1" t="s">
        <v>97</v>
      </c>
      <c r="D206">
        <v>841</v>
      </c>
    </row>
    <row r="207" spans="1:4" x14ac:dyDescent="0.35">
      <c r="A207">
        <v>155</v>
      </c>
      <c r="B207" s="1" t="s">
        <v>104</v>
      </c>
      <c r="C207" s="1" t="s">
        <v>100</v>
      </c>
      <c r="D207">
        <v>814</v>
      </c>
    </row>
    <row r="208" spans="1:4" x14ac:dyDescent="0.35">
      <c r="A208">
        <v>298</v>
      </c>
      <c r="B208" s="1" t="s">
        <v>99</v>
      </c>
      <c r="C208" s="1" t="s">
        <v>96</v>
      </c>
      <c r="D208">
        <v>811</v>
      </c>
    </row>
    <row r="209" spans="1:4" x14ac:dyDescent="0.35">
      <c r="A209">
        <v>288</v>
      </c>
      <c r="B209" s="1" t="s">
        <v>66</v>
      </c>
      <c r="C209" s="1" t="s">
        <v>73</v>
      </c>
      <c r="D209">
        <v>809</v>
      </c>
    </row>
    <row r="210" spans="1:4" x14ac:dyDescent="0.35">
      <c r="A210">
        <v>5</v>
      </c>
      <c r="B210" s="1" t="s">
        <v>111</v>
      </c>
      <c r="C210" s="1" t="s">
        <v>74</v>
      </c>
      <c r="D210">
        <v>801</v>
      </c>
    </row>
    <row r="211" spans="1:4" x14ac:dyDescent="0.35">
      <c r="A211">
        <v>95</v>
      </c>
      <c r="B211" s="1" t="s">
        <v>106</v>
      </c>
      <c r="C211" s="1" t="s">
        <v>95</v>
      </c>
      <c r="D211">
        <v>801</v>
      </c>
    </row>
    <row r="212" spans="1:4" x14ac:dyDescent="0.35">
      <c r="A212">
        <v>265</v>
      </c>
      <c r="B212" s="1" t="s">
        <v>102</v>
      </c>
      <c r="C212" s="1" t="s">
        <v>101</v>
      </c>
      <c r="D212">
        <v>797</v>
      </c>
    </row>
    <row r="213" spans="1:4" x14ac:dyDescent="0.35">
      <c r="A213">
        <v>200</v>
      </c>
      <c r="B213" s="1" t="s">
        <v>97</v>
      </c>
      <c r="C213" s="1" t="s">
        <v>104</v>
      </c>
      <c r="D213">
        <v>793</v>
      </c>
    </row>
    <row r="214" spans="1:4" x14ac:dyDescent="0.35">
      <c r="A214">
        <v>198</v>
      </c>
      <c r="B214" s="1" t="s">
        <v>68</v>
      </c>
      <c r="C214" s="1" t="s">
        <v>109</v>
      </c>
      <c r="D214">
        <v>790</v>
      </c>
    </row>
    <row r="215" spans="1:4" x14ac:dyDescent="0.35">
      <c r="A215">
        <v>254</v>
      </c>
      <c r="B215" s="1" t="s">
        <v>73</v>
      </c>
      <c r="C215" s="1" t="s">
        <v>71</v>
      </c>
      <c r="D215">
        <v>787</v>
      </c>
    </row>
    <row r="216" spans="1:4" x14ac:dyDescent="0.35">
      <c r="A216">
        <v>73</v>
      </c>
      <c r="B216" s="1" t="s">
        <v>103</v>
      </c>
      <c r="C216" s="1" t="s">
        <v>70</v>
      </c>
      <c r="D216">
        <v>776</v>
      </c>
    </row>
    <row r="217" spans="1:4" x14ac:dyDescent="0.35">
      <c r="A217">
        <v>18</v>
      </c>
      <c r="B217" s="1" t="s">
        <v>68</v>
      </c>
      <c r="C217" s="1" t="s">
        <v>106</v>
      </c>
      <c r="D217">
        <v>776</v>
      </c>
    </row>
    <row r="218" spans="1:4" x14ac:dyDescent="0.35">
      <c r="A218">
        <v>240</v>
      </c>
      <c r="B218" s="1" t="s">
        <v>96</v>
      </c>
      <c r="C218" s="1" t="s">
        <v>101</v>
      </c>
      <c r="D218">
        <v>771</v>
      </c>
    </row>
    <row r="219" spans="1:4" x14ac:dyDescent="0.35">
      <c r="A219">
        <v>107</v>
      </c>
      <c r="B219" s="1" t="s">
        <v>106</v>
      </c>
      <c r="C219" s="1" t="s">
        <v>107</v>
      </c>
      <c r="D219">
        <v>769</v>
      </c>
    </row>
    <row r="220" spans="1:4" x14ac:dyDescent="0.35">
      <c r="A220">
        <v>6</v>
      </c>
      <c r="B220" s="1" t="s">
        <v>111</v>
      </c>
      <c r="C220" s="1" t="s">
        <v>100</v>
      </c>
      <c r="D220">
        <v>757</v>
      </c>
    </row>
    <row r="221" spans="1:4" x14ac:dyDescent="0.35">
      <c r="A221">
        <v>29</v>
      </c>
      <c r="B221" s="1" t="s">
        <v>72</v>
      </c>
      <c r="C221" s="1" t="s">
        <v>73</v>
      </c>
      <c r="D221">
        <v>751</v>
      </c>
    </row>
    <row r="222" spans="1:4" x14ac:dyDescent="0.35">
      <c r="A222">
        <v>242</v>
      </c>
      <c r="B222" s="1" t="s">
        <v>95</v>
      </c>
      <c r="C222" s="1" t="s">
        <v>108</v>
      </c>
      <c r="D222">
        <v>751</v>
      </c>
    </row>
    <row r="223" spans="1:4" x14ac:dyDescent="0.35">
      <c r="A223">
        <v>103</v>
      </c>
      <c r="B223" s="1" t="s">
        <v>109</v>
      </c>
      <c r="C223" s="1" t="s">
        <v>69</v>
      </c>
      <c r="D223">
        <v>749</v>
      </c>
    </row>
    <row r="224" spans="1:4" x14ac:dyDescent="0.35">
      <c r="A224">
        <v>135</v>
      </c>
      <c r="B224" s="1" t="s">
        <v>110</v>
      </c>
      <c r="C224" s="1" t="s">
        <v>97</v>
      </c>
      <c r="D224">
        <v>749</v>
      </c>
    </row>
    <row r="225" spans="1:4" x14ac:dyDescent="0.35">
      <c r="A225">
        <v>17</v>
      </c>
      <c r="B225" s="1" t="s">
        <v>108</v>
      </c>
      <c r="C225" s="1" t="s">
        <v>100</v>
      </c>
      <c r="D225">
        <v>747</v>
      </c>
    </row>
    <row r="226" spans="1:4" x14ac:dyDescent="0.35">
      <c r="A226">
        <v>41</v>
      </c>
      <c r="B226" s="1" t="s">
        <v>98</v>
      </c>
      <c r="C226" s="1" t="s">
        <v>71</v>
      </c>
      <c r="D226">
        <v>740</v>
      </c>
    </row>
    <row r="227" spans="1:4" x14ac:dyDescent="0.35">
      <c r="A227">
        <v>117</v>
      </c>
      <c r="B227" s="1" t="s">
        <v>64</v>
      </c>
      <c r="C227" s="1" t="s">
        <v>107</v>
      </c>
      <c r="D227">
        <v>735</v>
      </c>
    </row>
    <row r="228" spans="1:4" x14ac:dyDescent="0.35">
      <c r="A228">
        <v>113</v>
      </c>
      <c r="B228" s="1" t="s">
        <v>104</v>
      </c>
      <c r="C228" s="1" t="s">
        <v>103</v>
      </c>
      <c r="D228">
        <v>732</v>
      </c>
    </row>
    <row r="229" spans="1:4" x14ac:dyDescent="0.35">
      <c r="A229">
        <v>222</v>
      </c>
      <c r="B229" s="1" t="s">
        <v>102</v>
      </c>
      <c r="C229" s="1" t="s">
        <v>75</v>
      </c>
      <c r="D229">
        <v>711</v>
      </c>
    </row>
    <row r="230" spans="1:4" x14ac:dyDescent="0.35">
      <c r="A230">
        <v>184</v>
      </c>
      <c r="B230" s="1" t="s">
        <v>107</v>
      </c>
      <c r="C230" s="1" t="s">
        <v>98</v>
      </c>
      <c r="D230">
        <v>707</v>
      </c>
    </row>
    <row r="231" spans="1:4" x14ac:dyDescent="0.35">
      <c r="A231">
        <v>23</v>
      </c>
      <c r="B231" s="1" t="s">
        <v>65</v>
      </c>
      <c r="C231" s="1" t="s">
        <v>97</v>
      </c>
      <c r="D231">
        <v>707</v>
      </c>
    </row>
    <row r="232" spans="1:4" x14ac:dyDescent="0.35">
      <c r="A232">
        <v>268</v>
      </c>
      <c r="B232" s="1" t="s">
        <v>100</v>
      </c>
      <c r="C232" s="1" t="s">
        <v>73</v>
      </c>
      <c r="D232">
        <v>689</v>
      </c>
    </row>
    <row r="233" spans="1:4" x14ac:dyDescent="0.35">
      <c r="A233">
        <v>290</v>
      </c>
      <c r="B233" s="1" t="s">
        <v>69</v>
      </c>
      <c r="C233" s="1" t="s">
        <v>102</v>
      </c>
      <c r="D233">
        <v>689</v>
      </c>
    </row>
    <row r="234" spans="1:4" x14ac:dyDescent="0.35">
      <c r="A234">
        <v>295</v>
      </c>
      <c r="B234" s="1" t="s">
        <v>95</v>
      </c>
      <c r="C234" s="1" t="s">
        <v>96</v>
      </c>
      <c r="D234">
        <v>675</v>
      </c>
    </row>
    <row r="235" spans="1:4" x14ac:dyDescent="0.35">
      <c r="A235">
        <v>176</v>
      </c>
      <c r="B235" s="1" t="s">
        <v>68</v>
      </c>
      <c r="C235" s="1" t="s">
        <v>108</v>
      </c>
      <c r="D235">
        <v>665</v>
      </c>
    </row>
    <row r="236" spans="1:4" x14ac:dyDescent="0.35">
      <c r="A236">
        <v>92</v>
      </c>
      <c r="B236" s="1" t="s">
        <v>108</v>
      </c>
      <c r="C236" s="1" t="s">
        <v>109</v>
      </c>
      <c r="D236">
        <v>650</v>
      </c>
    </row>
    <row r="237" spans="1:4" x14ac:dyDescent="0.35">
      <c r="A237">
        <v>213</v>
      </c>
      <c r="B237" s="1" t="s">
        <v>100</v>
      </c>
      <c r="C237" s="1" t="s">
        <v>102</v>
      </c>
      <c r="D237">
        <v>638</v>
      </c>
    </row>
    <row r="238" spans="1:4" x14ac:dyDescent="0.35">
      <c r="A238">
        <v>96</v>
      </c>
      <c r="B238" s="1" t="s">
        <v>111</v>
      </c>
      <c r="C238" s="1" t="s">
        <v>98</v>
      </c>
      <c r="D238">
        <v>634</v>
      </c>
    </row>
    <row r="239" spans="1:4" x14ac:dyDescent="0.35">
      <c r="A239">
        <v>187</v>
      </c>
      <c r="B239" s="1" t="s">
        <v>75</v>
      </c>
      <c r="C239" s="1" t="s">
        <v>95</v>
      </c>
      <c r="D239">
        <v>630</v>
      </c>
    </row>
    <row r="240" spans="1:4" x14ac:dyDescent="0.35">
      <c r="A240">
        <v>145</v>
      </c>
      <c r="B240" s="1" t="s">
        <v>67</v>
      </c>
      <c r="C240" s="1" t="s">
        <v>69</v>
      </c>
      <c r="D240">
        <v>627</v>
      </c>
    </row>
    <row r="241" spans="1:4" x14ac:dyDescent="0.35">
      <c r="A241">
        <v>35</v>
      </c>
      <c r="B241" s="1" t="s">
        <v>101</v>
      </c>
      <c r="C241" s="1" t="s">
        <v>105</v>
      </c>
      <c r="D241">
        <v>626</v>
      </c>
    </row>
    <row r="242" spans="1:4" x14ac:dyDescent="0.35">
      <c r="A242">
        <v>169</v>
      </c>
      <c r="B242" s="1" t="s">
        <v>101</v>
      </c>
      <c r="C242" s="1" t="s">
        <v>100</v>
      </c>
      <c r="D242">
        <v>623</v>
      </c>
    </row>
    <row r="243" spans="1:4" x14ac:dyDescent="0.35">
      <c r="A243">
        <v>40</v>
      </c>
      <c r="B243" s="1" t="s">
        <v>110</v>
      </c>
      <c r="C243" s="1" t="s">
        <v>69</v>
      </c>
      <c r="D243">
        <v>618</v>
      </c>
    </row>
    <row r="244" spans="1:4" x14ac:dyDescent="0.35">
      <c r="A244">
        <v>143</v>
      </c>
      <c r="B244" s="1" t="s">
        <v>71</v>
      </c>
      <c r="C244" s="1" t="s">
        <v>95</v>
      </c>
      <c r="D244">
        <v>613</v>
      </c>
    </row>
    <row r="245" spans="1:4" x14ac:dyDescent="0.35">
      <c r="A245">
        <v>185</v>
      </c>
      <c r="B245" s="1" t="s">
        <v>71</v>
      </c>
      <c r="C245" s="1" t="s">
        <v>111</v>
      </c>
      <c r="D245">
        <v>613</v>
      </c>
    </row>
    <row r="246" spans="1:4" x14ac:dyDescent="0.35">
      <c r="A246">
        <v>123</v>
      </c>
      <c r="B246" s="1" t="s">
        <v>111</v>
      </c>
      <c r="C246" s="1" t="s">
        <v>104</v>
      </c>
      <c r="D246">
        <v>592</v>
      </c>
    </row>
    <row r="247" spans="1:4" x14ac:dyDescent="0.35">
      <c r="A247">
        <v>293</v>
      </c>
      <c r="B247" s="1" t="s">
        <v>101</v>
      </c>
      <c r="C247" s="1" t="s">
        <v>96</v>
      </c>
      <c r="D247">
        <v>587</v>
      </c>
    </row>
    <row r="248" spans="1:4" x14ac:dyDescent="0.35">
      <c r="A248">
        <v>125</v>
      </c>
      <c r="B248" s="1" t="s">
        <v>105</v>
      </c>
      <c r="C248" s="1" t="s">
        <v>73</v>
      </c>
      <c r="D248">
        <v>585</v>
      </c>
    </row>
    <row r="249" spans="1:4" x14ac:dyDescent="0.35">
      <c r="A249">
        <v>7</v>
      </c>
      <c r="B249" s="1" t="s">
        <v>110</v>
      </c>
      <c r="C249" s="1" t="s">
        <v>99</v>
      </c>
      <c r="D249">
        <v>585</v>
      </c>
    </row>
    <row r="250" spans="1:4" x14ac:dyDescent="0.35">
      <c r="A250">
        <v>260</v>
      </c>
      <c r="B250" s="1" t="s">
        <v>100</v>
      </c>
      <c r="C250" s="1" t="s">
        <v>99</v>
      </c>
      <c r="D250">
        <v>570</v>
      </c>
    </row>
    <row r="251" spans="1:4" x14ac:dyDescent="0.35">
      <c r="A251">
        <v>209</v>
      </c>
      <c r="B251" s="1" t="s">
        <v>75</v>
      </c>
      <c r="C251" s="1" t="s">
        <v>71</v>
      </c>
      <c r="D251">
        <v>562</v>
      </c>
    </row>
    <row r="252" spans="1:4" x14ac:dyDescent="0.35">
      <c r="A252">
        <v>208</v>
      </c>
      <c r="B252" s="1" t="s">
        <v>110</v>
      </c>
      <c r="C252" s="1" t="s">
        <v>74</v>
      </c>
      <c r="D252">
        <v>557</v>
      </c>
    </row>
    <row r="253" spans="1:4" x14ac:dyDescent="0.35">
      <c r="A253">
        <v>56</v>
      </c>
      <c r="B253" s="1" t="s">
        <v>103</v>
      </c>
      <c r="C253" s="1" t="s">
        <v>107</v>
      </c>
      <c r="D253">
        <v>555</v>
      </c>
    </row>
    <row r="254" spans="1:4" x14ac:dyDescent="0.35">
      <c r="A254">
        <v>232</v>
      </c>
      <c r="B254" s="1" t="s">
        <v>72</v>
      </c>
      <c r="C254" s="1" t="s">
        <v>75</v>
      </c>
      <c r="D254">
        <v>547</v>
      </c>
    </row>
    <row r="255" spans="1:4" x14ac:dyDescent="0.35">
      <c r="A255">
        <v>160</v>
      </c>
      <c r="B255" s="1" t="s">
        <v>109</v>
      </c>
      <c r="C255" s="1" t="s">
        <v>111</v>
      </c>
      <c r="D255">
        <v>534</v>
      </c>
    </row>
    <row r="256" spans="1:4" x14ac:dyDescent="0.35">
      <c r="A256">
        <v>195</v>
      </c>
      <c r="B256" s="1" t="s">
        <v>70</v>
      </c>
      <c r="C256" s="1" t="s">
        <v>96</v>
      </c>
      <c r="D256">
        <v>529</v>
      </c>
    </row>
    <row r="257" spans="1:4" x14ac:dyDescent="0.35">
      <c r="A257">
        <v>166</v>
      </c>
      <c r="B257" s="1" t="s">
        <v>63</v>
      </c>
      <c r="C257" s="1" t="s">
        <v>101</v>
      </c>
      <c r="D257">
        <v>528</v>
      </c>
    </row>
    <row r="258" spans="1:4" x14ac:dyDescent="0.35">
      <c r="A258">
        <v>2</v>
      </c>
      <c r="B258" s="1" t="s">
        <v>108</v>
      </c>
      <c r="C258" s="1" t="s">
        <v>69</v>
      </c>
      <c r="D258">
        <v>528</v>
      </c>
    </row>
    <row r="259" spans="1:4" x14ac:dyDescent="0.35">
      <c r="A259">
        <v>142</v>
      </c>
      <c r="B259" s="1" t="s">
        <v>111</v>
      </c>
      <c r="C259" s="1" t="s">
        <v>75</v>
      </c>
      <c r="D259">
        <v>524</v>
      </c>
    </row>
    <row r="260" spans="1:4" x14ac:dyDescent="0.35">
      <c r="A260">
        <v>287</v>
      </c>
      <c r="B260" s="1" t="s">
        <v>95</v>
      </c>
      <c r="C260" s="1" t="s">
        <v>105</v>
      </c>
      <c r="D260">
        <v>523</v>
      </c>
    </row>
    <row r="261" spans="1:4" x14ac:dyDescent="0.35">
      <c r="A261">
        <v>178</v>
      </c>
      <c r="B261" s="1" t="s">
        <v>95</v>
      </c>
      <c r="C261" s="1" t="s">
        <v>106</v>
      </c>
      <c r="D261">
        <v>517</v>
      </c>
    </row>
    <row r="262" spans="1:4" x14ac:dyDescent="0.35">
      <c r="A262">
        <v>8</v>
      </c>
      <c r="B262" s="1" t="s">
        <v>71</v>
      </c>
      <c r="C262" s="1" t="s">
        <v>70</v>
      </c>
      <c r="D262">
        <v>509</v>
      </c>
    </row>
    <row r="263" spans="1:4" x14ac:dyDescent="0.35">
      <c r="A263">
        <v>44</v>
      </c>
      <c r="B263" s="1" t="s">
        <v>69</v>
      </c>
      <c r="C263" s="1" t="s">
        <v>111</v>
      </c>
      <c r="D263">
        <v>509</v>
      </c>
    </row>
    <row r="264" spans="1:4" x14ac:dyDescent="0.35">
      <c r="A264">
        <v>74</v>
      </c>
      <c r="B264" s="1" t="s">
        <v>74</v>
      </c>
      <c r="C264" s="1" t="s">
        <v>98</v>
      </c>
      <c r="D264">
        <v>506</v>
      </c>
    </row>
    <row r="265" spans="1:4" x14ac:dyDescent="0.35">
      <c r="A265">
        <v>282</v>
      </c>
      <c r="B265" s="1" t="s">
        <v>109</v>
      </c>
      <c r="C265" s="1" t="s">
        <v>100</v>
      </c>
      <c r="D265">
        <v>501</v>
      </c>
    </row>
    <row r="266" spans="1:4" x14ac:dyDescent="0.35">
      <c r="A266">
        <v>270</v>
      </c>
      <c r="B266" s="1" t="s">
        <v>108</v>
      </c>
      <c r="C266" s="1" t="s">
        <v>99</v>
      </c>
      <c r="D266">
        <v>498</v>
      </c>
    </row>
    <row r="267" spans="1:4" x14ac:dyDescent="0.35">
      <c r="A267">
        <v>47</v>
      </c>
      <c r="B267" s="1" t="s">
        <v>66</v>
      </c>
      <c r="C267" s="1" t="s">
        <v>71</v>
      </c>
      <c r="D267">
        <v>498</v>
      </c>
    </row>
    <row r="268" spans="1:4" x14ac:dyDescent="0.35">
      <c r="A268">
        <v>269</v>
      </c>
      <c r="B268" s="1" t="s">
        <v>66</v>
      </c>
      <c r="C268" s="1" t="s">
        <v>111</v>
      </c>
      <c r="D268">
        <v>493</v>
      </c>
    </row>
    <row r="269" spans="1:4" x14ac:dyDescent="0.35">
      <c r="A269">
        <v>45</v>
      </c>
      <c r="B269" s="1" t="s">
        <v>108</v>
      </c>
      <c r="C269" s="1" t="s">
        <v>110</v>
      </c>
      <c r="D269">
        <v>489</v>
      </c>
    </row>
    <row r="270" spans="1:4" x14ac:dyDescent="0.35">
      <c r="A270">
        <v>11</v>
      </c>
      <c r="B270" s="1" t="s">
        <v>69</v>
      </c>
      <c r="C270" s="1" t="s">
        <v>74</v>
      </c>
      <c r="D270">
        <v>478</v>
      </c>
    </row>
    <row r="271" spans="1:4" x14ac:dyDescent="0.35">
      <c r="A271">
        <v>72</v>
      </c>
      <c r="B271" s="1" t="s">
        <v>73</v>
      </c>
      <c r="C271" s="1" t="s">
        <v>100</v>
      </c>
      <c r="D271">
        <v>463</v>
      </c>
    </row>
    <row r="272" spans="1:4" x14ac:dyDescent="0.35">
      <c r="A272">
        <v>58</v>
      </c>
      <c r="B272" s="1" t="s">
        <v>67</v>
      </c>
      <c r="C272" s="1" t="s">
        <v>95</v>
      </c>
      <c r="D272">
        <v>461</v>
      </c>
    </row>
    <row r="273" spans="1:4" x14ac:dyDescent="0.35">
      <c r="A273">
        <v>202</v>
      </c>
      <c r="B273" s="1" t="s">
        <v>72</v>
      </c>
      <c r="C273" s="1" t="s">
        <v>97</v>
      </c>
      <c r="D273">
        <v>461</v>
      </c>
    </row>
    <row r="274" spans="1:4" x14ac:dyDescent="0.35">
      <c r="A274">
        <v>299</v>
      </c>
      <c r="B274" s="1" t="s">
        <v>100</v>
      </c>
      <c r="C274" s="1" t="s">
        <v>71</v>
      </c>
      <c r="D274">
        <v>454</v>
      </c>
    </row>
    <row r="275" spans="1:4" x14ac:dyDescent="0.35">
      <c r="A275">
        <v>89</v>
      </c>
      <c r="B275" s="1" t="s">
        <v>96</v>
      </c>
      <c r="C275" s="1" t="s">
        <v>73</v>
      </c>
      <c r="D275">
        <v>446</v>
      </c>
    </row>
    <row r="276" spans="1:4" x14ac:dyDescent="0.35">
      <c r="A276">
        <v>244</v>
      </c>
      <c r="B276" s="1" t="s">
        <v>68</v>
      </c>
      <c r="C276" s="1" t="s">
        <v>104</v>
      </c>
      <c r="D276">
        <v>445</v>
      </c>
    </row>
    <row r="277" spans="1:4" x14ac:dyDescent="0.35">
      <c r="A277">
        <v>252</v>
      </c>
      <c r="B277" s="1" t="s">
        <v>68</v>
      </c>
      <c r="C277" s="1" t="s">
        <v>110</v>
      </c>
      <c r="D277">
        <v>445</v>
      </c>
    </row>
    <row r="278" spans="1:4" x14ac:dyDescent="0.35">
      <c r="A278">
        <v>67</v>
      </c>
      <c r="B278" s="1" t="s">
        <v>108</v>
      </c>
      <c r="C278" s="1" t="s">
        <v>69</v>
      </c>
      <c r="D278">
        <v>442</v>
      </c>
    </row>
    <row r="279" spans="1:4" x14ac:dyDescent="0.35">
      <c r="A279">
        <v>206</v>
      </c>
      <c r="B279" s="1" t="s">
        <v>106</v>
      </c>
      <c r="C279" s="1" t="s">
        <v>99</v>
      </c>
      <c r="D279">
        <v>441</v>
      </c>
    </row>
    <row r="280" spans="1:4" x14ac:dyDescent="0.35">
      <c r="A280">
        <v>249</v>
      </c>
      <c r="B280" s="1" t="s">
        <v>106</v>
      </c>
      <c r="C280" s="1" t="s">
        <v>103</v>
      </c>
      <c r="D280">
        <v>438</v>
      </c>
    </row>
    <row r="281" spans="1:4" x14ac:dyDescent="0.35">
      <c r="A281">
        <v>112</v>
      </c>
      <c r="B281" s="1" t="s">
        <v>111</v>
      </c>
      <c r="C281" s="1" t="s">
        <v>97</v>
      </c>
      <c r="D281">
        <v>435</v>
      </c>
    </row>
    <row r="282" spans="1:4" x14ac:dyDescent="0.35">
      <c r="A282">
        <v>235</v>
      </c>
      <c r="B282" s="1" t="s">
        <v>111</v>
      </c>
      <c r="C282" s="1" t="s">
        <v>109</v>
      </c>
      <c r="D282">
        <v>431</v>
      </c>
    </row>
    <row r="283" spans="1:4" x14ac:dyDescent="0.35">
      <c r="A283">
        <v>149</v>
      </c>
      <c r="B283" s="1" t="s">
        <v>66</v>
      </c>
      <c r="C283" s="1" t="s">
        <v>111</v>
      </c>
      <c r="D283">
        <v>430</v>
      </c>
    </row>
    <row r="284" spans="1:4" x14ac:dyDescent="0.35">
      <c r="A284">
        <v>283</v>
      </c>
      <c r="B284" s="1" t="s">
        <v>71</v>
      </c>
      <c r="C284" s="1" t="s">
        <v>72</v>
      </c>
      <c r="D284">
        <v>424</v>
      </c>
    </row>
    <row r="285" spans="1:4" x14ac:dyDescent="0.35">
      <c r="A285">
        <v>247</v>
      </c>
      <c r="B285" s="1" t="s">
        <v>68</v>
      </c>
      <c r="C285" s="1" t="s">
        <v>105</v>
      </c>
      <c r="D285">
        <v>420</v>
      </c>
    </row>
    <row r="286" spans="1:4" x14ac:dyDescent="0.35">
      <c r="A286">
        <v>106</v>
      </c>
      <c r="B286" s="1" t="s">
        <v>109</v>
      </c>
      <c r="C286" s="1" t="s">
        <v>98</v>
      </c>
      <c r="D286">
        <v>414</v>
      </c>
    </row>
    <row r="287" spans="1:4" x14ac:dyDescent="0.35">
      <c r="A287">
        <v>278</v>
      </c>
      <c r="B287" s="1" t="s">
        <v>75</v>
      </c>
      <c r="C287" s="1" t="s">
        <v>109</v>
      </c>
      <c r="D287">
        <v>410</v>
      </c>
    </row>
    <row r="288" spans="1:4" x14ac:dyDescent="0.35">
      <c r="A288">
        <v>141</v>
      </c>
      <c r="B288" s="1" t="s">
        <v>71</v>
      </c>
      <c r="C288" s="1" t="s">
        <v>101</v>
      </c>
      <c r="D288">
        <v>396</v>
      </c>
    </row>
    <row r="289" spans="1:4" x14ac:dyDescent="0.35">
      <c r="A289">
        <v>68</v>
      </c>
      <c r="B289" s="1" t="s">
        <v>75</v>
      </c>
      <c r="C289" s="1" t="s">
        <v>96</v>
      </c>
      <c r="D289">
        <v>393</v>
      </c>
    </row>
    <row r="290" spans="1:4" x14ac:dyDescent="0.35">
      <c r="A290">
        <v>52</v>
      </c>
      <c r="B290" s="1" t="s">
        <v>103</v>
      </c>
      <c r="C290" s="1" t="s">
        <v>70</v>
      </c>
      <c r="D290">
        <v>388</v>
      </c>
    </row>
    <row r="291" spans="1:4" x14ac:dyDescent="0.35">
      <c r="A291">
        <v>108</v>
      </c>
      <c r="B291" s="1" t="s">
        <v>101</v>
      </c>
      <c r="C291" s="1" t="s">
        <v>107</v>
      </c>
      <c r="D291">
        <v>365</v>
      </c>
    </row>
    <row r="292" spans="1:4" x14ac:dyDescent="0.35">
      <c r="A292">
        <v>250</v>
      </c>
      <c r="B292" s="1" t="s">
        <v>96</v>
      </c>
      <c r="C292" s="1" t="s">
        <v>101</v>
      </c>
      <c r="D292">
        <v>364</v>
      </c>
    </row>
    <row r="293" spans="1:4" x14ac:dyDescent="0.35">
      <c r="A293">
        <v>15</v>
      </c>
      <c r="B293" s="1" t="s">
        <v>95</v>
      </c>
      <c r="C293" s="1" t="s">
        <v>102</v>
      </c>
      <c r="D293">
        <v>361</v>
      </c>
    </row>
    <row r="294" spans="1:4" x14ac:dyDescent="0.35">
      <c r="A294">
        <v>21</v>
      </c>
      <c r="B294" s="1" t="s">
        <v>105</v>
      </c>
      <c r="C294" s="1" t="s">
        <v>69</v>
      </c>
      <c r="D294">
        <v>354</v>
      </c>
    </row>
    <row r="295" spans="1:4" x14ac:dyDescent="0.35">
      <c r="A295">
        <v>3</v>
      </c>
      <c r="B295" s="1" t="s">
        <v>97</v>
      </c>
      <c r="C295" s="1" t="s">
        <v>100</v>
      </c>
      <c r="D295">
        <v>351</v>
      </c>
    </row>
    <row r="296" spans="1:4" x14ac:dyDescent="0.35">
      <c r="A296">
        <v>237</v>
      </c>
      <c r="B296" s="1" t="s">
        <v>109</v>
      </c>
      <c r="C296" s="1" t="s">
        <v>101</v>
      </c>
      <c r="D296">
        <v>343</v>
      </c>
    </row>
    <row r="297" spans="1:4" x14ac:dyDescent="0.35">
      <c r="A297">
        <v>194</v>
      </c>
      <c r="B297" s="1" t="s">
        <v>71</v>
      </c>
      <c r="C297" s="1" t="s">
        <v>105</v>
      </c>
      <c r="D297">
        <v>339</v>
      </c>
    </row>
    <row r="298" spans="1:4" x14ac:dyDescent="0.35">
      <c r="A298">
        <v>157</v>
      </c>
      <c r="B298" s="1" t="s">
        <v>106</v>
      </c>
      <c r="C298" s="1" t="s">
        <v>72</v>
      </c>
      <c r="D298">
        <v>323</v>
      </c>
    </row>
    <row r="299" spans="1:4" x14ac:dyDescent="0.35">
      <c r="A299">
        <v>243</v>
      </c>
      <c r="B299" s="1" t="s">
        <v>95</v>
      </c>
      <c r="C299" s="1" t="s">
        <v>105</v>
      </c>
      <c r="D299">
        <v>314</v>
      </c>
    </row>
    <row r="300" spans="1:4" x14ac:dyDescent="0.35">
      <c r="A300">
        <v>33</v>
      </c>
      <c r="B300" s="1" t="s">
        <v>67</v>
      </c>
      <c r="C300" s="1" t="s">
        <v>110</v>
      </c>
      <c r="D300">
        <v>313</v>
      </c>
    </row>
    <row r="301" spans="1:4" x14ac:dyDescent="0.35">
      <c r="A301">
        <v>190</v>
      </c>
      <c r="B301" s="1" t="s">
        <v>67</v>
      </c>
      <c r="C301" s="1" t="s">
        <v>103</v>
      </c>
      <c r="D301">
        <v>301</v>
      </c>
    </row>
  </sheetData>
  <phoneticPr fontId="2"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BAFFA-E009-4717-A411-0FA9D95C8BD1}">
  <dimension ref="A3:B24"/>
  <sheetViews>
    <sheetView zoomScale="70" zoomScaleNormal="70" workbookViewId="0">
      <selection activeCell="R18" sqref="R18"/>
    </sheetView>
  </sheetViews>
  <sheetFormatPr defaultRowHeight="14.5" x14ac:dyDescent="0.35"/>
  <cols>
    <col min="1" max="1" width="13.08984375" bestFit="1" customWidth="1"/>
    <col min="2" max="2" width="14.6328125" bestFit="1" customWidth="1"/>
  </cols>
  <sheetData>
    <row r="3" spans="1:2" x14ac:dyDescent="0.35">
      <c r="A3" s="2" t="s">
        <v>115</v>
      </c>
      <c r="B3" t="s">
        <v>129</v>
      </c>
    </row>
    <row r="4" spans="1:2" x14ac:dyDescent="0.35">
      <c r="A4" s="3">
        <v>41</v>
      </c>
      <c r="B4" s="1">
        <v>740</v>
      </c>
    </row>
    <row r="5" spans="1:2" x14ac:dyDescent="0.35">
      <c r="A5" s="3">
        <v>116</v>
      </c>
      <c r="B5" s="1">
        <v>944</v>
      </c>
    </row>
    <row r="6" spans="1:2" x14ac:dyDescent="0.35">
      <c r="A6" s="3">
        <v>69</v>
      </c>
      <c r="B6" s="1">
        <v>1654</v>
      </c>
    </row>
    <row r="7" spans="1:2" x14ac:dyDescent="0.35">
      <c r="A7" s="3">
        <v>226</v>
      </c>
      <c r="B7" s="1">
        <v>1675</v>
      </c>
    </row>
    <row r="8" spans="1:2" x14ac:dyDescent="0.35">
      <c r="A8" s="3">
        <v>94</v>
      </c>
      <c r="B8" s="1">
        <v>1793</v>
      </c>
    </row>
    <row r="9" spans="1:2" x14ac:dyDescent="0.35">
      <c r="A9" s="3">
        <v>204</v>
      </c>
      <c r="B9" s="1">
        <v>1798</v>
      </c>
    </row>
    <row r="10" spans="1:2" x14ac:dyDescent="0.35">
      <c r="A10" s="3">
        <v>126</v>
      </c>
      <c r="B10" s="1">
        <v>2305</v>
      </c>
    </row>
    <row r="11" spans="1:2" x14ac:dyDescent="0.35">
      <c r="A11" s="3">
        <v>264</v>
      </c>
      <c r="B11" s="1">
        <v>2768</v>
      </c>
    </row>
    <row r="12" spans="1:2" x14ac:dyDescent="0.35">
      <c r="A12" s="3">
        <v>172</v>
      </c>
      <c r="B12" s="1">
        <v>3278</v>
      </c>
    </row>
    <row r="13" spans="1:2" ht="31" x14ac:dyDescent="0.7">
      <c r="A13" s="3" t="s">
        <v>116</v>
      </c>
      <c r="B13" s="5">
        <v>16955</v>
      </c>
    </row>
    <row r="14" spans="1:2" ht="31" x14ac:dyDescent="0.7"/>
    <row r="18" ht="31" x14ac:dyDescent="0.7"/>
    <row r="24" ht="31" x14ac:dyDescent="0.7"/>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1D704-4D4E-4640-8B5C-1227024D2893}">
  <dimension ref="A1:L61"/>
  <sheetViews>
    <sheetView zoomScale="55" zoomScaleNormal="55" workbookViewId="0">
      <selection activeCell="R12" sqref="R12"/>
    </sheetView>
  </sheetViews>
  <sheetFormatPr defaultRowHeight="14.5" x14ac:dyDescent="0.35"/>
  <cols>
    <col min="1" max="1" width="10.54296875" bestFit="1" customWidth="1"/>
    <col min="2" max="2" width="11.36328125" bestFit="1" customWidth="1"/>
    <col min="3" max="3" width="11.81640625" bestFit="1" customWidth="1"/>
    <col min="4" max="4" width="21.453125" bestFit="1" customWidth="1"/>
    <col min="6" max="6" width="14.453125" bestFit="1" customWidth="1"/>
    <col min="7" max="7" width="16.90625" bestFit="1" customWidth="1"/>
    <col min="8" max="11" width="11.453125" bestFit="1" customWidth="1"/>
    <col min="12" max="12" width="12.453125" bestFit="1" customWidth="1"/>
  </cols>
  <sheetData>
    <row r="1" spans="1:12" x14ac:dyDescent="0.35">
      <c r="A1" s="1" t="s">
        <v>130</v>
      </c>
      <c r="B1" s="1" t="s">
        <v>131</v>
      </c>
      <c r="C1" s="1" t="s">
        <v>133</v>
      </c>
      <c r="D1" s="1" t="s">
        <v>132</v>
      </c>
    </row>
    <row r="2" spans="1:12" x14ac:dyDescent="0.35">
      <c r="A2" s="1" t="s">
        <v>80</v>
      </c>
      <c r="B2" s="1" t="s">
        <v>2</v>
      </c>
      <c r="C2" s="1">
        <v>15680172.564514199</v>
      </c>
      <c r="D2" s="1">
        <v>1</v>
      </c>
    </row>
    <row r="3" spans="1:12" x14ac:dyDescent="0.35">
      <c r="A3" s="1" t="s">
        <v>80</v>
      </c>
      <c r="B3" s="1" t="s">
        <v>3</v>
      </c>
      <c r="C3" s="1">
        <v>9428403.53515625</v>
      </c>
      <c r="D3" s="1">
        <v>2</v>
      </c>
    </row>
    <row r="4" spans="1:12" x14ac:dyDescent="0.35">
      <c r="A4" s="1" t="s">
        <v>80</v>
      </c>
      <c r="B4" s="1" t="s">
        <v>5</v>
      </c>
      <c r="C4" s="1">
        <v>5654245.1914977999</v>
      </c>
      <c r="D4" s="1">
        <v>3</v>
      </c>
      <c r="F4" s="2" t="s">
        <v>135</v>
      </c>
      <c r="G4" s="2" t="s">
        <v>134</v>
      </c>
    </row>
    <row r="5" spans="1:12" x14ac:dyDescent="0.35">
      <c r="A5" s="1" t="s">
        <v>80</v>
      </c>
      <c r="B5" s="1" t="s">
        <v>10</v>
      </c>
      <c r="C5" s="1">
        <v>3701107.6927185101</v>
      </c>
      <c r="D5" s="1">
        <v>4</v>
      </c>
      <c r="F5" s="2" t="s">
        <v>115</v>
      </c>
      <c r="G5" t="s">
        <v>80</v>
      </c>
      <c r="H5" t="s">
        <v>83</v>
      </c>
      <c r="I5" t="s">
        <v>84</v>
      </c>
      <c r="J5" t="s">
        <v>85</v>
      </c>
      <c r="K5" t="s">
        <v>86</v>
      </c>
      <c r="L5" t="s">
        <v>116</v>
      </c>
    </row>
    <row r="6" spans="1:12" x14ac:dyDescent="0.35">
      <c r="A6" s="1" t="s">
        <v>80</v>
      </c>
      <c r="B6" s="1" t="s">
        <v>16</v>
      </c>
      <c r="C6" s="1">
        <v>2062959.20687866</v>
      </c>
      <c r="D6" s="1">
        <v>5</v>
      </c>
      <c r="F6" s="3" t="s">
        <v>8</v>
      </c>
      <c r="G6" s="4"/>
      <c r="H6" s="4"/>
      <c r="I6" s="4">
        <v>4698859.9413757296</v>
      </c>
      <c r="J6" s="4"/>
      <c r="K6" s="4"/>
      <c r="L6" s="4">
        <v>4698859.9413757296</v>
      </c>
    </row>
    <row r="7" spans="1:12" x14ac:dyDescent="0.35">
      <c r="A7" s="1" t="s">
        <v>80</v>
      </c>
      <c r="B7" s="1" t="s">
        <v>21</v>
      </c>
      <c r="C7" s="1">
        <v>880420.89187622105</v>
      </c>
      <c r="D7" s="1">
        <v>6</v>
      </c>
      <c r="F7" s="3" t="s">
        <v>9</v>
      </c>
      <c r="G7" s="4"/>
      <c r="H7" s="4"/>
      <c r="I7" s="4"/>
      <c r="J7" s="4"/>
      <c r="K7" s="4">
        <v>3714062.4225769001</v>
      </c>
      <c r="L7" s="4">
        <v>3714062.4225769001</v>
      </c>
    </row>
    <row r="8" spans="1:12" x14ac:dyDescent="0.35">
      <c r="A8" s="1" t="s">
        <v>80</v>
      </c>
      <c r="B8" s="1" t="s">
        <v>26</v>
      </c>
      <c r="C8" s="1">
        <v>751189.01867675805</v>
      </c>
      <c r="D8" s="1">
        <v>7</v>
      </c>
      <c r="F8" s="3" t="s">
        <v>4</v>
      </c>
      <c r="G8" s="4"/>
      <c r="H8" s="4">
        <v>8817583.9323425293</v>
      </c>
      <c r="I8" s="4"/>
      <c r="J8" s="4"/>
      <c r="K8" s="4"/>
      <c r="L8" s="4">
        <v>8817583.9323425293</v>
      </c>
    </row>
    <row r="9" spans="1:12" x14ac:dyDescent="0.35">
      <c r="A9" s="1" t="s">
        <v>80</v>
      </c>
      <c r="B9" s="1" t="s">
        <v>29</v>
      </c>
      <c r="C9" s="1">
        <v>653933.92138671898</v>
      </c>
      <c r="D9" s="1">
        <v>8</v>
      </c>
      <c r="F9" s="3" t="s">
        <v>7</v>
      </c>
      <c r="G9" s="4"/>
      <c r="H9" s="4"/>
      <c r="I9" s="4"/>
      <c r="J9" s="4">
        <v>5444614.8030090304</v>
      </c>
      <c r="K9" s="4"/>
      <c r="L9" s="4">
        <v>5444614.8030090304</v>
      </c>
    </row>
    <row r="10" spans="1:12" x14ac:dyDescent="0.35">
      <c r="A10" s="1" t="s">
        <v>80</v>
      </c>
      <c r="B10" s="1" t="s">
        <v>30</v>
      </c>
      <c r="C10" s="1">
        <v>613735.69912719703</v>
      </c>
      <c r="D10" s="1">
        <v>9</v>
      </c>
      <c r="F10" s="3" t="s">
        <v>2</v>
      </c>
      <c r="G10" s="4">
        <v>15680172.564514199</v>
      </c>
      <c r="H10" s="4"/>
      <c r="I10" s="4"/>
      <c r="J10" s="4"/>
      <c r="K10" s="4"/>
      <c r="L10" s="4">
        <v>15680172.564514199</v>
      </c>
    </row>
    <row r="11" spans="1:12" x14ac:dyDescent="0.35">
      <c r="A11" s="1" t="s">
        <v>80</v>
      </c>
      <c r="B11" s="1" t="s">
        <v>45</v>
      </c>
      <c r="C11" s="1">
        <v>263888.63037109398</v>
      </c>
      <c r="D11" s="1">
        <v>10</v>
      </c>
      <c r="F11" s="3" t="s">
        <v>116</v>
      </c>
      <c r="G11" s="4">
        <v>15680172.564514199</v>
      </c>
      <c r="H11" s="4">
        <v>8817583.9323425293</v>
      </c>
      <c r="I11" s="4">
        <v>4698859.9413757296</v>
      </c>
      <c r="J11" s="4">
        <v>5444614.8030090304</v>
      </c>
      <c r="K11" s="4">
        <v>3714062.4225769001</v>
      </c>
      <c r="L11" s="4">
        <v>38355293.663818389</v>
      </c>
    </row>
    <row r="12" spans="1:12" x14ac:dyDescent="0.35">
      <c r="A12" s="1" t="s">
        <v>80</v>
      </c>
      <c r="B12" s="1" t="s">
        <v>47</v>
      </c>
      <c r="C12" s="1">
        <v>236807.13885498</v>
      </c>
      <c r="D12" s="1">
        <v>11</v>
      </c>
    </row>
    <row r="13" spans="1:12" x14ac:dyDescent="0.35">
      <c r="A13" s="1" t="s">
        <v>80</v>
      </c>
      <c r="B13" s="1" t="s">
        <v>49</v>
      </c>
      <c r="C13" s="1">
        <v>184353.580322266</v>
      </c>
      <c r="D13" s="1">
        <v>12</v>
      </c>
    </row>
    <row r="14" spans="1:12" x14ac:dyDescent="0.35">
      <c r="A14" s="1" t="s">
        <v>80</v>
      </c>
      <c r="B14" s="1" t="s">
        <v>51</v>
      </c>
      <c r="C14" s="1">
        <v>146329.858856201</v>
      </c>
      <c r="D14" s="1">
        <v>13</v>
      </c>
    </row>
    <row r="15" spans="1:12" x14ac:dyDescent="0.35">
      <c r="A15" s="1" t="s">
        <v>83</v>
      </c>
      <c r="B15" s="1" t="s">
        <v>4</v>
      </c>
      <c r="C15" s="1">
        <v>8817583.9323425293</v>
      </c>
      <c r="D15" s="1">
        <v>1</v>
      </c>
    </row>
    <row r="16" spans="1:12" x14ac:dyDescent="0.35">
      <c r="A16" s="1" t="s">
        <v>83</v>
      </c>
      <c r="B16" s="1" t="s">
        <v>6</v>
      </c>
      <c r="C16" s="1">
        <v>5563490.1400756799</v>
      </c>
      <c r="D16" s="1">
        <v>2</v>
      </c>
    </row>
    <row r="17" spans="1:4" x14ac:dyDescent="0.35">
      <c r="A17" s="1" t="s">
        <v>83</v>
      </c>
      <c r="B17" s="1" t="s">
        <v>11</v>
      </c>
      <c r="C17" s="1">
        <v>3486773.5088195801</v>
      </c>
      <c r="D17" s="1">
        <v>3</v>
      </c>
    </row>
    <row r="18" spans="1:4" x14ac:dyDescent="0.35">
      <c r="A18" s="1" t="s">
        <v>83</v>
      </c>
      <c r="B18" s="1" t="s">
        <v>25</v>
      </c>
      <c r="C18" s="1">
        <v>767787.51779174805</v>
      </c>
      <c r="D18" s="1">
        <v>4</v>
      </c>
    </row>
    <row r="19" spans="1:4" x14ac:dyDescent="0.35">
      <c r="A19" s="1" t="s">
        <v>83</v>
      </c>
      <c r="B19" s="1" t="s">
        <v>27</v>
      </c>
      <c r="C19" s="1">
        <v>709124.85809326195</v>
      </c>
      <c r="D19" s="1">
        <v>5</v>
      </c>
    </row>
    <row r="20" spans="1:4" x14ac:dyDescent="0.35">
      <c r="A20" s="1" t="s">
        <v>83</v>
      </c>
      <c r="B20" s="1" t="s">
        <v>31</v>
      </c>
      <c r="C20" s="1">
        <v>572556.56814575195</v>
      </c>
      <c r="D20" s="1">
        <v>6</v>
      </c>
    </row>
    <row r="21" spans="1:4" x14ac:dyDescent="0.35">
      <c r="A21" s="1" t="s">
        <v>83</v>
      </c>
      <c r="B21" s="1" t="s">
        <v>36</v>
      </c>
      <c r="C21" s="1">
        <v>384858.87048339797</v>
      </c>
      <c r="D21" s="1">
        <v>7</v>
      </c>
    </row>
    <row r="22" spans="1:4" x14ac:dyDescent="0.35">
      <c r="A22" s="1" t="s">
        <v>83</v>
      </c>
      <c r="B22" s="1" t="s">
        <v>40</v>
      </c>
      <c r="C22" s="1">
        <v>346973.240753174</v>
      </c>
      <c r="D22" s="1">
        <v>8</v>
      </c>
    </row>
    <row r="23" spans="1:4" x14ac:dyDescent="0.35">
      <c r="A23" s="1" t="s">
        <v>83</v>
      </c>
      <c r="B23" s="1" t="s">
        <v>42</v>
      </c>
      <c r="C23" s="1">
        <v>324298.13006591803</v>
      </c>
      <c r="D23" s="1">
        <v>9</v>
      </c>
    </row>
    <row r="24" spans="1:4" x14ac:dyDescent="0.35">
      <c r="A24" s="1" t="s">
        <v>83</v>
      </c>
      <c r="B24" s="1" t="s">
        <v>43</v>
      </c>
      <c r="C24" s="1">
        <v>280729.67962646502</v>
      </c>
      <c r="D24" s="1">
        <v>10</v>
      </c>
    </row>
    <row r="25" spans="1:4" x14ac:dyDescent="0.35">
      <c r="A25" s="1" t="s">
        <v>83</v>
      </c>
      <c r="B25" s="1" t="s">
        <v>55</v>
      </c>
      <c r="C25" s="1">
        <v>80465.299499511704</v>
      </c>
      <c r="D25" s="1">
        <v>11</v>
      </c>
    </row>
    <row r="26" spans="1:4" x14ac:dyDescent="0.35">
      <c r="A26" s="1" t="s">
        <v>83</v>
      </c>
      <c r="B26" s="1" t="s">
        <v>59</v>
      </c>
      <c r="C26" s="1">
        <v>24789.439758300799</v>
      </c>
      <c r="D26" s="1">
        <v>12</v>
      </c>
    </row>
    <row r="27" spans="1:4" x14ac:dyDescent="0.35">
      <c r="A27" s="1" t="s">
        <v>84</v>
      </c>
      <c r="B27" s="1" t="s">
        <v>8</v>
      </c>
      <c r="C27" s="1">
        <v>4698859.9413757296</v>
      </c>
      <c r="D27" s="1">
        <v>1</v>
      </c>
    </row>
    <row r="28" spans="1:4" x14ac:dyDescent="0.35">
      <c r="A28" s="1" t="s">
        <v>84</v>
      </c>
      <c r="B28" s="1" t="s">
        <v>14</v>
      </c>
      <c r="C28" s="1">
        <v>2338645.4969787602</v>
      </c>
      <c r="D28" s="1">
        <v>2</v>
      </c>
    </row>
    <row r="29" spans="1:4" x14ac:dyDescent="0.35">
      <c r="A29" s="1" t="s">
        <v>84</v>
      </c>
      <c r="B29" s="1" t="s">
        <v>17</v>
      </c>
      <c r="C29" s="1">
        <v>1875364.9587707501</v>
      </c>
      <c r="D29" s="1">
        <v>3</v>
      </c>
    </row>
    <row r="30" spans="1:4" x14ac:dyDescent="0.35">
      <c r="A30" s="1" t="s">
        <v>84</v>
      </c>
      <c r="B30" s="1" t="s">
        <v>19</v>
      </c>
      <c r="C30" s="1">
        <v>1116004.4818115199</v>
      </c>
      <c r="D30" s="1">
        <v>4</v>
      </c>
    </row>
    <row r="31" spans="1:4" x14ac:dyDescent="0.35">
      <c r="A31" s="1" t="s">
        <v>84</v>
      </c>
      <c r="B31" s="1" t="s">
        <v>33</v>
      </c>
      <c r="C31" s="1">
        <v>539785.85717773403</v>
      </c>
      <c r="D31" s="1">
        <v>5</v>
      </c>
    </row>
    <row r="32" spans="1:4" x14ac:dyDescent="0.35">
      <c r="A32" s="1" t="s">
        <v>84</v>
      </c>
      <c r="B32" s="1" t="s">
        <v>34</v>
      </c>
      <c r="C32" s="1">
        <v>536569.43908691395</v>
      </c>
      <c r="D32" s="1">
        <v>6</v>
      </c>
    </row>
    <row r="33" spans="1:4" x14ac:dyDescent="0.35">
      <c r="A33" s="1" t="s">
        <v>84</v>
      </c>
      <c r="B33" s="1" t="s">
        <v>39</v>
      </c>
      <c r="C33" s="1">
        <v>366615.11871337902</v>
      </c>
      <c r="D33" s="1">
        <v>7</v>
      </c>
    </row>
    <row r="34" spans="1:4" x14ac:dyDescent="0.35">
      <c r="A34" s="1" t="s">
        <v>84</v>
      </c>
      <c r="B34" s="1" t="s">
        <v>58</v>
      </c>
      <c r="C34" s="1">
        <v>34317.720214843801</v>
      </c>
      <c r="D34" s="1">
        <v>8</v>
      </c>
    </row>
    <row r="35" spans="1:4" x14ac:dyDescent="0.35">
      <c r="A35" s="1" t="s">
        <v>85</v>
      </c>
      <c r="B35" s="1" t="s">
        <v>7</v>
      </c>
      <c r="C35" s="1">
        <v>5444614.8030090304</v>
      </c>
      <c r="D35" s="1">
        <v>1</v>
      </c>
    </row>
    <row r="36" spans="1:4" x14ac:dyDescent="0.35">
      <c r="A36" s="1" t="s">
        <v>85</v>
      </c>
      <c r="B36" s="1" t="s">
        <v>22</v>
      </c>
      <c r="C36" s="1">
        <v>871676.35736083996</v>
      </c>
      <c r="D36" s="1">
        <v>2</v>
      </c>
    </row>
    <row r="37" spans="1:4" x14ac:dyDescent="0.35">
      <c r="A37" s="1" t="s">
        <v>85</v>
      </c>
      <c r="B37" s="1" t="s">
        <v>23</v>
      </c>
      <c r="C37" s="1">
        <v>851426.02636718797</v>
      </c>
      <c r="D37" s="1">
        <v>3</v>
      </c>
    </row>
    <row r="38" spans="1:4" x14ac:dyDescent="0.35">
      <c r="A38" s="1" t="s">
        <v>85</v>
      </c>
      <c r="B38" s="1" t="s">
        <v>24</v>
      </c>
      <c r="C38" s="1">
        <v>846055.882629395</v>
      </c>
      <c r="D38" s="1">
        <v>4</v>
      </c>
    </row>
    <row r="39" spans="1:4" x14ac:dyDescent="0.35">
      <c r="A39" s="1" t="s">
        <v>85</v>
      </c>
      <c r="B39" s="1" t="s">
        <v>28</v>
      </c>
      <c r="C39" s="1">
        <v>663629.53979492199</v>
      </c>
      <c r="D39" s="1">
        <v>5</v>
      </c>
    </row>
    <row r="40" spans="1:4" x14ac:dyDescent="0.35">
      <c r="A40" s="1" t="s">
        <v>85</v>
      </c>
      <c r="B40" s="1" t="s">
        <v>35</v>
      </c>
      <c r="C40" s="1">
        <v>527885.79010009801</v>
      </c>
      <c r="D40" s="1">
        <v>6</v>
      </c>
    </row>
    <row r="41" spans="1:4" x14ac:dyDescent="0.35">
      <c r="A41" s="1" t="s">
        <v>85</v>
      </c>
      <c r="B41" s="1" t="s">
        <v>57</v>
      </c>
      <c r="C41" s="1">
        <v>34805.730346679702</v>
      </c>
      <c r="D41" s="1">
        <v>7</v>
      </c>
    </row>
    <row r="42" spans="1:4" x14ac:dyDescent="0.35">
      <c r="A42" s="1" t="s">
        <v>85</v>
      </c>
      <c r="B42" s="1" t="s">
        <v>61</v>
      </c>
      <c r="C42" s="1">
        <v>10997.33984375</v>
      </c>
      <c r="D42" s="1">
        <v>8</v>
      </c>
    </row>
    <row r="43" spans="1:4" x14ac:dyDescent="0.35">
      <c r="A43" s="1" t="s">
        <v>86</v>
      </c>
      <c r="B43" s="1" t="s">
        <v>9</v>
      </c>
      <c r="C43" s="1">
        <v>3714062.4225769001</v>
      </c>
      <c r="D43" s="1">
        <v>1</v>
      </c>
    </row>
    <row r="44" spans="1:4" x14ac:dyDescent="0.35">
      <c r="A44" s="1" t="s">
        <v>86</v>
      </c>
      <c r="B44" s="1" t="s">
        <v>12</v>
      </c>
      <c r="C44" s="1">
        <v>3063712.6276245099</v>
      </c>
      <c r="D44" s="1">
        <v>2</v>
      </c>
    </row>
    <row r="45" spans="1:4" x14ac:dyDescent="0.35">
      <c r="A45" s="1" t="s">
        <v>86</v>
      </c>
      <c r="B45" s="1" t="s">
        <v>13</v>
      </c>
      <c r="C45" s="1">
        <v>2448626.5689392099</v>
      </c>
      <c r="D45" s="1">
        <v>3</v>
      </c>
    </row>
    <row r="46" spans="1:4" x14ac:dyDescent="0.35">
      <c r="A46" s="1" t="s">
        <v>86</v>
      </c>
      <c r="B46" s="1" t="s">
        <v>15</v>
      </c>
      <c r="C46" s="1">
        <v>2152007.1072082501</v>
      </c>
      <c r="D46" s="1">
        <v>4</v>
      </c>
    </row>
    <row r="47" spans="1:4" x14ac:dyDescent="0.35">
      <c r="A47" s="1" t="s">
        <v>86</v>
      </c>
      <c r="B47" s="1" t="s">
        <v>18</v>
      </c>
      <c r="C47" s="1">
        <v>1379593.2265625</v>
      </c>
      <c r="D47" s="1">
        <v>5</v>
      </c>
    </row>
    <row r="48" spans="1:4" x14ac:dyDescent="0.35">
      <c r="A48" s="1" t="s">
        <v>86</v>
      </c>
      <c r="B48" s="1" t="s">
        <v>20</v>
      </c>
      <c r="C48" s="1">
        <v>1077860.0308532701</v>
      </c>
      <c r="D48" s="1">
        <v>6</v>
      </c>
    </row>
    <row r="49" spans="1:4" x14ac:dyDescent="0.35">
      <c r="A49" s="1" t="s">
        <v>86</v>
      </c>
      <c r="B49" s="1" t="s">
        <v>32</v>
      </c>
      <c r="C49" s="1">
        <v>570321.25051879894</v>
      </c>
      <c r="D49" s="1">
        <v>7</v>
      </c>
    </row>
    <row r="50" spans="1:4" x14ac:dyDescent="0.35">
      <c r="A50" s="1" t="s">
        <v>86</v>
      </c>
      <c r="B50" s="1" t="s">
        <v>37</v>
      </c>
      <c r="C50" s="1">
        <v>381738.78091430699</v>
      </c>
      <c r="D50" s="1">
        <v>8</v>
      </c>
    </row>
    <row r="51" spans="1:4" x14ac:dyDescent="0.35">
      <c r="A51" s="1" t="s">
        <v>86</v>
      </c>
      <c r="B51" s="1" t="s">
        <v>38</v>
      </c>
      <c r="C51">
        <v>376185.17990112299</v>
      </c>
      <c r="D51">
        <v>9</v>
      </c>
    </row>
    <row r="52" spans="1:4" x14ac:dyDescent="0.35">
      <c r="A52" s="1" t="s">
        <v>86</v>
      </c>
      <c r="B52" s="1" t="s">
        <v>41</v>
      </c>
      <c r="C52">
        <v>334923.159973145</v>
      </c>
      <c r="D52">
        <v>10</v>
      </c>
    </row>
    <row r="53" spans="1:4" x14ac:dyDescent="0.35">
      <c r="A53" s="1" t="s">
        <v>86</v>
      </c>
      <c r="B53" s="1" t="s">
        <v>44</v>
      </c>
      <c r="C53">
        <v>268375.48138427699</v>
      </c>
      <c r="D53">
        <v>11</v>
      </c>
    </row>
    <row r="54" spans="1:4" x14ac:dyDescent="0.35">
      <c r="A54" s="1" t="s">
        <v>86</v>
      </c>
      <c r="B54" s="1" t="s">
        <v>46</v>
      </c>
      <c r="C54">
        <v>240222.11962890599</v>
      </c>
      <c r="D54">
        <v>12</v>
      </c>
    </row>
    <row r="55" spans="1:4" x14ac:dyDescent="0.35">
      <c r="A55" s="1" t="s">
        <v>86</v>
      </c>
      <c r="B55" s="1" t="s">
        <v>48</v>
      </c>
      <c r="C55">
        <v>208081.120544434</v>
      </c>
      <c r="D55">
        <v>13</v>
      </c>
    </row>
    <row r="56" spans="1:4" x14ac:dyDescent="0.35">
      <c r="A56" s="1" t="s">
        <v>86</v>
      </c>
      <c r="B56" s="1" t="s">
        <v>50</v>
      </c>
      <c r="C56">
        <v>163684.319793701</v>
      </c>
      <c r="D56">
        <v>14</v>
      </c>
    </row>
    <row r="57" spans="1:4" x14ac:dyDescent="0.35">
      <c r="A57" s="1" t="s">
        <v>86</v>
      </c>
      <c r="B57" s="1" t="s">
        <v>52</v>
      </c>
      <c r="C57">
        <v>132245.16949462899</v>
      </c>
      <c r="D57">
        <v>15</v>
      </c>
    </row>
    <row r="58" spans="1:4" x14ac:dyDescent="0.35">
      <c r="A58" s="1" t="s">
        <v>86</v>
      </c>
      <c r="B58" s="1" t="s">
        <v>53</v>
      </c>
      <c r="C58">
        <v>121964.750061035</v>
      </c>
      <c r="D58">
        <v>16</v>
      </c>
    </row>
    <row r="59" spans="1:4" x14ac:dyDescent="0.35">
      <c r="A59" s="1" t="s">
        <v>86</v>
      </c>
      <c r="B59" s="1" t="s">
        <v>54</v>
      </c>
      <c r="C59">
        <v>83253.979919433594</v>
      </c>
      <c r="D59">
        <v>17</v>
      </c>
    </row>
    <row r="60" spans="1:4" x14ac:dyDescent="0.35">
      <c r="A60" s="1" t="s">
        <v>86</v>
      </c>
      <c r="B60" s="1" t="s">
        <v>56</v>
      </c>
      <c r="C60">
        <v>51727.850128173799</v>
      </c>
      <c r="D60">
        <v>18</v>
      </c>
    </row>
    <row r="61" spans="1:4" x14ac:dyDescent="0.35">
      <c r="A61" s="1" t="s">
        <v>86</v>
      </c>
      <c r="B61" s="1" t="s">
        <v>60</v>
      </c>
      <c r="C61">
        <v>21508.239898681601</v>
      </c>
      <c r="D61">
        <v>19</v>
      </c>
    </row>
  </sheetData>
  <phoneticPr fontId="2" type="noConversion"/>
  <conditionalFormatting pivot="1" sqref="G6:K10">
    <cfRule type="colorScale" priority="1">
      <colorScale>
        <cfvo type="min"/>
        <cfvo type="percentile" val="50"/>
        <cfvo type="max"/>
        <color rgb="FFF8696B"/>
        <color rgb="FFFFEB84"/>
        <color rgb="FF63BE7B"/>
      </colorScale>
    </cfRule>
  </conditionalFormatting>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93C06-35A2-4FC7-BB6C-9EA674E49DC1}">
  <dimension ref="A1:E25"/>
  <sheetViews>
    <sheetView topLeftCell="C2" zoomScale="70" zoomScaleNormal="70" workbookViewId="0">
      <selection activeCell="S13" sqref="S13"/>
    </sheetView>
  </sheetViews>
  <sheetFormatPr defaultRowHeight="14.5" x14ac:dyDescent="0.35"/>
  <cols>
    <col min="1" max="2" width="10.54296875" bestFit="1" customWidth="1"/>
    <col min="3" max="3" width="10.54296875" customWidth="1"/>
    <col min="4" max="4" width="16.81640625" style="4" bestFit="1" customWidth="1"/>
    <col min="5" max="5" width="22.6328125" style="4" bestFit="1" customWidth="1"/>
  </cols>
  <sheetData>
    <row r="1" spans="1:5" x14ac:dyDescent="0.35">
      <c r="A1" s="1" t="s">
        <v>0</v>
      </c>
      <c r="B1" s="1" t="s">
        <v>1</v>
      </c>
      <c r="C1" s="1" t="s">
        <v>138</v>
      </c>
      <c r="D1" s="4" t="s">
        <v>136</v>
      </c>
      <c r="E1" s="4" t="s">
        <v>137</v>
      </c>
    </row>
    <row r="2" spans="1:5" x14ac:dyDescent="0.35">
      <c r="A2" s="1">
        <v>2023</v>
      </c>
      <c r="B2" s="1">
        <v>1</v>
      </c>
      <c r="C2" s="1" t="str">
        <f>CONCATENATE(ka_res_12[[#This Row],[Column1]]&amp;"-",ka_res_12[[#This Row],[Column2]])</f>
        <v>2023-1</v>
      </c>
      <c r="D2" s="4">
        <v>3322210.09</v>
      </c>
      <c r="E2" s="4">
        <v>3322210.09</v>
      </c>
    </row>
    <row r="3" spans="1:5" x14ac:dyDescent="0.35">
      <c r="A3" s="1">
        <v>2023</v>
      </c>
      <c r="B3" s="1">
        <v>2</v>
      </c>
      <c r="C3" s="1" t="str">
        <f>CONCATENATE(ka_res_12[[#This Row],[Column1]]&amp;"-",ka_res_12[[#This Row],[Column2]])</f>
        <v>2023-2</v>
      </c>
      <c r="D3" s="4">
        <v>3498638.3</v>
      </c>
      <c r="E3" s="4">
        <v>6820848.3899999997</v>
      </c>
    </row>
    <row r="4" spans="1:5" x14ac:dyDescent="0.35">
      <c r="A4" s="1">
        <v>2023</v>
      </c>
      <c r="B4" s="1">
        <v>3</v>
      </c>
      <c r="C4" s="1" t="str">
        <f>CONCATENATE(ka_res_12[[#This Row],[Column1]]&amp;"-",ka_res_12[[#This Row],[Column2]])</f>
        <v>2023-3</v>
      </c>
      <c r="D4" s="4">
        <v>4279637.88</v>
      </c>
      <c r="E4" s="4">
        <v>11100486.27</v>
      </c>
    </row>
    <row r="5" spans="1:5" x14ac:dyDescent="0.35">
      <c r="A5" s="1">
        <v>2023</v>
      </c>
      <c r="B5" s="1">
        <v>4</v>
      </c>
      <c r="C5" s="1" t="str">
        <f>CONCATENATE(ka_res_12[[#This Row],[Column1]]&amp;"-",ka_res_12[[#This Row],[Column2]])</f>
        <v>2023-4</v>
      </c>
      <c r="D5" s="4">
        <v>4601947.12</v>
      </c>
      <c r="E5" s="4">
        <v>15702433.390000001</v>
      </c>
    </row>
    <row r="6" spans="1:5" x14ac:dyDescent="0.35">
      <c r="A6" s="1">
        <v>2023</v>
      </c>
      <c r="B6" s="1">
        <v>5</v>
      </c>
      <c r="C6" s="1" t="str">
        <f>CONCATENATE(ka_res_12[[#This Row],[Column1]]&amp;"-",ka_res_12[[#This Row],[Column2]])</f>
        <v>2023-5</v>
      </c>
      <c r="D6" s="4">
        <v>4138703.98</v>
      </c>
      <c r="E6" s="4">
        <v>19841137.370000001</v>
      </c>
    </row>
    <row r="7" spans="1:5" x14ac:dyDescent="0.35">
      <c r="A7" s="1">
        <v>2023</v>
      </c>
      <c r="B7" s="1">
        <v>6</v>
      </c>
      <c r="C7" s="1" t="str">
        <f>CONCATENATE(ka_res_12[[#This Row],[Column1]]&amp;"-",ka_res_12[[#This Row],[Column2]])</f>
        <v>2023-6</v>
      </c>
      <c r="D7" s="4">
        <v>4066056.27</v>
      </c>
      <c r="E7" s="4">
        <v>23907193.640000001</v>
      </c>
    </row>
    <row r="8" spans="1:5" x14ac:dyDescent="0.35">
      <c r="A8" s="1">
        <v>2023</v>
      </c>
      <c r="B8" s="1">
        <v>7</v>
      </c>
      <c r="C8" s="1" t="str">
        <f>CONCATENATE(ka_res_12[[#This Row],[Column1]]&amp;"-",ka_res_12[[#This Row],[Column2]])</f>
        <v>2023-7</v>
      </c>
      <c r="D8" s="4">
        <v>4317948.1399999997</v>
      </c>
      <c r="E8" s="4">
        <v>28225141.780000001</v>
      </c>
    </row>
    <row r="9" spans="1:5" x14ac:dyDescent="0.35">
      <c r="A9" s="1">
        <v>2023</v>
      </c>
      <c r="B9" s="1">
        <v>8</v>
      </c>
      <c r="C9" s="1" t="str">
        <f>CONCATENATE(ka_res_12[[#This Row],[Column1]]&amp;"-",ka_res_12[[#This Row],[Column2]])</f>
        <v>2023-8</v>
      </c>
      <c r="D9" s="4">
        <v>2534618.29</v>
      </c>
      <c r="E9" s="4">
        <v>30759760.07</v>
      </c>
    </row>
    <row r="10" spans="1:5" x14ac:dyDescent="0.35">
      <c r="A10" s="1">
        <v>2023</v>
      </c>
      <c r="B10" s="1">
        <v>9</v>
      </c>
      <c r="C10" s="1" t="str">
        <f>CONCATENATE(ka_res_12[[#This Row],[Column1]]&amp;"-",ka_res_12[[#This Row],[Column2]])</f>
        <v>2023-9</v>
      </c>
      <c r="D10" s="4">
        <v>3915863.17</v>
      </c>
      <c r="E10" s="4">
        <v>34675623.240000002</v>
      </c>
    </row>
    <row r="11" spans="1:5" x14ac:dyDescent="0.35">
      <c r="A11" s="1">
        <v>2023</v>
      </c>
      <c r="B11" s="1">
        <v>10</v>
      </c>
      <c r="C11" s="1" t="str">
        <f>CONCATENATE(ka_res_12[[#This Row],[Column1]]&amp;"-",ka_res_12[[#This Row],[Column2]])</f>
        <v>2023-10</v>
      </c>
      <c r="D11" s="4">
        <v>4415826.9000000004</v>
      </c>
      <c r="E11" s="4">
        <v>39091450.140000001</v>
      </c>
    </row>
    <row r="12" spans="1:5" x14ac:dyDescent="0.35">
      <c r="A12" s="1">
        <v>2023</v>
      </c>
      <c r="B12" s="1">
        <v>11</v>
      </c>
      <c r="C12" s="1" t="str">
        <f>CONCATENATE(ka_res_12[[#This Row],[Column1]]&amp;"-",ka_res_12[[#This Row],[Column2]])</f>
        <v>2023-11</v>
      </c>
      <c r="D12" s="4">
        <v>4208285.42</v>
      </c>
      <c r="E12" s="4">
        <v>43299735.560000002</v>
      </c>
    </row>
    <row r="13" spans="1:5" x14ac:dyDescent="0.35">
      <c r="A13" s="1">
        <v>2023</v>
      </c>
      <c r="B13" s="1">
        <v>12</v>
      </c>
      <c r="C13" s="1" t="str">
        <f>CONCATENATE(ka_res_12[[#This Row],[Column1]]&amp;"-",ka_res_12[[#This Row],[Column2]])</f>
        <v>2023-12</v>
      </c>
      <c r="D13" s="4">
        <v>3907126.92</v>
      </c>
      <c r="E13" s="4">
        <v>47206862.479999997</v>
      </c>
    </row>
    <row r="14" spans="1:5" x14ac:dyDescent="0.35">
      <c r="A14" s="1">
        <v>2024</v>
      </c>
      <c r="B14" s="1">
        <v>1</v>
      </c>
      <c r="C14" s="1" t="str">
        <f>CONCATENATE(ka_res_12[[#This Row],[Column1]]&amp;"-",ka_res_12[[#This Row],[Column2]])</f>
        <v>2024-1</v>
      </c>
      <c r="D14" s="4">
        <v>3717429.56</v>
      </c>
      <c r="E14" s="4">
        <v>50924292.039999999</v>
      </c>
    </row>
    <row r="15" spans="1:5" x14ac:dyDescent="0.35">
      <c r="A15" s="1">
        <v>2024</v>
      </c>
      <c r="B15" s="1">
        <v>2</v>
      </c>
      <c r="C15" s="1" t="str">
        <f>CONCATENATE(ka_res_12[[#This Row],[Column1]]&amp;"-",ka_res_12[[#This Row],[Column2]])</f>
        <v>2024-2</v>
      </c>
      <c r="D15" s="4">
        <v>4025560.82</v>
      </c>
      <c r="E15" s="4">
        <v>54949852.859999999</v>
      </c>
    </row>
    <row r="16" spans="1:5" x14ac:dyDescent="0.35">
      <c r="A16" s="1">
        <v>2024</v>
      </c>
      <c r="B16" s="1">
        <v>3</v>
      </c>
      <c r="C16" s="1" t="str">
        <f>CONCATENATE(ka_res_12[[#This Row],[Column1]]&amp;"-",ka_res_12[[#This Row],[Column2]])</f>
        <v>2024-3</v>
      </c>
      <c r="D16" s="4">
        <v>4578474.99</v>
      </c>
      <c r="E16" s="4">
        <v>59528327.850000001</v>
      </c>
    </row>
    <row r="17" spans="1:5" x14ac:dyDescent="0.35">
      <c r="A17" s="1">
        <v>2024</v>
      </c>
      <c r="B17" s="1">
        <v>4</v>
      </c>
      <c r="C17" s="1" t="str">
        <f>CONCATENATE(ka_res_12[[#This Row],[Column1]]&amp;"-",ka_res_12[[#This Row],[Column2]])</f>
        <v>2024-4</v>
      </c>
      <c r="D17" s="4">
        <v>4431679.34</v>
      </c>
      <c r="E17" s="4">
        <v>63960007.189999998</v>
      </c>
    </row>
    <row r="18" spans="1:5" x14ac:dyDescent="0.35">
      <c r="A18" s="1">
        <v>2024</v>
      </c>
      <c r="B18" s="1">
        <v>5</v>
      </c>
      <c r="C18" s="1" t="str">
        <f>CONCATENATE(ka_res_12[[#This Row],[Column1]]&amp;"-",ka_res_12[[#This Row],[Column2]])</f>
        <v>2024-5</v>
      </c>
      <c r="D18" s="4">
        <v>4743585.76</v>
      </c>
      <c r="E18" s="4">
        <v>68703592.950000003</v>
      </c>
    </row>
    <row r="19" spans="1:5" x14ac:dyDescent="0.35">
      <c r="A19" s="1">
        <v>2024</v>
      </c>
      <c r="B19" s="1">
        <v>6</v>
      </c>
      <c r="C19" s="1" t="str">
        <f>CONCATENATE(ka_res_12[[#This Row],[Column1]]&amp;"-",ka_res_12[[#This Row],[Column2]])</f>
        <v>2024-6</v>
      </c>
      <c r="D19" s="4">
        <v>4605191.09</v>
      </c>
      <c r="E19" s="4">
        <v>73308784.040000007</v>
      </c>
    </row>
    <row r="20" spans="1:5" x14ac:dyDescent="0.35">
      <c r="A20" s="1">
        <v>2024</v>
      </c>
      <c r="B20" s="1">
        <v>7</v>
      </c>
      <c r="C20" s="1" t="str">
        <f>CONCATENATE(ka_res_12[[#This Row],[Column1]]&amp;"-",ka_res_12[[#This Row],[Column2]])</f>
        <v>2024-7</v>
      </c>
      <c r="D20" s="4">
        <v>4630689.5599999996</v>
      </c>
      <c r="E20" s="4">
        <v>77939473.599999994</v>
      </c>
    </row>
    <row r="21" spans="1:5" x14ac:dyDescent="0.35">
      <c r="A21" s="1">
        <v>2024</v>
      </c>
      <c r="B21" s="1">
        <v>8</v>
      </c>
      <c r="C21" s="1" t="str">
        <f>CONCATENATE(ka_res_12[[#This Row],[Column1]]&amp;"-",ka_res_12[[#This Row],[Column2]])</f>
        <v>2024-8</v>
      </c>
      <c r="D21" s="4">
        <v>2761161.38</v>
      </c>
      <c r="E21" s="4">
        <v>80700634.980000004</v>
      </c>
    </row>
    <row r="22" spans="1:5" x14ac:dyDescent="0.35">
      <c r="A22" s="1">
        <v>2024</v>
      </c>
      <c r="B22" s="1">
        <v>9</v>
      </c>
      <c r="C22" s="1" t="str">
        <f>CONCATENATE(ka_res_12[[#This Row],[Column1]]&amp;"-",ka_res_12[[#This Row],[Column2]])</f>
        <v>2024-9</v>
      </c>
      <c r="D22" s="4">
        <v>4498928.46</v>
      </c>
      <c r="E22" s="4">
        <v>85199563.439999998</v>
      </c>
    </row>
    <row r="23" spans="1:5" x14ac:dyDescent="0.35">
      <c r="A23" s="1">
        <v>2024</v>
      </c>
      <c r="B23" s="1">
        <v>10</v>
      </c>
      <c r="C23" s="1" t="str">
        <f>CONCATENATE(ka_res_12[[#This Row],[Column1]]&amp;"-",ka_res_12[[#This Row],[Column2]])</f>
        <v>2024-10</v>
      </c>
      <c r="D23" s="4">
        <v>4898060.51</v>
      </c>
      <c r="E23" s="4">
        <v>90097623.950000003</v>
      </c>
    </row>
    <row r="24" spans="1:5" x14ac:dyDescent="0.35">
      <c r="A24" s="1">
        <v>2024</v>
      </c>
      <c r="B24" s="1">
        <v>11</v>
      </c>
      <c r="C24" s="1" t="str">
        <f>CONCATENATE(ka_res_12[[#This Row],[Column1]]&amp;"-",ka_res_12[[#This Row],[Column2]])</f>
        <v>2024-11</v>
      </c>
      <c r="D24" s="4">
        <v>4413416.79</v>
      </c>
      <c r="E24" s="4">
        <v>94511040.739999995</v>
      </c>
    </row>
    <row r="25" spans="1:5" x14ac:dyDescent="0.35">
      <c r="A25" s="1">
        <v>2024</v>
      </c>
      <c r="B25" s="1">
        <v>12</v>
      </c>
      <c r="C25" s="1" t="str">
        <f>CONCATENATE(ka_res_12[[#This Row],[Column1]]&amp;"-",ka_res_12[[#This Row],[Column2]])</f>
        <v>2024-12</v>
      </c>
      <c r="D25" s="4">
        <v>4653285.24</v>
      </c>
      <c r="E25" s="4">
        <v>99164325.980000004</v>
      </c>
    </row>
  </sheetData>
  <phoneticPr fontId="2" type="noConversion"/>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06E39-CCBD-489B-9BE3-483587594DAA}">
  <dimension ref="A1:H25"/>
  <sheetViews>
    <sheetView topLeftCell="A65" zoomScale="70" zoomScaleNormal="70" workbookViewId="0">
      <selection activeCell="L80" sqref="L80"/>
    </sheetView>
  </sheetViews>
  <sheetFormatPr defaultRowHeight="14.5" x14ac:dyDescent="0.35"/>
  <cols>
    <col min="1" max="2" width="10.54296875" bestFit="1" customWidth="1"/>
    <col min="3" max="3" width="10.54296875" customWidth="1"/>
    <col min="4" max="4" width="16.6328125" bestFit="1" customWidth="1"/>
    <col min="5" max="5" width="16.453125" bestFit="1" customWidth="1"/>
    <col min="6" max="6" width="20.90625" style="6" bestFit="1" customWidth="1"/>
    <col min="7" max="7" width="12.81640625" bestFit="1" customWidth="1"/>
    <col min="8" max="8" width="22.36328125" style="6" bestFit="1" customWidth="1"/>
  </cols>
  <sheetData>
    <row r="1" spans="1:8" x14ac:dyDescent="0.35">
      <c r="A1" s="1" t="s">
        <v>0</v>
      </c>
      <c r="B1" s="1" t="s">
        <v>1</v>
      </c>
      <c r="C1" s="1" t="s">
        <v>62</v>
      </c>
      <c r="D1" s="1" t="s">
        <v>139</v>
      </c>
      <c r="E1" s="1" t="s">
        <v>140</v>
      </c>
      <c r="F1" s="6" t="s">
        <v>141</v>
      </c>
      <c r="G1" s="1" t="s">
        <v>142</v>
      </c>
      <c r="H1" s="6" t="s">
        <v>143</v>
      </c>
    </row>
    <row r="2" spans="1:8" x14ac:dyDescent="0.35">
      <c r="A2" s="1">
        <v>2023</v>
      </c>
      <c r="B2" s="1">
        <v>1</v>
      </c>
      <c r="C2" s="1" t="str">
        <f>CONCATENATE(ka_res_13[[#This Row],[Column1]]&amp;"-", ka_res_13[[#This Row],[Column2]])</f>
        <v>2023-1</v>
      </c>
      <c r="D2" s="1">
        <v>3322210.09</v>
      </c>
      <c r="E2" s="1"/>
      <c r="G2" s="1"/>
    </row>
    <row r="3" spans="1:8" x14ac:dyDescent="0.35">
      <c r="A3" s="1">
        <v>2023</v>
      </c>
      <c r="B3" s="1">
        <v>2</v>
      </c>
      <c r="C3" s="1" t="str">
        <f>CONCATENATE(ka_res_13[[#This Row],[Column1]]&amp;"-", ka_res_13[[#This Row],[Column2]])</f>
        <v>2023-2</v>
      </c>
      <c r="D3" s="1">
        <v>3498638.3</v>
      </c>
      <c r="E3" s="1"/>
      <c r="G3" s="1">
        <v>3322210.09</v>
      </c>
      <c r="H3" s="6">
        <v>0.05</v>
      </c>
    </row>
    <row r="4" spans="1:8" x14ac:dyDescent="0.35">
      <c r="A4" s="1">
        <v>2023</v>
      </c>
      <c r="B4" s="1">
        <v>3</v>
      </c>
      <c r="C4" s="1" t="str">
        <f>CONCATENATE(ka_res_13[[#This Row],[Column1]]&amp;"-", ka_res_13[[#This Row],[Column2]])</f>
        <v>2023-3</v>
      </c>
      <c r="D4" s="1">
        <v>4279637.88</v>
      </c>
      <c r="E4" s="1"/>
      <c r="G4" s="1">
        <v>3498638.3</v>
      </c>
      <c r="H4" s="6">
        <v>0.22</v>
      </c>
    </row>
    <row r="5" spans="1:8" x14ac:dyDescent="0.35">
      <c r="A5" s="1">
        <v>2023</v>
      </c>
      <c r="B5" s="1">
        <v>4</v>
      </c>
      <c r="C5" s="1" t="str">
        <f>CONCATENATE(ka_res_13[[#This Row],[Column1]]&amp;"-", ka_res_13[[#This Row],[Column2]])</f>
        <v>2023-4</v>
      </c>
      <c r="D5" s="1">
        <v>4601947.12</v>
      </c>
      <c r="E5" s="1"/>
      <c r="G5" s="1">
        <v>4279637.88</v>
      </c>
      <c r="H5" s="6">
        <v>0.08</v>
      </c>
    </row>
    <row r="6" spans="1:8" x14ac:dyDescent="0.35">
      <c r="A6" s="1">
        <v>2023</v>
      </c>
      <c r="B6" s="1">
        <v>5</v>
      </c>
      <c r="C6" s="1" t="str">
        <f>CONCATENATE(ka_res_13[[#This Row],[Column1]]&amp;"-", ka_res_13[[#This Row],[Column2]])</f>
        <v>2023-5</v>
      </c>
      <c r="D6" s="1">
        <v>4138703.98</v>
      </c>
      <c r="E6" s="1"/>
      <c r="G6" s="1">
        <v>4601947.12</v>
      </c>
      <c r="H6" s="6">
        <v>-0.1</v>
      </c>
    </row>
    <row r="7" spans="1:8" x14ac:dyDescent="0.35">
      <c r="A7" s="1">
        <v>2023</v>
      </c>
      <c r="B7" s="1">
        <v>6</v>
      </c>
      <c r="C7" s="1" t="str">
        <f>CONCATENATE(ka_res_13[[#This Row],[Column1]]&amp;"-", ka_res_13[[#This Row],[Column2]])</f>
        <v>2023-6</v>
      </c>
      <c r="D7" s="1">
        <v>4066056.27</v>
      </c>
      <c r="E7" s="1"/>
      <c r="G7" s="1">
        <v>4138703.98</v>
      </c>
      <c r="H7" s="6">
        <v>-0.02</v>
      </c>
    </row>
    <row r="8" spans="1:8" x14ac:dyDescent="0.35">
      <c r="A8" s="1">
        <v>2023</v>
      </c>
      <c r="B8" s="1">
        <v>7</v>
      </c>
      <c r="C8" s="1" t="str">
        <f>CONCATENATE(ka_res_13[[#This Row],[Column1]]&amp;"-", ka_res_13[[#This Row],[Column2]])</f>
        <v>2023-7</v>
      </c>
      <c r="D8" s="1">
        <v>4317948.1399999997</v>
      </c>
      <c r="E8" s="1"/>
      <c r="G8" s="1">
        <v>4066056.27</v>
      </c>
      <c r="H8" s="6">
        <v>0.06</v>
      </c>
    </row>
    <row r="9" spans="1:8" x14ac:dyDescent="0.35">
      <c r="A9" s="1">
        <v>2023</v>
      </c>
      <c r="B9" s="1">
        <v>8</v>
      </c>
      <c r="C9" s="1" t="str">
        <f>CONCATENATE(ka_res_13[[#This Row],[Column1]]&amp;"-", ka_res_13[[#This Row],[Column2]])</f>
        <v>2023-8</v>
      </c>
      <c r="D9" s="1">
        <v>2534618.29</v>
      </c>
      <c r="E9" s="1"/>
      <c r="G9" s="1">
        <v>4317948.1399999997</v>
      </c>
      <c r="H9" s="6">
        <v>-0.41</v>
      </c>
    </row>
    <row r="10" spans="1:8" x14ac:dyDescent="0.35">
      <c r="A10" s="1">
        <v>2023</v>
      </c>
      <c r="B10" s="1">
        <v>9</v>
      </c>
      <c r="C10" s="1" t="str">
        <f>CONCATENATE(ka_res_13[[#This Row],[Column1]]&amp;"-", ka_res_13[[#This Row],[Column2]])</f>
        <v>2023-9</v>
      </c>
      <c r="D10" s="1">
        <v>3915863.17</v>
      </c>
      <c r="E10" s="1"/>
      <c r="G10" s="1">
        <v>2534618.29</v>
      </c>
      <c r="H10" s="6">
        <v>0.54</v>
      </c>
    </row>
    <row r="11" spans="1:8" x14ac:dyDescent="0.35">
      <c r="A11" s="1">
        <v>2023</v>
      </c>
      <c r="B11" s="1">
        <v>10</v>
      </c>
      <c r="C11" s="1" t="str">
        <f>CONCATENATE(ka_res_13[[#This Row],[Column1]]&amp;"-", ka_res_13[[#This Row],[Column2]])</f>
        <v>2023-10</v>
      </c>
      <c r="D11" s="1">
        <v>4415826.9000000004</v>
      </c>
      <c r="E11" s="1"/>
      <c r="G11" s="1">
        <v>3915863.17</v>
      </c>
      <c r="H11" s="6">
        <v>0.13</v>
      </c>
    </row>
    <row r="12" spans="1:8" x14ac:dyDescent="0.35">
      <c r="A12" s="1">
        <v>2023</v>
      </c>
      <c r="B12" s="1">
        <v>11</v>
      </c>
      <c r="C12" s="1" t="str">
        <f>CONCATENATE(ka_res_13[[#This Row],[Column1]]&amp;"-", ka_res_13[[#This Row],[Column2]])</f>
        <v>2023-11</v>
      </c>
      <c r="D12" s="1">
        <v>4208285.42</v>
      </c>
      <c r="E12" s="1"/>
      <c r="G12" s="1">
        <v>4415826.9000000004</v>
      </c>
      <c r="H12" s="6">
        <v>-0.05</v>
      </c>
    </row>
    <row r="13" spans="1:8" x14ac:dyDescent="0.35">
      <c r="A13" s="1">
        <v>2023</v>
      </c>
      <c r="B13" s="1">
        <v>12</v>
      </c>
      <c r="C13" s="1" t="str">
        <f>CONCATENATE(ka_res_13[[#This Row],[Column1]]&amp;"-", ka_res_13[[#This Row],[Column2]])</f>
        <v>2023-12</v>
      </c>
      <c r="D13" s="1">
        <v>3907126.92</v>
      </c>
      <c r="E13" s="1"/>
      <c r="G13" s="1">
        <v>4208285.42</v>
      </c>
      <c r="H13" s="6">
        <v>-7.0000000000000007E-2</v>
      </c>
    </row>
    <row r="14" spans="1:8" x14ac:dyDescent="0.35">
      <c r="A14" s="1">
        <v>2024</v>
      </c>
      <c r="B14" s="1">
        <v>1</v>
      </c>
      <c r="C14" s="1" t="str">
        <f>CONCATENATE(ka_res_13[[#This Row],[Column1]]&amp;"-", ka_res_13[[#This Row],[Column2]])</f>
        <v>2024-1</v>
      </c>
      <c r="D14" s="1">
        <v>3717429.56</v>
      </c>
      <c r="E14" s="1">
        <v>3322210.09</v>
      </c>
      <c r="F14" s="6">
        <v>0.12</v>
      </c>
      <c r="G14" s="1">
        <v>3907126.92</v>
      </c>
      <c r="H14" s="6">
        <v>-0.05</v>
      </c>
    </row>
    <row r="15" spans="1:8" x14ac:dyDescent="0.35">
      <c r="A15" s="1">
        <v>2024</v>
      </c>
      <c r="B15" s="1">
        <v>2</v>
      </c>
      <c r="C15" s="1" t="str">
        <f>CONCATENATE(ka_res_13[[#This Row],[Column1]]&amp;"-", ka_res_13[[#This Row],[Column2]])</f>
        <v>2024-2</v>
      </c>
      <c r="D15" s="1">
        <v>4025560.82</v>
      </c>
      <c r="E15" s="1">
        <v>3498638.3</v>
      </c>
      <c r="F15" s="6">
        <v>0.15</v>
      </c>
      <c r="G15" s="1">
        <v>3717429.56</v>
      </c>
      <c r="H15" s="6">
        <v>0.08</v>
      </c>
    </row>
    <row r="16" spans="1:8" x14ac:dyDescent="0.35">
      <c r="A16" s="1">
        <v>2024</v>
      </c>
      <c r="B16" s="1">
        <v>3</v>
      </c>
      <c r="C16" s="1" t="str">
        <f>CONCATENATE(ka_res_13[[#This Row],[Column1]]&amp;"-", ka_res_13[[#This Row],[Column2]])</f>
        <v>2024-3</v>
      </c>
      <c r="D16" s="1">
        <v>4578474.99</v>
      </c>
      <c r="E16" s="1">
        <v>4279637.88</v>
      </c>
      <c r="F16" s="6">
        <v>7.0000000000000007E-2</v>
      </c>
      <c r="G16" s="1">
        <v>4025560.82</v>
      </c>
      <c r="H16" s="6">
        <v>0.14000000000000001</v>
      </c>
    </row>
    <row r="17" spans="1:8" x14ac:dyDescent="0.35">
      <c r="A17" s="1">
        <v>2024</v>
      </c>
      <c r="B17" s="1">
        <v>4</v>
      </c>
      <c r="C17" s="1" t="str">
        <f>CONCATENATE(ka_res_13[[#This Row],[Column1]]&amp;"-", ka_res_13[[#This Row],[Column2]])</f>
        <v>2024-4</v>
      </c>
      <c r="D17" s="1">
        <v>4431679.34</v>
      </c>
      <c r="E17" s="1">
        <v>4601947.12</v>
      </c>
      <c r="F17" s="6">
        <v>-0.04</v>
      </c>
      <c r="G17" s="1">
        <v>4578474.99</v>
      </c>
      <c r="H17" s="6">
        <v>-0.03</v>
      </c>
    </row>
    <row r="18" spans="1:8" x14ac:dyDescent="0.35">
      <c r="A18" s="1">
        <v>2024</v>
      </c>
      <c r="B18" s="1">
        <v>5</v>
      </c>
      <c r="C18" s="1" t="str">
        <f>CONCATENATE(ka_res_13[[#This Row],[Column1]]&amp;"-", ka_res_13[[#This Row],[Column2]])</f>
        <v>2024-5</v>
      </c>
      <c r="D18" s="1">
        <v>4743585.76</v>
      </c>
      <c r="E18" s="1">
        <v>4138703.98</v>
      </c>
      <c r="F18" s="6">
        <v>0.15</v>
      </c>
      <c r="G18" s="1">
        <v>4431679.34</v>
      </c>
      <c r="H18" s="6">
        <v>7.0000000000000007E-2</v>
      </c>
    </row>
    <row r="19" spans="1:8" x14ac:dyDescent="0.35">
      <c r="A19" s="1">
        <v>2024</v>
      </c>
      <c r="B19" s="1">
        <v>6</v>
      </c>
      <c r="C19" s="1" t="str">
        <f>CONCATENATE(ka_res_13[[#This Row],[Column1]]&amp;"-", ka_res_13[[#This Row],[Column2]])</f>
        <v>2024-6</v>
      </c>
      <c r="D19" s="1">
        <v>4605191.09</v>
      </c>
      <c r="E19" s="1">
        <v>4066056.27</v>
      </c>
      <c r="F19" s="6">
        <v>0.13</v>
      </c>
      <c r="G19" s="1">
        <v>4743585.76</v>
      </c>
      <c r="H19" s="6">
        <v>-0.03</v>
      </c>
    </row>
    <row r="20" spans="1:8" x14ac:dyDescent="0.35">
      <c r="A20" s="1">
        <v>2024</v>
      </c>
      <c r="B20" s="1">
        <v>7</v>
      </c>
      <c r="C20" s="1" t="str">
        <f>CONCATENATE(ka_res_13[[#This Row],[Column1]]&amp;"-", ka_res_13[[#This Row],[Column2]])</f>
        <v>2024-7</v>
      </c>
      <c r="D20" s="1">
        <v>4630689.5599999996</v>
      </c>
      <c r="E20" s="1">
        <v>4317948.1399999997</v>
      </c>
      <c r="F20" s="6">
        <v>7.0000000000000007E-2</v>
      </c>
      <c r="G20" s="1">
        <v>4605191.09</v>
      </c>
      <c r="H20" s="6">
        <v>0.01</v>
      </c>
    </row>
    <row r="21" spans="1:8" x14ac:dyDescent="0.35">
      <c r="A21" s="1">
        <v>2024</v>
      </c>
      <c r="B21" s="1">
        <v>8</v>
      </c>
      <c r="C21" s="1" t="str">
        <f>CONCATENATE(ka_res_13[[#This Row],[Column1]]&amp;"-", ka_res_13[[#This Row],[Column2]])</f>
        <v>2024-8</v>
      </c>
      <c r="D21" s="1">
        <v>2761161.38</v>
      </c>
      <c r="E21" s="1">
        <v>2534618.29</v>
      </c>
      <c r="F21" s="6">
        <v>0.09</v>
      </c>
      <c r="G21" s="1">
        <v>4630689.5599999996</v>
      </c>
      <c r="H21" s="6">
        <v>-0.4</v>
      </c>
    </row>
    <row r="22" spans="1:8" x14ac:dyDescent="0.35">
      <c r="A22" s="1">
        <v>2024</v>
      </c>
      <c r="B22" s="1">
        <v>9</v>
      </c>
      <c r="C22" s="1" t="str">
        <f>CONCATENATE(ka_res_13[[#This Row],[Column1]]&amp;"-", ka_res_13[[#This Row],[Column2]])</f>
        <v>2024-9</v>
      </c>
      <c r="D22" s="1">
        <v>4498928.46</v>
      </c>
      <c r="E22" s="1">
        <v>3915863.17</v>
      </c>
      <c r="F22" s="6">
        <v>0.15</v>
      </c>
      <c r="G22" s="1">
        <v>2761161.38</v>
      </c>
      <c r="H22" s="6">
        <v>0.63</v>
      </c>
    </row>
    <row r="23" spans="1:8" x14ac:dyDescent="0.35">
      <c r="A23" s="1">
        <v>2024</v>
      </c>
      <c r="B23" s="1">
        <v>10</v>
      </c>
      <c r="C23" s="1" t="str">
        <f>CONCATENATE(ka_res_13[[#This Row],[Column1]]&amp;"-", ka_res_13[[#This Row],[Column2]])</f>
        <v>2024-10</v>
      </c>
      <c r="D23" s="1">
        <v>4898060.51</v>
      </c>
      <c r="E23" s="1">
        <v>4415826.9000000004</v>
      </c>
      <c r="F23" s="6">
        <v>0.11</v>
      </c>
      <c r="G23" s="1">
        <v>4498928.46</v>
      </c>
      <c r="H23" s="6">
        <v>0.09</v>
      </c>
    </row>
    <row r="24" spans="1:8" x14ac:dyDescent="0.35">
      <c r="A24" s="1">
        <v>2024</v>
      </c>
      <c r="B24" s="1">
        <v>11</v>
      </c>
      <c r="C24" s="1" t="str">
        <f>CONCATENATE(ka_res_13[[#This Row],[Column1]]&amp;"-", ka_res_13[[#This Row],[Column2]])</f>
        <v>2024-11</v>
      </c>
      <c r="D24" s="1">
        <v>4413416.79</v>
      </c>
      <c r="E24" s="1">
        <v>4208285.42</v>
      </c>
      <c r="F24" s="6">
        <v>0.05</v>
      </c>
      <c r="G24" s="1">
        <v>4898060.51</v>
      </c>
      <c r="H24" s="6">
        <v>-0.1</v>
      </c>
    </row>
    <row r="25" spans="1:8" x14ac:dyDescent="0.35">
      <c r="A25" s="1">
        <v>2024</v>
      </c>
      <c r="B25" s="1">
        <v>12</v>
      </c>
      <c r="C25" s="1" t="str">
        <f>CONCATENATE(ka_res_13[[#This Row],[Column1]]&amp;"-", ka_res_13[[#This Row],[Column2]])</f>
        <v>2024-12</v>
      </c>
      <c r="D25" s="1">
        <v>4653285.24</v>
      </c>
      <c r="E25" s="1">
        <v>3907126.92</v>
      </c>
      <c r="F25" s="6">
        <v>0.19</v>
      </c>
      <c r="G25" s="1">
        <v>4413416.79</v>
      </c>
      <c r="H25" s="6">
        <v>0.05</v>
      </c>
    </row>
  </sheetData>
  <phoneticPr fontId="2" type="noConversion"/>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6584D-424B-4968-8E55-45E9872CE2F9}">
  <dimension ref="A1:C3"/>
  <sheetViews>
    <sheetView tabSelected="1" workbookViewId="0">
      <selection activeCell="F13" sqref="F13"/>
    </sheetView>
  </sheetViews>
  <sheetFormatPr defaultRowHeight="14.5" x14ac:dyDescent="0.35"/>
  <cols>
    <col min="1" max="2" width="10.54296875" bestFit="1" customWidth="1"/>
    <col min="3" max="3" width="11.81640625" style="4" bestFit="1" customWidth="1"/>
  </cols>
  <sheetData>
    <row r="1" spans="1:3" x14ac:dyDescent="0.35">
      <c r="A1" s="1" t="s">
        <v>149</v>
      </c>
      <c r="B1" s="1" t="s">
        <v>150</v>
      </c>
      <c r="C1" s="4" t="s">
        <v>151</v>
      </c>
    </row>
    <row r="2" spans="1:3" x14ac:dyDescent="0.35">
      <c r="A2" s="1" t="s">
        <v>82</v>
      </c>
      <c r="B2" s="1">
        <v>220</v>
      </c>
      <c r="C2" s="4">
        <v>54355.930068969697</v>
      </c>
    </row>
    <row r="3" spans="1:3" x14ac:dyDescent="0.35">
      <c r="A3" s="1" t="s">
        <v>81</v>
      </c>
      <c r="B3" s="1">
        <v>285</v>
      </c>
      <c r="C3" s="4">
        <v>219058.17010498</v>
      </c>
    </row>
  </sheetData>
  <phoneticPr fontId="2"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069B-33B8-4639-A18F-2ABFFD1A5C11}">
  <dimension ref="A1:E61"/>
  <sheetViews>
    <sheetView topLeftCell="A31" zoomScale="55" zoomScaleNormal="55" workbookViewId="0">
      <selection activeCell="H19" sqref="H19"/>
    </sheetView>
  </sheetViews>
  <sheetFormatPr defaultRowHeight="14.5" x14ac:dyDescent="0.35"/>
  <cols>
    <col min="1" max="1" width="12.36328125" bestFit="1" customWidth="1"/>
    <col min="2" max="2" width="12.08984375" style="6" bestFit="1" customWidth="1"/>
    <col min="3" max="3" width="15.54296875" style="6" bestFit="1" customWidth="1"/>
    <col min="4" max="4" width="19.7265625" style="6" bestFit="1" customWidth="1"/>
    <col min="5" max="5" width="21.81640625" style="7" bestFit="1" customWidth="1"/>
  </cols>
  <sheetData>
    <row r="1" spans="1:5" x14ac:dyDescent="0.35">
      <c r="A1" s="1" t="s">
        <v>148</v>
      </c>
      <c r="B1" s="6" t="s">
        <v>144</v>
      </c>
      <c r="C1" s="6" t="s">
        <v>145</v>
      </c>
      <c r="D1" s="6" t="s">
        <v>146</v>
      </c>
      <c r="E1" s="7" t="s">
        <v>147</v>
      </c>
    </row>
    <row r="2" spans="1:5" x14ac:dyDescent="0.35">
      <c r="A2" s="1" t="s">
        <v>59</v>
      </c>
      <c r="B2" s="6">
        <v>0.19167395619109701</v>
      </c>
      <c r="C2" s="6">
        <v>0.15567444132976099</v>
      </c>
      <c r="D2" s="6">
        <v>3.5999514861335999E-2</v>
      </c>
      <c r="E2" s="7">
        <v>2.4998344426806099E-4</v>
      </c>
    </row>
    <row r="3" spans="1:5" x14ac:dyDescent="0.35">
      <c r="A3" s="1" t="s">
        <v>56</v>
      </c>
      <c r="B3" s="6">
        <v>0.16873154396284401</v>
      </c>
      <c r="C3" s="6">
        <v>0.15567444132976099</v>
      </c>
      <c r="D3" s="6">
        <v>1.3057102633083399E-2</v>
      </c>
      <c r="E3" s="7">
        <v>5.2163769192456E-4</v>
      </c>
    </row>
    <row r="4" spans="1:5" x14ac:dyDescent="0.35">
      <c r="A4" s="1" t="s">
        <v>38</v>
      </c>
      <c r="B4" s="6">
        <v>0.16784374585831199</v>
      </c>
      <c r="C4" s="6">
        <v>0.15567444132976099</v>
      </c>
      <c r="D4" s="6">
        <v>1.21693045285515E-2</v>
      </c>
      <c r="E4" s="7">
        <v>3.79355354018411E-3</v>
      </c>
    </row>
    <row r="5" spans="1:5" x14ac:dyDescent="0.35">
      <c r="A5" s="1" t="s">
        <v>39</v>
      </c>
      <c r="B5" s="6">
        <v>0.166530066308791</v>
      </c>
      <c r="C5" s="6">
        <v>0.15567444132976099</v>
      </c>
      <c r="D5" s="6">
        <v>1.0855624979030301E-2</v>
      </c>
      <c r="E5" s="7">
        <v>3.6970464435778999E-3</v>
      </c>
    </row>
    <row r="6" spans="1:5" x14ac:dyDescent="0.35">
      <c r="A6" s="1" t="s">
        <v>45</v>
      </c>
      <c r="B6" s="6">
        <v>0.162704432189439</v>
      </c>
      <c r="C6" s="6">
        <v>0.15567444132976099</v>
      </c>
      <c r="D6" s="6">
        <v>7.0299908596784004E-3</v>
      </c>
      <c r="E6" s="7">
        <v>2.6611246307516002E-3</v>
      </c>
    </row>
    <row r="7" spans="1:5" x14ac:dyDescent="0.35">
      <c r="A7" s="1" t="s">
        <v>50</v>
      </c>
      <c r="B7" s="6">
        <v>0.162441582643678</v>
      </c>
      <c r="C7" s="6">
        <v>0.15567444132976099</v>
      </c>
      <c r="D7" s="6">
        <v>6.76714131391698E-3</v>
      </c>
      <c r="E7" s="7">
        <v>1.65063714362494E-3</v>
      </c>
    </row>
    <row r="8" spans="1:5" x14ac:dyDescent="0.35">
      <c r="A8" s="1" t="s">
        <v>52</v>
      </c>
      <c r="B8" s="6">
        <v>0.162431341012128</v>
      </c>
      <c r="C8" s="6">
        <v>0.15567444132976099</v>
      </c>
      <c r="D8" s="6">
        <v>6.75689968236681E-3</v>
      </c>
      <c r="E8" s="7">
        <v>1.33359621195194E-3</v>
      </c>
    </row>
    <row r="9" spans="1:5" x14ac:dyDescent="0.35">
      <c r="A9" s="1" t="s">
        <v>22</v>
      </c>
      <c r="B9" s="6">
        <v>0.16052079209349401</v>
      </c>
      <c r="C9" s="6">
        <v>0.15567444132976099</v>
      </c>
      <c r="D9" s="6">
        <v>4.8463507637328297E-3</v>
      </c>
      <c r="E9" s="7">
        <v>8.7902211677508297E-3</v>
      </c>
    </row>
    <row r="10" spans="1:5" x14ac:dyDescent="0.35">
      <c r="A10" s="1" t="s">
        <v>32</v>
      </c>
      <c r="B10" s="6">
        <v>0.159908385647165</v>
      </c>
      <c r="C10" s="6">
        <v>0.15567444132976099</v>
      </c>
      <c r="D10" s="6">
        <v>4.23394431740456E-3</v>
      </c>
      <c r="E10" s="7">
        <v>5.7512744109602804E-3</v>
      </c>
    </row>
    <row r="11" spans="1:5" x14ac:dyDescent="0.35">
      <c r="A11" s="1" t="s">
        <v>35</v>
      </c>
      <c r="B11" s="6">
        <v>0.159706685707311</v>
      </c>
      <c r="C11" s="6">
        <v>0.15567444132976099</v>
      </c>
      <c r="D11" s="6">
        <v>4.0322443775507302E-3</v>
      </c>
      <c r="E11" s="7">
        <v>5.3233437010290199E-3</v>
      </c>
    </row>
    <row r="12" spans="1:5" x14ac:dyDescent="0.35">
      <c r="A12" s="1" t="s">
        <v>37</v>
      </c>
      <c r="B12" s="6">
        <v>0.159601023057963</v>
      </c>
      <c r="C12" s="6">
        <v>0.15567444132976099</v>
      </c>
      <c r="D12" s="6">
        <v>3.9265817282024299E-3</v>
      </c>
      <c r="E12" s="7">
        <v>3.8495575613682301E-3</v>
      </c>
    </row>
    <row r="13" spans="1:5" x14ac:dyDescent="0.35">
      <c r="A13" s="1" t="s">
        <v>20</v>
      </c>
      <c r="B13" s="6">
        <v>0.15942487453388099</v>
      </c>
      <c r="C13" s="6">
        <v>0.15567444132976099</v>
      </c>
      <c r="D13" s="6">
        <v>3.7504332041207499E-3</v>
      </c>
      <c r="E13" s="7">
        <v>1.0869433338498701E-2</v>
      </c>
    </row>
    <row r="14" spans="1:5" x14ac:dyDescent="0.35">
      <c r="A14" s="1" t="s">
        <v>10</v>
      </c>
      <c r="B14" s="6">
        <v>0.15885890092864499</v>
      </c>
      <c r="C14" s="6">
        <v>0.15567444132976099</v>
      </c>
      <c r="D14" s="6">
        <v>3.1844595988838602E-3</v>
      </c>
      <c r="E14" s="7">
        <v>3.7322975333598497E-2</v>
      </c>
    </row>
    <row r="15" spans="1:5" x14ac:dyDescent="0.35">
      <c r="A15" s="1" t="s">
        <v>41</v>
      </c>
      <c r="B15" s="6">
        <v>0.158720973441208</v>
      </c>
      <c r="C15" s="6">
        <v>0.15567444132976099</v>
      </c>
      <c r="D15" s="6">
        <v>3.0465321114470901E-3</v>
      </c>
      <c r="E15" s="7">
        <v>3.3774561229119298E-3</v>
      </c>
    </row>
    <row r="16" spans="1:5" x14ac:dyDescent="0.35">
      <c r="A16" s="1" t="s">
        <v>14</v>
      </c>
      <c r="B16" s="6">
        <v>0.158485640513506</v>
      </c>
      <c r="C16" s="6">
        <v>0.15567444132976099</v>
      </c>
      <c r="D16" s="6">
        <v>2.8111991837451999E-3</v>
      </c>
      <c r="E16" s="7">
        <v>2.3583536455719201E-2</v>
      </c>
    </row>
    <row r="17" spans="1:5" x14ac:dyDescent="0.35">
      <c r="A17" s="1" t="s">
        <v>12</v>
      </c>
      <c r="B17" s="6">
        <v>0.15844824244219699</v>
      </c>
      <c r="C17" s="6">
        <v>0.15567444132976099</v>
      </c>
      <c r="D17" s="6">
        <v>2.7738011124360498E-3</v>
      </c>
      <c r="E17" s="7">
        <v>3.0895310356688101E-2</v>
      </c>
    </row>
    <row r="18" spans="1:5" x14ac:dyDescent="0.35">
      <c r="A18" s="1" t="s">
        <v>18</v>
      </c>
      <c r="B18" s="6">
        <v>0.158349407595714</v>
      </c>
      <c r="C18" s="6">
        <v>0.15567444132976099</v>
      </c>
      <c r="D18" s="6">
        <v>2.6749662659528699E-3</v>
      </c>
      <c r="E18" s="7">
        <v>1.3912192846129099E-2</v>
      </c>
    </row>
    <row r="19" spans="1:5" x14ac:dyDescent="0.35">
      <c r="A19" s="1" t="s">
        <v>36</v>
      </c>
      <c r="B19" s="6">
        <v>0.15829948264961499</v>
      </c>
      <c r="C19" s="6">
        <v>0.15567444132976099</v>
      </c>
      <c r="D19" s="6">
        <v>2.6250413198544201E-3</v>
      </c>
      <c r="E19" s="7">
        <v>3.8810213921167702E-3</v>
      </c>
    </row>
    <row r="20" spans="1:5" x14ac:dyDescent="0.35">
      <c r="A20" s="1" t="s">
        <v>53</v>
      </c>
      <c r="B20" s="6">
        <v>0.157978596693616</v>
      </c>
      <c r="C20" s="6">
        <v>0.15567444132976099</v>
      </c>
      <c r="D20" s="6">
        <v>2.3041553638555299E-3</v>
      </c>
      <c r="E20" s="7">
        <v>1.2299256698345301E-3</v>
      </c>
    </row>
    <row r="21" spans="1:5" x14ac:dyDescent="0.35">
      <c r="A21" s="1" t="s">
        <v>8</v>
      </c>
      <c r="B21" s="6">
        <v>0.15756105288233299</v>
      </c>
      <c r="C21" s="6">
        <v>0.15567444132976099</v>
      </c>
      <c r="D21" s="6">
        <v>1.8866115525722801E-3</v>
      </c>
      <c r="E21" s="7">
        <v>4.7384580036142002E-2</v>
      </c>
    </row>
    <row r="22" spans="1:5" x14ac:dyDescent="0.35">
      <c r="A22" s="1" t="s">
        <v>9</v>
      </c>
      <c r="B22" s="6">
        <v>0.15747433501527</v>
      </c>
      <c r="C22" s="6">
        <v>0.15567444132976099</v>
      </c>
      <c r="D22" s="6">
        <v>1.79989368550923E-3</v>
      </c>
      <c r="E22" s="7">
        <v>3.74536143484831E-2</v>
      </c>
    </row>
    <row r="23" spans="1:5" x14ac:dyDescent="0.35">
      <c r="A23" s="1" t="s">
        <v>27</v>
      </c>
      <c r="B23" s="6">
        <v>0.157451397785727</v>
      </c>
      <c r="C23" s="6">
        <v>0.15567444132976099</v>
      </c>
      <c r="D23" s="6">
        <v>1.7769564559660101E-3</v>
      </c>
      <c r="E23" s="7">
        <v>7.1510076940280304E-3</v>
      </c>
    </row>
    <row r="24" spans="1:5" x14ac:dyDescent="0.35">
      <c r="A24" s="1" t="s">
        <v>19</v>
      </c>
      <c r="B24" s="6">
        <v>0.15732685059656701</v>
      </c>
      <c r="C24" s="6">
        <v>0.15567444132976099</v>
      </c>
      <c r="D24" s="6">
        <v>1.65240926680657E-3</v>
      </c>
      <c r="E24" s="7">
        <v>1.1254092343430999E-2</v>
      </c>
    </row>
    <row r="25" spans="1:5" x14ac:dyDescent="0.35">
      <c r="A25" s="1" t="s">
        <v>29</v>
      </c>
      <c r="B25" s="6">
        <v>0.157252325754422</v>
      </c>
      <c r="C25" s="6">
        <v>0.15567444132976099</v>
      </c>
      <c r="D25" s="6">
        <v>1.57788442466145E-3</v>
      </c>
      <c r="E25" s="7">
        <v>6.5944472963424703E-3</v>
      </c>
    </row>
    <row r="26" spans="1:5" x14ac:dyDescent="0.35">
      <c r="A26" s="1" t="s">
        <v>16</v>
      </c>
      <c r="B26" s="6">
        <v>0.15700248903564101</v>
      </c>
      <c r="C26" s="6">
        <v>0.15567444132976099</v>
      </c>
      <c r="D26" s="6">
        <v>1.3280477058802099E-3</v>
      </c>
      <c r="E26" s="7">
        <v>2.08034410195716E-2</v>
      </c>
    </row>
    <row r="27" spans="1:5" x14ac:dyDescent="0.35">
      <c r="A27" s="1" t="s">
        <v>15</v>
      </c>
      <c r="B27" s="6">
        <v>0.15692491383057999</v>
      </c>
      <c r="C27" s="6">
        <v>0.15567444132976099</v>
      </c>
      <c r="D27" s="6">
        <v>1.2504725008190599E-3</v>
      </c>
      <c r="E27" s="7">
        <v>2.1701424235258299E-2</v>
      </c>
    </row>
    <row r="28" spans="1:5" x14ac:dyDescent="0.35">
      <c r="A28" s="1" t="s">
        <v>11</v>
      </c>
      <c r="B28" s="6">
        <v>0.15686173993045399</v>
      </c>
      <c r="C28" s="6">
        <v>0.15567444132976099</v>
      </c>
      <c r="D28" s="6">
        <v>1.18729860069314E-3</v>
      </c>
      <c r="E28" s="7">
        <v>3.5161571201926103E-2</v>
      </c>
    </row>
    <row r="29" spans="1:5" x14ac:dyDescent="0.35">
      <c r="A29" s="1" t="s">
        <v>13</v>
      </c>
      <c r="B29" s="6">
        <v>0.15682107035818901</v>
      </c>
      <c r="C29" s="6">
        <v>0.15567444132976099</v>
      </c>
      <c r="D29" s="6">
        <v>1.1466290284285799E-3</v>
      </c>
      <c r="E29" s="7">
        <v>2.4692615460369102E-2</v>
      </c>
    </row>
    <row r="30" spans="1:5" x14ac:dyDescent="0.35">
      <c r="A30" s="1" t="s">
        <v>4</v>
      </c>
      <c r="B30" s="6">
        <v>0.15673518854176699</v>
      </c>
      <c r="C30" s="6">
        <v>0.15567444132976099</v>
      </c>
      <c r="D30" s="6">
        <v>1.0607472120061901E-3</v>
      </c>
      <c r="E30" s="7">
        <v>8.8918911561589403E-2</v>
      </c>
    </row>
    <row r="31" spans="1:5" x14ac:dyDescent="0.35">
      <c r="A31" s="1" t="s">
        <v>46</v>
      </c>
      <c r="B31" s="6">
        <v>0.15665905327670901</v>
      </c>
      <c r="C31" s="6">
        <v>0.15567444132976099</v>
      </c>
      <c r="D31" s="6">
        <v>9.8461194694801591E-4</v>
      </c>
      <c r="E31" s="7">
        <v>2.4224651077118299E-3</v>
      </c>
    </row>
    <row r="32" spans="1:5" x14ac:dyDescent="0.35">
      <c r="A32" s="1" t="s">
        <v>28</v>
      </c>
      <c r="B32" s="6">
        <v>0.15656611620825001</v>
      </c>
      <c r="C32" s="6">
        <v>0.15567444132976099</v>
      </c>
      <c r="D32" s="6">
        <v>8.9167487848901305E-4</v>
      </c>
      <c r="E32" s="7">
        <v>6.6922205460658701E-3</v>
      </c>
    </row>
    <row r="33" spans="1:5" x14ac:dyDescent="0.35">
      <c r="A33" s="1" t="s">
        <v>3</v>
      </c>
      <c r="B33" s="6">
        <v>0.15651455245121099</v>
      </c>
      <c r="C33" s="6">
        <v>0.15567444132976099</v>
      </c>
      <c r="D33" s="6">
        <v>8.4011112145063204E-4</v>
      </c>
      <c r="E33" s="7">
        <v>9.5078582357969205E-2</v>
      </c>
    </row>
    <row r="34" spans="1:5" x14ac:dyDescent="0.35">
      <c r="A34" s="1" t="s">
        <v>2</v>
      </c>
      <c r="B34" s="6">
        <v>0.15650817100993999</v>
      </c>
      <c r="C34" s="6">
        <v>0.15567444132976099</v>
      </c>
      <c r="D34" s="6">
        <v>8.3372968017933501E-4</v>
      </c>
      <c r="E34" s="7">
        <v>0.15812311946591101</v>
      </c>
    </row>
    <row r="35" spans="1:5" x14ac:dyDescent="0.35">
      <c r="A35" s="1" t="s">
        <v>7</v>
      </c>
      <c r="B35" s="6">
        <v>0.15627384861010901</v>
      </c>
      <c r="C35" s="6">
        <v>0.15567444132976099</v>
      </c>
      <c r="D35" s="6">
        <v>5.9940728034785196E-4</v>
      </c>
      <c r="E35" s="7">
        <v>5.4904974635956103E-2</v>
      </c>
    </row>
    <row r="36" spans="1:5" x14ac:dyDescent="0.35">
      <c r="A36" s="1" t="s">
        <v>43</v>
      </c>
      <c r="B36" s="6">
        <v>0.15584853722375999</v>
      </c>
      <c r="C36" s="6">
        <v>0.15567444132976099</v>
      </c>
      <c r="D36" s="6">
        <v>1.7409589399936001E-4</v>
      </c>
      <c r="E36" s="7">
        <v>2.83095434610594E-3</v>
      </c>
    </row>
    <row r="37" spans="1:5" x14ac:dyDescent="0.35">
      <c r="A37" s="1" t="s">
        <v>24</v>
      </c>
      <c r="B37" s="6">
        <v>0.15578326739680501</v>
      </c>
      <c r="C37" s="6">
        <v>0.15567444132976099</v>
      </c>
      <c r="D37" s="6">
        <v>1.08826067044682E-4</v>
      </c>
      <c r="E37" s="7">
        <v>8.5318573410731909E-3</v>
      </c>
    </row>
    <row r="38" spans="1:5" x14ac:dyDescent="0.35">
      <c r="A38" s="1" t="s">
        <v>6</v>
      </c>
      <c r="B38" s="6">
        <v>0.15550168489580801</v>
      </c>
      <c r="C38" s="6">
        <v>0.15567444132976099</v>
      </c>
      <c r="D38" s="6">
        <v>-1.7275643395275899E-4</v>
      </c>
      <c r="E38" s="7">
        <v>5.6103745825954399E-2</v>
      </c>
    </row>
    <row r="39" spans="1:5" x14ac:dyDescent="0.35">
      <c r="A39" s="1" t="s">
        <v>31</v>
      </c>
      <c r="B39" s="6">
        <v>0.155253096533573</v>
      </c>
      <c r="C39" s="6">
        <v>0.15567444132976099</v>
      </c>
      <c r="D39" s="6">
        <v>-4.21344796187745E-4</v>
      </c>
      <c r="E39" s="7">
        <v>5.7738159611069196E-3</v>
      </c>
    </row>
    <row r="40" spans="1:5" x14ac:dyDescent="0.35">
      <c r="A40" s="1" t="s">
        <v>5</v>
      </c>
      <c r="B40" s="6">
        <v>0.15501790239107799</v>
      </c>
      <c r="C40" s="6">
        <v>0.15567444132976099</v>
      </c>
      <c r="D40" s="6">
        <v>-6.5653893868308799E-4</v>
      </c>
      <c r="E40" s="7">
        <v>5.7018944416984602E-2</v>
      </c>
    </row>
    <row r="41" spans="1:5" x14ac:dyDescent="0.35">
      <c r="A41" s="1" t="s">
        <v>33</v>
      </c>
      <c r="B41" s="6">
        <v>0.15468448985150299</v>
      </c>
      <c r="C41" s="6">
        <v>0.15567444132976099</v>
      </c>
      <c r="D41" s="6">
        <v>-9.899514782574499E-4</v>
      </c>
      <c r="E41" s="7">
        <v>5.4433472099462603E-3</v>
      </c>
    </row>
    <row r="42" spans="1:5" x14ac:dyDescent="0.35">
      <c r="A42" s="1" t="s">
        <v>34</v>
      </c>
      <c r="B42" s="6">
        <v>0.153990916570758</v>
      </c>
      <c r="C42" s="6">
        <v>0.15567444132976099</v>
      </c>
      <c r="D42" s="6">
        <v>-1.6835247590028799E-3</v>
      </c>
      <c r="E42" s="7">
        <v>5.4109119762181497E-3</v>
      </c>
    </row>
    <row r="43" spans="1:5" x14ac:dyDescent="0.35">
      <c r="A43" s="1" t="s">
        <v>49</v>
      </c>
      <c r="B43" s="6">
        <v>0.15398258020117001</v>
      </c>
      <c r="C43" s="6">
        <v>0.15567444132976099</v>
      </c>
      <c r="D43" s="6">
        <v>-1.69186112859024E-3</v>
      </c>
      <c r="E43" s="7">
        <v>1.8590715813445E-3</v>
      </c>
    </row>
    <row r="44" spans="1:5" x14ac:dyDescent="0.35">
      <c r="A44" s="1" t="s">
        <v>40</v>
      </c>
      <c r="B44" s="6">
        <v>0.15369773111871601</v>
      </c>
      <c r="C44" s="6">
        <v>0.15567444132976099</v>
      </c>
      <c r="D44" s="6">
        <v>-1.97671021104451E-3</v>
      </c>
      <c r="E44" s="7">
        <v>3.4989724107534598E-3</v>
      </c>
    </row>
    <row r="45" spans="1:5" x14ac:dyDescent="0.35">
      <c r="A45" s="1" t="s">
        <v>17</v>
      </c>
      <c r="B45" s="6">
        <v>0.15347444182182601</v>
      </c>
      <c r="C45" s="6">
        <v>0.15567444132976099</v>
      </c>
      <c r="D45" s="6">
        <v>-2.1999995079351698E-3</v>
      </c>
      <c r="E45" s="7">
        <v>1.89116896639893E-2</v>
      </c>
    </row>
    <row r="46" spans="1:5" x14ac:dyDescent="0.35">
      <c r="A46" s="1" t="s">
        <v>26</v>
      </c>
      <c r="B46" s="6">
        <v>0.15295303473744601</v>
      </c>
      <c r="C46" s="6">
        <v>0.15567444132976099</v>
      </c>
      <c r="D46" s="6">
        <v>-2.7214065923146001E-3</v>
      </c>
      <c r="E46" s="7">
        <v>7.5751941155620698E-3</v>
      </c>
    </row>
    <row r="47" spans="1:5" x14ac:dyDescent="0.35">
      <c r="A47" s="1" t="s">
        <v>47</v>
      </c>
      <c r="B47" s="6">
        <v>0.152780022302899</v>
      </c>
      <c r="C47" s="6">
        <v>0.15567444132976099</v>
      </c>
      <c r="D47" s="6">
        <v>-2.8944190268621601E-3</v>
      </c>
      <c r="E47" s="7">
        <v>2.3880275139501902E-3</v>
      </c>
    </row>
    <row r="48" spans="1:5" x14ac:dyDescent="0.35">
      <c r="A48" s="1" t="s">
        <v>25</v>
      </c>
      <c r="B48" s="6">
        <v>0.152731383919919</v>
      </c>
      <c r="C48" s="6">
        <v>0.15567444132976099</v>
      </c>
      <c r="D48" s="6">
        <v>-2.9430574098416001E-3</v>
      </c>
      <c r="E48" s="7">
        <v>7.7425778894150499E-3</v>
      </c>
    </row>
    <row r="49" spans="1:5" x14ac:dyDescent="0.35">
      <c r="A49" s="1" t="s">
        <v>30</v>
      </c>
      <c r="B49" s="6">
        <v>0.15205990172059999</v>
      </c>
      <c r="C49" s="6">
        <v>0.15567444132976099</v>
      </c>
      <c r="D49" s="6">
        <v>-3.61453960916075E-3</v>
      </c>
      <c r="E49" s="7">
        <v>6.1890775037265096E-3</v>
      </c>
    </row>
    <row r="50" spans="1:5" x14ac:dyDescent="0.35">
      <c r="A50" s="1" t="s">
        <v>23</v>
      </c>
      <c r="B50" s="6">
        <v>0.15152516610321101</v>
      </c>
      <c r="C50" s="6">
        <v>0.15567444132976099</v>
      </c>
      <c r="D50" s="6">
        <v>-4.1492752265493999E-3</v>
      </c>
      <c r="E50" s="7">
        <v>8.5860113292583595E-3</v>
      </c>
    </row>
    <row r="51" spans="1:5" x14ac:dyDescent="0.35">
      <c r="A51" s="1" t="s">
        <v>21</v>
      </c>
      <c r="B51" s="6">
        <v>0.15141182069249801</v>
      </c>
      <c r="C51" s="6">
        <v>0.15567444132976099</v>
      </c>
      <c r="D51" s="6">
        <v>-4.2626206372630999E-3</v>
      </c>
      <c r="E51" s="7">
        <v>8.8784034291488102E-3</v>
      </c>
    </row>
    <row r="52" spans="1:5" x14ac:dyDescent="0.35">
      <c r="A52" s="1" t="s">
        <v>51</v>
      </c>
      <c r="B52" s="6">
        <v>0.15104394934034199</v>
      </c>
      <c r="C52" s="6">
        <v>0.15567444132976099</v>
      </c>
      <c r="D52" s="6">
        <v>-4.6304919894188902E-3</v>
      </c>
      <c r="E52" s="7">
        <v>1.4756300454060701E-3</v>
      </c>
    </row>
    <row r="53" spans="1:5" x14ac:dyDescent="0.35">
      <c r="A53" s="1" t="s">
        <v>48</v>
      </c>
      <c r="B53" s="6">
        <v>0.150643315757615</v>
      </c>
      <c r="C53" s="6">
        <v>0.15567444132976099</v>
      </c>
      <c r="D53" s="6">
        <v>-5.0311255721453597E-3</v>
      </c>
      <c r="E53" s="7">
        <v>2.0983465422382999E-3</v>
      </c>
    </row>
    <row r="54" spans="1:5" x14ac:dyDescent="0.35">
      <c r="A54" s="1" t="s">
        <v>44</v>
      </c>
      <c r="B54" s="6">
        <v>0.15014281481998901</v>
      </c>
      <c r="C54" s="6">
        <v>0.15567444132976099</v>
      </c>
      <c r="D54" s="6">
        <v>-5.5316265097721798E-3</v>
      </c>
      <c r="E54" s="7">
        <v>2.7063712551662401E-3</v>
      </c>
    </row>
    <row r="55" spans="1:5" x14ac:dyDescent="0.35">
      <c r="A55" s="1" t="s">
        <v>58</v>
      </c>
      <c r="B55" s="6">
        <v>0.15002395135418201</v>
      </c>
      <c r="C55" s="6">
        <v>0.15567444132976099</v>
      </c>
      <c r="D55" s="6">
        <v>-5.6504899755787904E-3</v>
      </c>
      <c r="E55" s="7">
        <v>3.46069212631627E-4</v>
      </c>
    </row>
    <row r="56" spans="1:5" x14ac:dyDescent="0.35">
      <c r="A56" s="1" t="s">
        <v>42</v>
      </c>
      <c r="B56" s="6">
        <v>0.147103716321421</v>
      </c>
      <c r="C56" s="6">
        <v>0.15567444132976099</v>
      </c>
      <c r="D56" s="6">
        <v>-8.5707250083394398E-3</v>
      </c>
      <c r="E56" s="7">
        <v>3.2703104351692199E-3</v>
      </c>
    </row>
    <row r="57" spans="1:5" x14ac:dyDescent="0.35">
      <c r="A57" s="1" t="s">
        <v>55</v>
      </c>
      <c r="B57" s="6">
        <v>0.14612037716040799</v>
      </c>
      <c r="C57" s="6">
        <v>0.15567444132976099</v>
      </c>
      <c r="D57" s="6">
        <v>-9.5540641693526406E-3</v>
      </c>
      <c r="E57" s="7">
        <v>8.11433937558571E-4</v>
      </c>
    </row>
    <row r="58" spans="1:5" x14ac:dyDescent="0.35">
      <c r="A58" s="1" t="s">
        <v>54</v>
      </c>
      <c r="B58" s="6">
        <v>0.14475271926059499</v>
      </c>
      <c r="C58" s="6">
        <v>0.15567444132976099</v>
      </c>
      <c r="D58" s="6">
        <v>-1.09217220691658E-2</v>
      </c>
      <c r="E58" s="7">
        <v>8.3955574842368096E-4</v>
      </c>
    </row>
    <row r="59" spans="1:5" x14ac:dyDescent="0.35">
      <c r="A59" s="1" t="s">
        <v>60</v>
      </c>
      <c r="B59" s="6">
        <v>0.14161874617528</v>
      </c>
      <c r="C59" s="6">
        <v>0.15567444132976099</v>
      </c>
      <c r="D59" s="6">
        <v>-1.40556951544806E-2</v>
      </c>
      <c r="E59" s="7">
        <v>2.1689493358621601E-4</v>
      </c>
    </row>
    <row r="60" spans="1:5" x14ac:dyDescent="0.35">
      <c r="A60" s="1" t="s">
        <v>57</v>
      </c>
      <c r="B60" s="6">
        <v>0.130140062608534</v>
      </c>
      <c r="C60" s="6">
        <v>0.15567444132976099</v>
      </c>
      <c r="D60" s="6">
        <v>-2.5534378721227002E-2</v>
      </c>
      <c r="E60" s="7">
        <v>3.50990439362989E-4</v>
      </c>
    </row>
    <row r="61" spans="1:5" x14ac:dyDescent="0.35">
      <c r="A61" s="1" t="s">
        <v>61</v>
      </c>
      <c r="B61" s="6">
        <v>0.123588070747933</v>
      </c>
      <c r="C61" s="6">
        <v>0.15567444132976099</v>
      </c>
      <c r="D61" s="6">
        <v>-3.20863705818277E-2</v>
      </c>
      <c r="E61" s="7">
        <v>1.1090016227601301E-4</v>
      </c>
    </row>
  </sheetData>
  <phoneticPr fontId="2" type="noConversion"/>
  <conditionalFormatting sqref="B1:B1048576">
    <cfRule type="colorScale" priority="3">
      <colorScale>
        <cfvo type="min"/>
        <cfvo type="percentile" val="50"/>
        <cfvo type="max"/>
        <color rgb="FFFF0000"/>
        <color rgb="FFFFEB84"/>
        <color rgb="FF63BE7B"/>
      </colorScale>
    </cfRule>
  </conditionalFormatting>
  <conditionalFormatting sqref="D1:D1048576">
    <cfRule type="dataBar" priority="2">
      <dataBar>
        <cfvo type="min"/>
        <cfvo type="max"/>
        <color rgb="FF638EC6"/>
      </dataBar>
      <extLst>
        <ext xmlns:x14="http://schemas.microsoft.com/office/spreadsheetml/2009/9/main" uri="{B025F937-C7B1-47D3-B67F-A62EFF666E3E}">
          <x14:id>{5B4F4DA1-85E2-4644-BF80-2FA22A21C236}</x14:id>
        </ext>
      </extLst>
    </cfRule>
  </conditionalFormatting>
  <conditionalFormatting sqref="E1:E1048576">
    <cfRule type="colorScale" priority="1">
      <colorScale>
        <cfvo type="min"/>
        <cfvo type="percentile" val="50"/>
        <cfvo type="max"/>
        <color rgb="FFFF0000"/>
        <color rgb="FFAA72D4"/>
        <color theme="4" tint="-0.249977111117893"/>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B4F4DA1-85E2-4644-BF80-2FA22A21C236}">
            <x14:dataBar minLength="0" maxLength="100" border="1" negativeBarBorderColorSameAsPositive="0">
              <x14:cfvo type="autoMin"/>
              <x14:cfvo type="autoMax"/>
              <x14:borderColor rgb="FF638EC6"/>
              <x14:negativeFillColor rgb="FFFF0000"/>
              <x14:negativeBorderColor rgb="FFFF0000"/>
              <x14:axisColor rgb="FF000000"/>
            </x14:dataBar>
          </x14:cfRule>
          <xm:sqref>D1:D1048576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9ED891-7FA5-4735-9A69-3A22999CEB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1</vt:lpstr>
      <vt:lpstr>2</vt:lpstr>
      <vt:lpstr>3</vt:lpstr>
      <vt:lpstr>4</vt:lpstr>
      <vt:lpstr>5</vt:lpstr>
      <vt:lpstr>6</vt:lpstr>
      <vt:lpstr>7</vt:lpstr>
      <vt:lpstr>8</vt:lpstr>
      <vt:lpstr>9</vt:lpstr>
      <vt:lpstr>10</vt:lpstr>
      <vt:lpstr>10 pivot</vt:lpstr>
      <vt:lpstr>11</vt:lpstr>
      <vt:lpstr>12</vt:lpstr>
      <vt:lpstr>13</vt:lpstr>
      <vt:lpstr>15</vt:lpstr>
      <vt:lpstr>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Bane Andriana Kuzmanovic</dc:creator>
  <cp:lastModifiedBy>Bane Andriana Kuzmanovic</cp:lastModifiedBy>
  <dcterms:created xsi:type="dcterms:W3CDTF">2015-06-05T18:17:20Z</dcterms:created>
  <dcterms:modified xsi:type="dcterms:W3CDTF">2026-02-16T15:26:10Z</dcterms:modified>
</cp:coreProperties>
</file>