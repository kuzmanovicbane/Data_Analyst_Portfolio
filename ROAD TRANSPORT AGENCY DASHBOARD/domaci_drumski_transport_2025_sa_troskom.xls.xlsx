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TRANSPORTNA AGENCIJA DASHBOARD/"/>
    </mc:Choice>
  </mc:AlternateContent>
  <xr:revisionPtr revIDLastSave="136" documentId="8_{37F4A4D1-5CA3-4F7D-8114-F54924EA785A}" xr6:coauthVersionLast="47" xr6:coauthVersionMax="47" xr10:uidLastSave="{AE3EF41F-AA81-47B0-BAA3-D857E4FA9BD9}"/>
  <bookViews>
    <workbookView xWindow="-110" yWindow="-110" windowWidth="19420" windowHeight="11500" xr2:uid="{A1270040-1BA3-4626-BA00-99E2FFF8A68A}"/>
  </bookViews>
  <sheets>
    <sheet name="domaci_drumski_transport_2025_s" sheetId="1" r:id="rId1"/>
    <sheet name="UKUPNA ZARADA OD TRANSPORTA" sheetId="2" r:id="rId2"/>
  </sheets>
  <definedNames>
    <definedName name="_xlnm._FilterDatabase" localSheetId="0" hidden="1">domaci_drumski_transport_2025_s!$B$1:$J$1001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" i="2"/>
  <c r="C2001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1893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17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67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41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05" i="2"/>
  <c r="C1604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220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046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02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881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580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444" i="2"/>
  <c r="C443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166" i="2"/>
  <c r="C165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22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32" i="2"/>
  <c r="C23" i="2"/>
  <c r="C24" i="2"/>
  <c r="C25" i="2"/>
  <c r="C26" i="2"/>
  <c r="C27" i="2"/>
  <c r="C28" i="2"/>
  <c r="C29" i="2"/>
  <c r="C30" i="2"/>
  <c r="C31" i="2"/>
  <c r="C22" i="2"/>
  <c r="C11" i="2"/>
  <c r="C12" i="2"/>
  <c r="C13" i="2"/>
  <c r="C14" i="2"/>
  <c r="C15" i="2"/>
  <c r="C16" i="2"/>
  <c r="C17" i="2"/>
  <c r="C18" i="2"/>
  <c r="C19" i="2"/>
  <c r="C20" i="2"/>
  <c r="C21" i="2"/>
  <c r="C10" i="2"/>
  <c r="C9" i="2"/>
  <c r="C3" i="2"/>
  <c r="C4" i="2"/>
  <c r="C5" i="2"/>
  <c r="C6" i="2"/>
  <c r="C7" i="2"/>
  <c r="C8" i="2"/>
  <c r="C2" i="2"/>
</calcChain>
</file>

<file path=xl/sharedStrings.xml><?xml version="1.0" encoding="utf-8"?>
<sst xmlns="http://schemas.openxmlformats.org/spreadsheetml/2006/main" count="9015" uniqueCount="2055">
  <si>
    <t>Datum utovara</t>
  </si>
  <si>
    <t>Datum istovara</t>
  </si>
  <si>
    <t>Tip kamiona</t>
  </si>
  <si>
    <t>Tip robe</t>
  </si>
  <si>
    <t>Vrednost robe</t>
  </si>
  <si>
    <t>Prevoznik</t>
  </si>
  <si>
    <t>Mesto utovara</t>
  </si>
  <si>
    <t>Mesto istovara</t>
  </si>
  <si>
    <t>silo</t>
  </si>
  <si>
    <t>Prevoznik E</t>
  </si>
  <si>
    <t>Senta</t>
  </si>
  <si>
    <t>Jagodina</t>
  </si>
  <si>
    <t>staklo</t>
  </si>
  <si>
    <t>Prevoznik A</t>
  </si>
  <si>
    <t>Kraljevo</t>
  </si>
  <si>
    <t>Novi Sad</t>
  </si>
  <si>
    <t>plastika</t>
  </si>
  <si>
    <t>Prevoznik C</t>
  </si>
  <si>
    <t>Apatin</t>
  </si>
  <si>
    <t>kiper</t>
  </si>
  <si>
    <t>metali</t>
  </si>
  <si>
    <t>Vranje</t>
  </si>
  <si>
    <t>Subotica</t>
  </si>
  <si>
    <t>cement</t>
  </si>
  <si>
    <t>Beograd</t>
  </si>
  <si>
    <t>Kragujevac</t>
  </si>
  <si>
    <t>Prevoznik D</t>
  </si>
  <si>
    <t>drvo</t>
  </si>
  <si>
    <t>Prevoznik B</t>
  </si>
  <si>
    <t>Kikinda</t>
  </si>
  <si>
    <t>automobilski delovi</t>
  </si>
  <si>
    <t>Pirot</t>
  </si>
  <si>
    <t>Sombor</t>
  </si>
  <si>
    <t>nafta</t>
  </si>
  <si>
    <t>Leskovac</t>
  </si>
  <si>
    <t>Zrenjanin</t>
  </si>
  <si>
    <t>Valjevo</t>
  </si>
  <si>
    <t>Trošak transporta</t>
  </si>
  <si>
    <t>žitarice</t>
  </si>
  <si>
    <t>šleper</t>
  </si>
  <si>
    <t>solaš</t>
  </si>
  <si>
    <t>Pančevo</t>
  </si>
  <si>
    <t>Požarevac</t>
  </si>
  <si>
    <t>Vršac</t>
  </si>
  <si>
    <t>Čačak</t>
  </si>
  <si>
    <t>Niš</t>
  </si>
  <si>
    <t>ID UTOVARA</t>
  </si>
  <si>
    <t>D1</t>
  </si>
  <si>
    <t>D3</t>
  </si>
  <si>
    <t>D2</t>
  </si>
  <si>
    <t>D9</t>
  </si>
  <si>
    <t>D5</t>
  </si>
  <si>
    <t>D4</t>
  </si>
  <si>
    <t>D6</t>
  </si>
  <si>
    <t>D7</t>
  </si>
  <si>
    <t>D8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</si>
  <si>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</si>
  <si>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</si>
  <si>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</si>
  <si>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</si>
  <si>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</si>
  <si>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</si>
  <si>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</si>
  <si>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</si>
  <si>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</si>
  <si>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</si>
  <si>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</si>
  <si>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</si>
  <si>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</si>
  <si>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</si>
  <si>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</si>
  <si>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</si>
  <si>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</si>
  <si>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</si>
  <si>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</si>
  <si>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</si>
  <si>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</si>
  <si>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</si>
  <si>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</si>
  <si>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</si>
  <si>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</si>
  <si>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</si>
  <si>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</si>
  <si>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</si>
  <si>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</si>
  <si>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</si>
  <si>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</si>
  <si>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</si>
  <si>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</si>
  <si>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</si>
  <si>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</si>
  <si>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</si>
  <si>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</si>
  <si>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</si>
  <si>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</si>
  <si>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</si>
  <si>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</si>
  <si>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</si>
  <si>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</si>
  <si>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</si>
  <si>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</si>
  <si>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</si>
  <si>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</si>
  <si>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</si>
  <si>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</si>
  <si>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</si>
  <si>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</si>
  <si>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</si>
  <si>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</si>
  <si>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</si>
  <si>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</si>
  <si>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</si>
  <si>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</si>
  <si>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</si>
  <si>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</si>
  <si>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</si>
  <si>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</si>
  <si>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</si>
  <si>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</si>
  <si>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</si>
  <si>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</si>
  <si>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</si>
  <si>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</si>
  <si>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</si>
  <si>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</si>
  <si>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</si>
  <si>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</si>
  <si>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</si>
  <si>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</si>
  <si>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</si>
  <si>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</si>
  <si>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</si>
  <si>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</si>
  <si>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</si>
  <si>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</si>
  <si>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</si>
  <si>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</si>
  <si>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</si>
  <si>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</si>
  <si>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</si>
  <si>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</si>
  <si>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</si>
  <si>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</si>
  <si>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</si>
  <si>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</si>
  <si>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</si>
  <si>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</si>
  <si>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</si>
  <si>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</si>
  <si>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</si>
  <si>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</si>
  <si>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</si>
  <si>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</si>
  <si>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</si>
  <si>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</si>
  <si>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</si>
  <si>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</si>
  <si>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</si>
  <si>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</si>
  <si>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</si>
  <si>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</si>
  <si>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</si>
  <si>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</si>
  <si>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</si>
  <si>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</si>
  <si>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</si>
  <si>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</si>
  <si>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</si>
  <si>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</si>
  <si>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</si>
  <si>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</si>
  <si>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</si>
  <si>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</si>
  <si>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</si>
  <si>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</si>
  <si>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</si>
  <si>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</si>
  <si>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</si>
  <si>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</si>
  <si>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</si>
  <si>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</si>
  <si>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</si>
  <si>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</si>
  <si>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</si>
  <si>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</si>
  <si>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</si>
  <si>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</si>
  <si>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</si>
  <si>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</si>
  <si>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</si>
  <si>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</si>
  <si>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</si>
  <si>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</si>
  <si>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</si>
  <si>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</si>
  <si>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</si>
  <si>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</si>
  <si>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</si>
  <si>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</si>
  <si>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</si>
  <si>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</si>
  <si>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</si>
  <si>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</si>
  <si>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</si>
  <si>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</si>
  <si>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</si>
  <si>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</si>
  <si>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</si>
  <si>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</si>
  <si>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</si>
  <si>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</si>
  <si>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</si>
  <si>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</si>
  <si>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</si>
  <si>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</si>
  <si>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</si>
  <si>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</si>
  <si>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</si>
  <si>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</si>
  <si>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</si>
  <si>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</si>
  <si>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</si>
  <si>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</si>
  <si>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</si>
  <si>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</si>
  <si>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</si>
  <si>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</si>
  <si>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</si>
  <si>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</si>
  <si>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</si>
  <si>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</si>
  <si>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</si>
  <si>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</si>
  <si>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</si>
  <si>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</si>
  <si>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</si>
  <si>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</si>
  <si>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</si>
  <si>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</si>
  <si>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</si>
  <si>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</si>
  <si>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</si>
  <si>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</si>
  <si>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</si>
  <si>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</si>
  <si>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</si>
  <si>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</si>
  <si>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</si>
  <si>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</si>
  <si>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</si>
  <si>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</si>
  <si>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</si>
  <si>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</si>
  <si>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</si>
  <si>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</si>
  <si>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</si>
  <si>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</si>
  <si>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</si>
  <si>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</si>
  <si>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</si>
  <si>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</si>
  <si>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</si>
  <si>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</si>
  <si>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</si>
  <si>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</si>
  <si>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</si>
  <si>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</si>
  <si>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</si>
  <si>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</si>
  <si>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</si>
  <si>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</si>
  <si>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</si>
  <si>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</si>
  <si>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</si>
  <si>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</si>
  <si>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</si>
  <si>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</si>
  <si>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</si>
  <si>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</si>
  <si>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</si>
  <si>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</si>
  <si>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</si>
  <si>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</si>
  <si>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</si>
  <si>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</si>
  <si>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</si>
  <si>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</si>
  <si>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</si>
  <si>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</si>
  <si>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</si>
  <si>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</si>
  <si>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</si>
  <si>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</si>
  <si>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</si>
  <si>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</si>
  <si>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</si>
  <si>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</si>
  <si>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</si>
  <si>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</si>
  <si>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</si>
  <si>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</si>
  <si>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</si>
  <si>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</si>
  <si>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</si>
  <si>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</si>
  <si>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</si>
  <si>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</si>
  <si>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</si>
  <si>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</si>
  <si>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</si>
  <si>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</si>
  <si>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</si>
  <si>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</si>
  <si>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</si>
  <si>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</si>
  <si>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</si>
  <si>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</si>
  <si>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</si>
  <si>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</si>
  <si>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</si>
  <si>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</si>
  <si>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</si>
  <si>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</si>
  <si>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</si>
  <si>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</si>
  <si>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</si>
  <si>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</si>
  <si>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</si>
  <si>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</si>
  <si>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</si>
  <si>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</si>
  <si>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</si>
  <si>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</si>
  <si>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</si>
  <si>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</si>
  <si>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</si>
  <si>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</si>
  <si>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</si>
  <si>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</si>
  <si>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</si>
  <si>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</si>
  <si>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</si>
  <si>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</si>
  <si>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</si>
  <si>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</si>
  <si>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</si>
  <si>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</si>
  <si>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</si>
  <si>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</si>
  <si>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</si>
  <si>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</si>
  <si>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</si>
  <si>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</si>
  <si>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</si>
  <si>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</si>
  <si>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</si>
  <si>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</si>
  <si>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</si>
  <si>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</si>
  <si>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</si>
  <si>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</si>
  <si>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</si>
  <si>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</si>
  <si>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</si>
  <si>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</si>
  <si>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</si>
  <si>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</si>
  <si>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</si>
  <si>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</si>
  <si>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</si>
  <si>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</si>
  <si>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</si>
  <si>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</si>
  <si>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</si>
  <si>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</si>
  <si>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</si>
  <si>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</si>
  <si>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</si>
  <si>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</si>
  <si>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</si>
  <si>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</si>
  <si>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</si>
  <si>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</si>
  <si>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</si>
  <si>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</si>
  <si>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</si>
  <si>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</si>
  <si>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</si>
  <si>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</si>
  <si>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</si>
  <si>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</si>
  <si>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</si>
  <si>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</si>
  <si>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</si>
  <si>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</si>
  <si>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</si>
  <si>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</si>
  <si>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</si>
  <si>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</si>
  <si>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</si>
  <si>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</si>
  <si>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</si>
  <si>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</si>
  <si>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</si>
  <si>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</si>
  <si>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</si>
  <si>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</si>
  <si>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</si>
  <si>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</si>
  <si>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</si>
  <si>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</si>
  <si>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</si>
  <si>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</si>
  <si>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</si>
  <si>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</si>
  <si>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</si>
  <si>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</si>
  <si>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</si>
  <si>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</si>
  <si>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</si>
  <si>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</si>
  <si>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</si>
  <si>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</si>
  <si>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</si>
  <si>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</si>
  <si>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</si>
  <si>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</si>
  <si>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</si>
  <si>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</si>
  <si>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</si>
  <si>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</si>
  <si>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</si>
  <si>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</si>
  <si>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</si>
  <si>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</si>
  <si>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</si>
  <si>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</si>
  <si>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</si>
  <si>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</si>
  <si>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</si>
  <si>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</si>
  <si>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</si>
  <si>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</si>
  <si>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</si>
  <si>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</si>
  <si>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</si>
  <si>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</si>
  <si>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</si>
  <si>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</si>
  <si>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</si>
  <si>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</si>
  <si>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</si>
  <si>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</si>
  <si>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</si>
  <si>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</si>
  <si>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</si>
  <si>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</si>
  <si>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</si>
  <si>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</si>
  <si>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</si>
  <si>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</si>
  <si>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</si>
  <si>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</si>
  <si>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</si>
  <si>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</si>
  <si>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</si>
  <si>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</si>
  <si>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</si>
  <si>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</si>
  <si>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</si>
  <si>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</si>
  <si>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</si>
  <si>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</si>
  <si>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</si>
  <si>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</si>
  <si>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</si>
  <si>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</si>
  <si>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</si>
  <si>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</si>
  <si>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</si>
  <si>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</si>
  <si>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</si>
  <si>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</si>
  <si>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</si>
  <si>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</si>
  <si>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</si>
  <si>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</si>
  <si>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</si>
  <si>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</si>
  <si>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</si>
  <si>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</si>
  <si>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</si>
  <si>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</si>
  <si>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</si>
  <si>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</si>
  <si>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</si>
  <si>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</si>
  <si>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</si>
  <si>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</si>
  <si>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</si>
  <si>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</si>
  <si>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</si>
  <si>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</si>
  <si>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</si>
  <si>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</si>
  <si>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</si>
  <si>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</si>
  <si>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</si>
  <si>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</si>
  <si>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</si>
  <si>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</si>
  <si>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</si>
  <si>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</si>
  <si>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</si>
  <si>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</si>
  <si>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</si>
  <si>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</si>
  <si>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</si>
  <si>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</si>
  <si>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</si>
  <si>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</si>
  <si>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</si>
  <si>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</si>
  <si>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</si>
  <si>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</si>
  <si>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</si>
  <si>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</si>
  <si>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</si>
  <si>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</si>
  <si>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</si>
  <si>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</si>
  <si>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</si>
  <si>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</si>
  <si>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D487</t>
  </si>
  <si>
    <t>D488</t>
  </si>
  <si>
    <t>D489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</si>
  <si>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</si>
  <si>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</si>
  <si>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</si>
  <si>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</si>
  <si>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</si>
  <si>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</si>
  <si>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</si>
  <si>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</si>
  <si>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</si>
  <si>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</si>
  <si>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</si>
  <si>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</si>
  <si>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</si>
  <si>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</si>
  <si>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</si>
  <si>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</si>
  <si>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</si>
  <si>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</si>
  <si>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</si>
  <si>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</si>
  <si>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</si>
  <si>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</si>
  <si>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</si>
  <si>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</si>
  <si>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</si>
  <si>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</si>
  <si>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</si>
  <si>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</si>
  <si>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</si>
  <si>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</si>
  <si>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</si>
  <si>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</si>
  <si>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</si>
  <si>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</si>
  <si>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</si>
  <si>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</si>
  <si>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</si>
  <si>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</si>
  <si>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</si>
  <si>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</si>
  <si>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</si>
  <si>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</si>
  <si>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</si>
  <si>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</si>
  <si>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</si>
  <si>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</si>
  <si>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</si>
  <si>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</si>
  <si>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</si>
  <si>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</si>
  <si>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</si>
  <si>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</si>
  <si>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</si>
  <si>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</si>
  <si>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</si>
  <si>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</si>
  <si>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</si>
  <si>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</si>
  <si>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</si>
  <si>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</si>
  <si>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</si>
  <si>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</si>
  <si>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</si>
  <si>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</si>
  <si>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</si>
  <si>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</si>
  <si>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</si>
  <si>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</si>
  <si>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</si>
  <si>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</si>
  <si>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</si>
  <si>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</si>
  <si>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</si>
  <si>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</si>
  <si>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</si>
  <si>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</si>
  <si>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</si>
  <si>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</si>
  <si>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</si>
  <si>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</si>
  <si>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</si>
  <si>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</si>
  <si>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</si>
  <si>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</si>
  <si>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</si>
  <si>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</si>
  <si>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</si>
  <si>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</si>
  <si>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</si>
  <si>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</si>
  <si>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</si>
  <si>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</si>
  <si>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</si>
  <si>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</si>
  <si>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</si>
  <si>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</si>
  <si>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</si>
  <si>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</si>
  <si>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</si>
  <si>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</si>
  <si>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</si>
  <si>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</si>
  <si>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</si>
  <si>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</si>
  <si>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</si>
  <si>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</si>
  <si>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</si>
  <si>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</si>
  <si>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</si>
  <si>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</si>
  <si>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</si>
  <si>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</si>
  <si>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</si>
  <si>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</si>
  <si>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</si>
  <si>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</si>
  <si>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</si>
  <si>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</si>
  <si>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</si>
  <si>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</si>
  <si>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</si>
  <si>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</si>
  <si>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</si>
  <si>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</si>
  <si>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</si>
  <si>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</si>
  <si>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</si>
  <si>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</si>
  <si>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</si>
  <si>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</si>
  <si>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</si>
  <si>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</si>
  <si>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</si>
  <si>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</si>
  <si>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</si>
  <si>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</si>
  <si>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</si>
  <si>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</si>
  <si>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</si>
  <si>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</si>
  <si>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</si>
  <si>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</si>
  <si>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</si>
  <si>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</si>
  <si>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</si>
  <si>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</si>
  <si>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</si>
  <si>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</si>
  <si>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</si>
  <si>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</si>
  <si>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</si>
  <si>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</si>
  <si>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</si>
  <si>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</si>
  <si>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</si>
  <si>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</si>
  <si>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</si>
  <si>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</si>
  <si>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</si>
  <si>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</si>
  <si>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</si>
  <si>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</si>
  <si>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</si>
  <si>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</si>
  <si>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</si>
  <si>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</si>
  <si>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</si>
  <si>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</si>
  <si>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</si>
  <si>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</si>
  <si>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</si>
  <si>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</si>
  <si>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</si>
  <si>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</si>
  <si>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</si>
  <si>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</si>
  <si>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</si>
  <si>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</si>
  <si>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</si>
  <si>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</si>
  <si>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</si>
  <si>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</si>
  <si>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</si>
  <si>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</si>
  <si>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</si>
  <si>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</si>
  <si>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</si>
  <si>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</si>
  <si>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</si>
  <si>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</si>
  <si>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</si>
  <si>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</si>
  <si>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</si>
  <si>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</si>
  <si>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</si>
  <si>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</si>
  <si>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</si>
  <si>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</si>
  <si>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</si>
  <si>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</si>
  <si>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</si>
  <si>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</si>
  <si>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</si>
  <si>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</si>
  <si>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</si>
  <si>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</si>
  <si>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</si>
  <si>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</si>
  <si>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</si>
  <si>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</si>
  <si>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</si>
  <si>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</si>
  <si>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</si>
  <si>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</si>
  <si>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</si>
  <si>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</si>
  <si>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</si>
  <si>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</si>
  <si>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</si>
  <si>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</si>
  <si>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</si>
  <si>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</si>
  <si>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</si>
  <si>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</si>
  <si>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</si>
  <si>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</si>
  <si>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</si>
  <si>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</si>
  <si>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</si>
  <si>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</si>
  <si>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</si>
  <si>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</si>
  <si>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</si>
  <si>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</si>
  <si>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</si>
  <si>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</si>
  <si>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</si>
  <si>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</si>
  <si>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</si>
  <si>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</si>
  <si>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</si>
  <si>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</si>
  <si>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</si>
  <si>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</si>
  <si>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</si>
  <si>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</si>
  <si>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</si>
  <si>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</si>
  <si>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</si>
  <si>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</si>
  <si>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</si>
  <si>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</si>
  <si>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</si>
  <si>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</si>
  <si>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</si>
  <si>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</si>
  <si>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</si>
  <si>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</si>
  <si>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</si>
  <si>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</si>
  <si>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</si>
  <si>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</si>
  <si>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</si>
  <si>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</si>
  <si>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</si>
  <si>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</si>
  <si>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</si>
  <si>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</si>
  <si>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</si>
  <si>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</si>
  <si>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</si>
  <si>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</si>
  <si>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</si>
  <si>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</si>
  <si>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</si>
  <si>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</si>
  <si>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</si>
  <si>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</si>
  <si>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</si>
  <si>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</si>
  <si>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</si>
  <si>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</si>
  <si>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</si>
  <si>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</si>
  <si>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</si>
  <si>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</si>
  <si>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</si>
  <si>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</si>
  <si>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</si>
  <si>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</si>
  <si>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</si>
  <si>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</si>
  <si>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</si>
  <si>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</si>
  <si>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</si>
  <si>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</si>
  <si>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</si>
  <si>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</si>
  <si>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</si>
  <si>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</si>
  <si>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</si>
  <si>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</si>
  <si>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</si>
  <si>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</si>
  <si>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</si>
  <si>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</si>
  <si>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</si>
  <si>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</si>
  <si>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</si>
  <si>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</si>
  <si>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</si>
  <si>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</si>
  <si>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</si>
  <si>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</si>
  <si>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</si>
  <si>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</si>
  <si>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</si>
  <si>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</si>
  <si>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</si>
  <si>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</si>
  <si>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</si>
  <si>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</si>
  <si>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</si>
  <si>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</si>
  <si>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</si>
  <si>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</si>
  <si>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</si>
  <si>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</si>
  <si>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</si>
  <si>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</si>
  <si>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</si>
  <si>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</si>
  <si>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</si>
  <si>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</si>
  <si>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</si>
  <si>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</si>
  <si>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</si>
  <si>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</si>
  <si>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</si>
  <si>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</si>
  <si>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</si>
  <si>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</si>
  <si>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</si>
  <si>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</si>
  <si>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</si>
  <si>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</si>
  <si>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</si>
  <si>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</si>
  <si>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</si>
  <si>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</si>
  <si>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</si>
  <si>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</si>
  <si>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</si>
  <si>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</si>
  <si>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</si>
  <si>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</si>
  <si>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</si>
  <si>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</si>
  <si>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</si>
  <si>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</si>
  <si>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</si>
  <si>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</si>
  <si>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</si>
  <si>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</si>
  <si>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</si>
  <si>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</si>
  <si>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</si>
  <si>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</si>
  <si>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</si>
  <si>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</si>
  <si>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</si>
  <si>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</si>
  <si>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</si>
  <si>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</si>
  <si>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</si>
  <si>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</si>
  <si>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</si>
  <si>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</si>
  <si>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</si>
  <si>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</si>
  <si>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</si>
  <si>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</si>
  <si>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</si>
  <si>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</si>
  <si>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</si>
  <si>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</si>
  <si>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</si>
  <si>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</si>
  <si>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</si>
  <si>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</si>
  <si>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</si>
  <si>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</si>
  <si>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</si>
  <si>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</si>
  <si>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</si>
  <si>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</si>
  <si>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</si>
  <si>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</si>
  <si>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</si>
  <si>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</si>
  <si>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</si>
  <si>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</si>
  <si>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</si>
  <si>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</si>
  <si>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</si>
  <si>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</si>
  <si>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</si>
  <si>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</si>
  <si>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</si>
  <si>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</si>
  <si>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</si>
  <si>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</si>
  <si>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</si>
  <si>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</si>
  <si>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</si>
  <si>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</si>
  <si>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</si>
  <si>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</si>
  <si>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</si>
  <si>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</si>
  <si>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</si>
  <si>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</si>
  <si>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</si>
  <si>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</si>
  <si>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</si>
  <si>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</si>
  <si>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</si>
  <si>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</si>
  <si>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</si>
  <si>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</si>
  <si>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</si>
  <si>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</si>
  <si>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</si>
  <si>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</si>
  <si>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</si>
  <si>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</si>
  <si>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</si>
  <si>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</si>
  <si>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</si>
  <si>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</si>
  <si>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</si>
  <si>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</si>
  <si>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</si>
  <si>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</si>
  <si>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</si>
  <si>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</si>
  <si>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</si>
  <si>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</si>
  <si>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</si>
  <si>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</si>
  <si>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</si>
  <si>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</si>
  <si>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</si>
  <si>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</si>
  <si>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</si>
  <si>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</si>
  <si>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</si>
  <si>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</si>
  <si>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</si>
  <si>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</si>
  <si>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</si>
  <si>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</si>
  <si>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</si>
  <si>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</si>
  <si>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</si>
  <si>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</si>
  <si>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</si>
  <si>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</si>
  <si>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</si>
  <si>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</si>
  <si>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</si>
  <si>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</si>
  <si>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</si>
  <si>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</si>
  <si>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</si>
  <si>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</si>
  <si>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</si>
  <si>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</si>
  <si>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</si>
  <si>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</si>
  <si>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</si>
  <si>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</si>
  <si>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</si>
  <si>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</si>
  <si>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</si>
  <si>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</si>
  <si>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</si>
  <si>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</si>
  <si>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</si>
  <si>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</si>
  <si>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</si>
  <si>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</si>
  <si>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</si>
  <si>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</si>
  <si>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</si>
  <si>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</si>
  <si>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</si>
  <si>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</si>
  <si>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</si>
  <si>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</si>
  <si>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</si>
  <si>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</si>
  <si>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</si>
  <si>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</si>
  <si>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</si>
  <si>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</si>
  <si>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</si>
  <si>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</si>
  <si>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</si>
  <si>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</si>
  <si>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D1000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</si>
  <si>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</si>
  <si>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</si>
  <si>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</si>
  <si>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</si>
  <si>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</si>
  <si>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</si>
  <si>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</si>
  <si>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</si>
  <si>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</si>
  <si>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</si>
  <si>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</si>
  <si>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</si>
  <si>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</si>
  <si>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</si>
  <si>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</si>
  <si>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</si>
  <si>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</si>
  <si>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</si>
  <si>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</si>
  <si>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</si>
  <si>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</si>
  <si>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</si>
  <si>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</si>
  <si>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</si>
  <si>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</si>
  <si>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</si>
  <si>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</si>
  <si>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</si>
  <si>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</si>
  <si>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</si>
  <si>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</si>
  <si>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</si>
  <si>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</si>
  <si>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</si>
  <si>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</si>
  <si>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</si>
  <si>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</si>
  <si>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</si>
  <si>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</si>
  <si>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</si>
  <si>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</si>
  <si>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</si>
  <si>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</si>
  <si>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</si>
  <si>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</si>
  <si>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</si>
  <si>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</si>
  <si>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</si>
  <si>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</si>
  <si>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</si>
  <si>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</si>
  <si>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</si>
  <si>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</si>
  <si>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</si>
  <si>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</si>
  <si>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</si>
  <si>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</si>
  <si>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</si>
  <si>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</si>
  <si>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</si>
  <si>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</si>
  <si>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</si>
  <si>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</si>
  <si>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</si>
  <si>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</si>
  <si>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</si>
  <si>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</si>
  <si>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</si>
  <si>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</si>
  <si>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</si>
  <si>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</si>
  <si>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</si>
  <si>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</si>
  <si>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</si>
  <si>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</si>
  <si>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</si>
  <si>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</si>
  <si>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</si>
  <si>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</si>
  <si>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</si>
  <si>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</si>
  <si>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</si>
  <si>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</si>
  <si>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</si>
  <si>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</si>
  <si>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</si>
  <si>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</si>
  <si>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</si>
  <si>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</si>
  <si>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</si>
  <si>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</si>
  <si>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</si>
  <si>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</si>
  <si>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</si>
  <si>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</si>
  <si>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</si>
  <si>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</si>
  <si>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</si>
  <si>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</si>
  <si>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</si>
  <si>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</si>
  <si>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</si>
  <si>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</si>
  <si>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</si>
  <si>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</si>
  <si>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</si>
  <si>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</si>
  <si>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</si>
  <si>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</si>
  <si>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</si>
  <si>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</si>
  <si>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</si>
  <si>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</si>
  <si>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</si>
  <si>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</si>
  <si>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</si>
  <si>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</si>
  <si>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</si>
  <si>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</si>
  <si>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</si>
  <si>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</si>
  <si>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</si>
  <si>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</si>
  <si>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</si>
  <si>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</si>
  <si>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</si>
  <si>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</si>
  <si>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</si>
  <si>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</si>
  <si>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</si>
  <si>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</si>
  <si>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</si>
  <si>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</si>
  <si>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</si>
  <si>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</si>
  <si>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</si>
  <si>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</si>
  <si>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</si>
  <si>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</si>
  <si>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</si>
  <si>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</si>
  <si>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</si>
  <si>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</si>
  <si>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</si>
  <si>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</si>
  <si>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</si>
  <si>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</si>
  <si>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</si>
  <si>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</si>
  <si>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</si>
  <si>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</si>
  <si>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</si>
  <si>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</si>
  <si>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</si>
  <si>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</si>
  <si>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</si>
  <si>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</si>
  <si>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</si>
  <si>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</si>
  <si>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</si>
  <si>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</si>
  <si>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</si>
  <si>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</si>
  <si>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</si>
  <si>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</si>
  <si>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</si>
  <si>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</si>
  <si>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</si>
  <si>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</si>
  <si>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</si>
  <si>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</si>
  <si>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</si>
  <si>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</si>
  <si>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</si>
  <si>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</si>
  <si>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</si>
  <si>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</si>
  <si>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</si>
  <si>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</si>
  <si>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</si>
  <si>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</si>
  <si>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</si>
  <si>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</si>
  <si>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</si>
  <si>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</si>
  <si>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</si>
  <si>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</si>
  <si>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</si>
  <si>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</si>
  <si>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</si>
  <si>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</si>
  <si>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</si>
  <si>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</si>
  <si>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</si>
  <si>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</si>
  <si>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</si>
  <si>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</si>
  <si>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</si>
  <si>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</si>
  <si>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</si>
  <si>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</si>
  <si>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</si>
  <si>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</si>
  <si>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</si>
  <si>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</si>
  <si>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</si>
  <si>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</si>
  <si>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</si>
  <si>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</si>
  <si>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</si>
  <si>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</si>
  <si>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</si>
  <si>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</si>
  <si>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</si>
  <si>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</si>
  <si>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</si>
  <si>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</si>
  <si>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</si>
  <si>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</si>
  <si>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</si>
  <si>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</si>
  <si>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</si>
  <si>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</si>
  <si>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</si>
  <si>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</si>
  <si>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</si>
  <si>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</si>
  <si>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</si>
  <si>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</si>
  <si>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</si>
  <si>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</si>
  <si>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</si>
  <si>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</si>
  <si>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</si>
  <si>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</si>
  <si>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</si>
  <si>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</si>
  <si>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</si>
  <si>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</si>
  <si>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</si>
  <si>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</si>
  <si>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</si>
  <si>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</si>
  <si>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</si>
  <si>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</si>
  <si>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</si>
  <si>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</si>
  <si>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</si>
  <si>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</si>
  <si>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</si>
  <si>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</si>
  <si>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</si>
  <si>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</si>
  <si>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</si>
  <si>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</si>
  <si>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</si>
  <si>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</si>
  <si>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</si>
  <si>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</si>
  <si>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</si>
  <si>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</si>
  <si>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</si>
  <si>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</si>
  <si>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</si>
  <si>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</si>
  <si>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</si>
  <si>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</si>
  <si>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</si>
  <si>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</si>
  <si>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</si>
  <si>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</si>
  <si>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</si>
  <si>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</si>
  <si>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</si>
  <si>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</si>
  <si>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</si>
  <si>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</si>
  <si>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</si>
  <si>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</si>
  <si>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</si>
  <si>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</si>
  <si>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</si>
  <si>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</si>
  <si>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</si>
  <si>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</si>
  <si>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</si>
  <si>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</si>
  <si>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</si>
  <si>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</si>
  <si>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</si>
  <si>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</si>
  <si>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</si>
  <si>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</si>
  <si>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</si>
  <si>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</si>
  <si>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</si>
  <si>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</si>
  <si>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</si>
  <si>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</si>
  <si>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</si>
  <si>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</si>
  <si>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</si>
  <si>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</si>
  <si>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</si>
  <si>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</si>
  <si>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</si>
  <si>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</si>
  <si>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</si>
  <si>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</si>
  <si>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</si>
  <si>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</si>
  <si>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</si>
  <si>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</si>
  <si>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</si>
  <si>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</si>
  <si>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</si>
  <si>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</si>
  <si>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</si>
  <si>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</si>
  <si>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</si>
  <si>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</si>
  <si>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</si>
  <si>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</si>
  <si>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</si>
  <si>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</si>
  <si>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</si>
  <si>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</si>
  <si>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</si>
  <si>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</si>
  <si>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</si>
  <si>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</si>
  <si>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</si>
  <si>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</si>
  <si>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</si>
  <si>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</si>
  <si>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</si>
  <si>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</si>
  <si>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</si>
  <si>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</si>
  <si>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</si>
  <si>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</si>
  <si>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</si>
  <si>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</si>
  <si>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</si>
  <si>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</si>
  <si>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</si>
  <si>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</si>
  <si>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</si>
  <si>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</si>
  <si>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</si>
  <si>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</si>
  <si>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</si>
  <si>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</si>
  <si>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</si>
  <si>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</si>
  <si>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</si>
  <si>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</si>
  <si>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</si>
  <si>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</si>
  <si>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</si>
  <si>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</si>
  <si>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</si>
  <si>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</si>
  <si>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</si>
  <si>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</si>
  <si>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</si>
  <si>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</si>
  <si>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</si>
  <si>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</si>
  <si>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</si>
  <si>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</si>
  <si>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</si>
  <si>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</si>
  <si>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</si>
  <si>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</si>
  <si>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</si>
  <si>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</si>
  <si>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</si>
  <si>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M379</t>
  </si>
  <si>
    <t>M380</t>
  </si>
  <si>
    <t>M381</t>
  </si>
  <si>
    <t>M382</t>
  </si>
  <si>
    <t>M383</t>
  </si>
  <si>
    <t>M384</t>
  </si>
  <si>
    <t>M385</t>
  </si>
  <si>
    <t>M386</t>
  </si>
  <si>
    <t>M387</t>
  </si>
  <si>
    <t>M388</t>
  </si>
  <si>
    <t>M389</t>
  </si>
  <si>
    <t>M390</t>
  </si>
  <si>
    <t>M391</t>
  </si>
  <si>
    <t>M392</t>
  </si>
  <si>
    <t>M393</t>
  </si>
  <si>
    <t>M394</t>
  </si>
  <si>
    <t>M395</t>
  </si>
  <si>
    <t>M396</t>
  </si>
  <si>
    <t>M397</t>
  </si>
  <si>
    <t>M398</t>
  </si>
  <si>
    <t>M399</t>
  </si>
  <si>
    <t>M400</t>
  </si>
  <si>
    <t>M401</t>
  </si>
  <si>
    <t>M402</t>
  </si>
  <si>
    <t>M403</t>
  </si>
  <si>
    <t>M404</t>
  </si>
  <si>
    <t>M405</t>
  </si>
  <si>
    <t>M406</t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</si>
  <si>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</si>
  <si>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</si>
  <si>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</si>
  <si>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</si>
  <si>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</si>
  <si>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</si>
  <si>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</si>
  <si>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</si>
  <si>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</si>
  <si>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</si>
  <si>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</si>
  <si>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M418</t>
  </si>
  <si>
    <t>M419</t>
  </si>
  <si>
    <t>M420</t>
  </si>
  <si>
    <t>M421</t>
  </si>
  <si>
    <t>M422</t>
  </si>
  <si>
    <t>M423</t>
  </si>
  <si>
    <t>M424</t>
  </si>
  <si>
    <t>M425</t>
  </si>
  <si>
    <t>M426</t>
  </si>
  <si>
    <t>M427</t>
  </si>
  <si>
    <t>M428</t>
  </si>
  <si>
    <t>M429</t>
  </si>
  <si>
    <t>M430</t>
  </si>
  <si>
    <t>M431</t>
  </si>
  <si>
    <t>M432</t>
  </si>
  <si>
    <t>M433</t>
  </si>
  <si>
    <t>M434</t>
  </si>
  <si>
    <t>M435</t>
  </si>
  <si>
    <t>M436</t>
  </si>
  <si>
    <t>M437</t>
  </si>
  <si>
    <t>M438</t>
  </si>
  <si>
    <t>M439</t>
  </si>
  <si>
    <t>M440</t>
  </si>
  <si>
    <t>M441</t>
  </si>
  <si>
    <t>M442</t>
  </si>
  <si>
    <t>M443</t>
  </si>
  <si>
    <t>M444</t>
  </si>
  <si>
    <t>M445</t>
  </si>
  <si>
    <t>M446</t>
  </si>
  <si>
    <t>M447</t>
  </si>
  <si>
    <t>M448</t>
  </si>
  <si>
    <t>M449</t>
  </si>
  <si>
    <t>M450</t>
  </si>
  <si>
    <t>M451</t>
  </si>
  <si>
    <t>M452</t>
  </si>
  <si>
    <t>M453</t>
  </si>
  <si>
    <t>M454</t>
  </si>
  <si>
    <t>M455</t>
  </si>
  <si>
    <t>M456</t>
  </si>
  <si>
    <t>M457</t>
  </si>
  <si>
    <t>M458</t>
  </si>
  <si>
    <t>M459</t>
  </si>
  <si>
    <t>M460</t>
  </si>
  <si>
    <t>M461</t>
  </si>
  <si>
    <t>M462</t>
  </si>
  <si>
    <t>M463</t>
  </si>
  <si>
    <t>M464</t>
  </si>
  <si>
    <t>M465</t>
  </si>
  <si>
    <t>M466</t>
  </si>
  <si>
    <t>M467</t>
  </si>
  <si>
    <t>M468</t>
  </si>
  <si>
    <t>M469</t>
  </si>
  <si>
    <t>M470</t>
  </si>
  <si>
    <t>M471</t>
  </si>
  <si>
    <t>M472</t>
  </si>
  <si>
    <t>M473</t>
  </si>
  <si>
    <t>M474</t>
  </si>
  <si>
    <t>M475</t>
  </si>
  <si>
    <t>M476</t>
  </si>
  <si>
    <t>M477</t>
  </si>
  <si>
    <t>M478</t>
  </si>
  <si>
    <t>M479</t>
  </si>
  <si>
    <t>M480</t>
  </si>
  <si>
    <t>M481</t>
  </si>
  <si>
    <t>M482</t>
  </si>
  <si>
    <t>M483</t>
  </si>
  <si>
    <t>M484</t>
  </si>
  <si>
    <t>M485</t>
  </si>
  <si>
    <t>M486</t>
  </si>
  <si>
    <t>M487</t>
  </si>
  <si>
    <t>M488</t>
  </si>
  <si>
    <t>M489</t>
  </si>
  <si>
    <t>M490</t>
  </si>
  <si>
    <t>M491</t>
  </si>
  <si>
    <t>M492</t>
  </si>
  <si>
    <t>M493</t>
  </si>
  <si>
    <t>M494</t>
  </si>
  <si>
    <t>M495</t>
  </si>
  <si>
    <t>M496</t>
  </si>
  <si>
    <t>M497</t>
  </si>
  <si>
    <t>M498</t>
  </si>
  <si>
    <t>M499</t>
  </si>
  <si>
    <t>M500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</si>
  <si>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</si>
  <si>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</si>
  <si>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</si>
  <si>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</si>
  <si>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</si>
  <si>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</si>
  <si>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</si>
  <si>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</si>
  <si>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</si>
  <si>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M510</t>
  </si>
  <si>
    <t>M511</t>
  </si>
  <si>
    <t>M512</t>
  </si>
  <si>
    <t>M513</t>
  </si>
  <si>
    <t>M514</t>
  </si>
  <si>
    <t>M515</t>
  </si>
  <si>
    <t>M516</t>
  </si>
  <si>
    <t>M517</t>
  </si>
  <si>
    <t>M518</t>
  </si>
  <si>
    <t>M519</t>
  </si>
  <si>
    <t>M520</t>
  </si>
  <si>
    <t>M521</t>
  </si>
  <si>
    <t>M522</t>
  </si>
  <si>
    <t>M523</t>
  </si>
  <si>
    <t>M524</t>
  </si>
  <si>
    <t>M525</t>
  </si>
  <si>
    <t>M526</t>
  </si>
  <si>
    <t>M527</t>
  </si>
  <si>
    <t>M528</t>
  </si>
  <si>
    <t>M529</t>
  </si>
  <si>
    <t>M530</t>
  </si>
  <si>
    <t>M531</t>
  </si>
  <si>
    <t>M532</t>
  </si>
  <si>
    <t>M533</t>
  </si>
  <si>
    <t>M534</t>
  </si>
  <si>
    <t>M535</t>
  </si>
  <si>
    <t>M536</t>
  </si>
  <si>
    <t>M537</t>
  </si>
  <si>
    <t>M538</t>
  </si>
  <si>
    <t>M539</t>
  </si>
  <si>
    <t>M540</t>
  </si>
  <si>
    <t>M541</t>
  </si>
  <si>
    <t>M542</t>
  </si>
  <si>
    <t>M543</t>
  </si>
  <si>
    <t>M544</t>
  </si>
  <si>
    <t>M545</t>
  </si>
  <si>
    <t>M546</t>
  </si>
  <si>
    <t>M547</t>
  </si>
  <si>
    <t>M548</t>
  </si>
  <si>
    <t>M549</t>
  </si>
  <si>
    <t>M550</t>
  </si>
  <si>
    <t>M551</t>
  </si>
  <si>
    <t>M552</t>
  </si>
  <si>
    <t>M553</t>
  </si>
  <si>
    <t>M554</t>
  </si>
  <si>
    <t>M555</t>
  </si>
  <si>
    <t>M556</t>
  </si>
  <si>
    <t>M557</t>
  </si>
  <si>
    <t>M558</t>
  </si>
  <si>
    <t>M559</t>
  </si>
  <si>
    <t>M560</t>
  </si>
  <si>
    <t>M561</t>
  </si>
  <si>
    <t>M562</t>
  </si>
  <si>
    <t>M563</t>
  </si>
  <si>
    <t>M564</t>
  </si>
  <si>
    <t>M565</t>
  </si>
  <si>
    <t>M566</t>
  </si>
  <si>
    <t>M567</t>
  </si>
  <si>
    <t>M568</t>
  </si>
  <si>
    <t>M569</t>
  </si>
  <si>
    <t>M570</t>
  </si>
  <si>
    <t>M571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</si>
  <si>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</si>
  <si>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</si>
  <si>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</si>
  <si>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</si>
  <si>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</si>
  <si>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</si>
  <si>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</si>
  <si>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</si>
  <si>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</si>
  <si>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</si>
  <si>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</si>
  <si>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</si>
  <si>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</si>
  <si>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</si>
  <si>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</si>
  <si>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</si>
  <si>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</si>
  <si>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</si>
  <si>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</si>
  <si>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</si>
  <si>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</si>
  <si>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</si>
  <si>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</si>
  <si>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M595</t>
  </si>
  <si>
    <t>M596</t>
  </si>
  <si>
    <t>M597</t>
  </si>
  <si>
    <t>M598</t>
  </si>
  <si>
    <t>M599</t>
  </si>
  <si>
    <t>M600</t>
  </si>
  <si>
    <t>M601</t>
  </si>
  <si>
    <t>M602</t>
  </si>
  <si>
    <t>M603</t>
  </si>
  <si>
    <t>M604</t>
  </si>
  <si>
    <t>M605</t>
  </si>
  <si>
    <t>M606</t>
  </si>
  <si>
    <t>M607</t>
  </si>
  <si>
    <t>M608</t>
  </si>
  <si>
    <t>M609</t>
  </si>
  <si>
    <t>M610</t>
  </si>
  <si>
    <t>M611</t>
  </si>
  <si>
    <t>M612</t>
  </si>
  <si>
    <t>M613</t>
  </si>
  <si>
    <t>M614</t>
  </si>
  <si>
    <t>M615</t>
  </si>
  <si>
    <t>M616</t>
  </si>
  <si>
    <t>M617</t>
  </si>
  <si>
    <t>M618</t>
  </si>
  <si>
    <t>M619</t>
  </si>
  <si>
    <t>M620</t>
  </si>
  <si>
    <t>M621</t>
  </si>
  <si>
    <t>M622</t>
  </si>
  <si>
    <t>M623</t>
  </si>
  <si>
    <t>M624</t>
  </si>
  <si>
    <t>M625</t>
  </si>
  <si>
    <t>M626</t>
  </si>
  <si>
    <t>M627</t>
  </si>
  <si>
    <t>M628</t>
  </si>
  <si>
    <t>M629</t>
  </si>
  <si>
    <t>M630</t>
  </si>
  <si>
    <t>M631</t>
  </si>
  <si>
    <t>M632</t>
  </si>
  <si>
    <t>M633</t>
  </si>
  <si>
    <t>M634</t>
  </si>
  <si>
    <t>M635</t>
  </si>
  <si>
    <t>M636</t>
  </si>
  <si>
    <t>M637</t>
  </si>
  <si>
    <t>M638</t>
  </si>
  <si>
    <t>M639</t>
  </si>
  <si>
    <t>M640</t>
  </si>
  <si>
    <t>M641</t>
  </si>
  <si>
    <t>M642</t>
  </si>
  <si>
    <t>M643</t>
  </si>
  <si>
    <t>M644</t>
  </si>
  <si>
    <t>M645</t>
  </si>
  <si>
    <t>M646</t>
  </si>
  <si>
    <t>M647</t>
  </si>
  <si>
    <t>M648</t>
  </si>
  <si>
    <t>M649</t>
  </si>
  <si>
    <t>M650</t>
  </si>
  <si>
    <t>M651</t>
  </si>
  <si>
    <t>M652</t>
  </si>
  <si>
    <t>M653</t>
  </si>
  <si>
    <t>M654</t>
  </si>
  <si>
    <t>M655</t>
  </si>
  <si>
    <t>M656</t>
  </si>
  <si>
    <t>M657</t>
  </si>
  <si>
    <t>M658</t>
  </si>
  <si>
    <t>M659</t>
  </si>
  <si>
    <t>M660</t>
  </si>
  <si>
    <t>M661</t>
  </si>
  <si>
    <t>M662</t>
  </si>
  <si>
    <t>M663</t>
  </si>
  <si>
    <t>M664</t>
  </si>
  <si>
    <t>M665</t>
  </si>
  <si>
    <t>M666</t>
  </si>
  <si>
    <t>M667</t>
  </si>
  <si>
    <t>M668</t>
  </si>
  <si>
    <t>M669</t>
  </si>
  <si>
    <t>M670</t>
  </si>
  <si>
    <t>M671</t>
  </si>
  <si>
    <t>M672</t>
  </si>
  <si>
    <t>M673</t>
  </si>
  <si>
    <t>M674</t>
  </si>
  <si>
    <t>M675</t>
  </si>
  <si>
    <t>M676</t>
  </si>
  <si>
    <t>M677</t>
  </si>
  <si>
    <t>M678</t>
  </si>
  <si>
    <t>M679</t>
  </si>
  <si>
    <t>M680</t>
  </si>
  <si>
    <t>M681</t>
  </si>
  <si>
    <t>M682</t>
  </si>
  <si>
    <t>M683</t>
  </si>
  <si>
    <t>M684</t>
  </si>
  <si>
    <t>M685</t>
  </si>
  <si>
    <t>M686</t>
  </si>
  <si>
    <t>M687</t>
  </si>
  <si>
    <t>M688</t>
  </si>
  <si>
    <t>M689</t>
  </si>
  <si>
    <t>M690</t>
  </si>
  <si>
    <t>M691</t>
  </si>
  <si>
    <t>M692</t>
  </si>
  <si>
    <t>M693</t>
  </si>
  <si>
    <t>M694</t>
  </si>
  <si>
    <t>M695</t>
  </si>
  <si>
    <t>M696</t>
  </si>
  <si>
    <t>M697</t>
  </si>
  <si>
    <t>M698</t>
  </si>
  <si>
    <t>M699</t>
  </si>
  <si>
    <t>M700</t>
  </si>
  <si>
    <t>M701</t>
  </si>
  <si>
    <t>M702</t>
  </si>
  <si>
    <t>M703</t>
  </si>
  <si>
    <t>M704</t>
  </si>
  <si>
    <t>M705</t>
  </si>
  <si>
    <t>M706</t>
  </si>
  <si>
    <t>M707</t>
  </si>
  <si>
    <t>M708</t>
  </si>
  <si>
    <t>M709</t>
  </si>
  <si>
    <t>M710</t>
  </si>
  <si>
    <t>M711</t>
  </si>
  <si>
    <t>M712</t>
  </si>
  <si>
    <t>M713</t>
  </si>
  <si>
    <t>M714</t>
  </si>
  <si>
    <t>M715</t>
  </si>
  <si>
    <t>M716</t>
  </si>
  <si>
    <t>M717</t>
  </si>
  <si>
    <t>M718</t>
  </si>
  <si>
    <t>M719</t>
  </si>
  <si>
    <t>M720</t>
  </si>
  <si>
    <t>M721</t>
  </si>
  <si>
    <t>M722</t>
  </si>
  <si>
    <t>M723</t>
  </si>
  <si>
    <t>M724</t>
  </si>
  <si>
    <t>M725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</si>
  <si>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</si>
  <si>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</si>
  <si>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</si>
  <si>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</si>
  <si>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</si>
  <si>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</si>
  <si>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</si>
  <si>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</si>
  <si>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</si>
  <si>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</si>
  <si>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</si>
  <si>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</si>
  <si>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</si>
  <si>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</si>
  <si>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</si>
  <si>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</si>
  <si>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</si>
  <si>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</si>
  <si>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</si>
  <si>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</si>
  <si>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</si>
  <si>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</si>
  <si>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</si>
  <si>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M749</t>
  </si>
  <si>
    <t>M750</t>
  </si>
  <si>
    <t>M751</t>
  </si>
  <si>
    <t>M752</t>
  </si>
  <si>
    <t>M753</t>
  </si>
  <si>
    <t>M754</t>
  </si>
  <si>
    <t>M755</t>
  </si>
  <si>
    <t>M756</t>
  </si>
  <si>
    <t>M757</t>
  </si>
  <si>
    <t>M758</t>
  </si>
  <si>
    <t>M759</t>
  </si>
  <si>
    <t>M760</t>
  </si>
  <si>
    <t>M761</t>
  </si>
  <si>
    <t>M762</t>
  </si>
  <si>
    <t>M763</t>
  </si>
  <si>
    <t>M764</t>
  </si>
  <si>
    <t>M765</t>
  </si>
  <si>
    <t>M766</t>
  </si>
  <si>
    <t>M767</t>
  </si>
  <si>
    <t>M768</t>
  </si>
  <si>
    <t>M769</t>
  </si>
  <si>
    <t>M770</t>
  </si>
  <si>
    <t>M771</t>
  </si>
  <si>
    <t>M772</t>
  </si>
  <si>
    <t>M773</t>
  </si>
  <si>
    <t>M774</t>
  </si>
  <si>
    <t>M775</t>
  </si>
  <si>
    <t>M776</t>
  </si>
  <si>
    <t>M777</t>
  </si>
  <si>
    <t>M778</t>
  </si>
  <si>
    <t>M779</t>
  </si>
  <si>
    <t>M780</t>
  </si>
  <si>
    <t>M781</t>
  </si>
  <si>
    <t>M782</t>
  </si>
  <si>
    <t>M783</t>
  </si>
  <si>
    <t>M784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</si>
  <si>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</si>
  <si>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</si>
  <si>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</si>
  <si>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</si>
  <si>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</si>
  <si>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</si>
  <si>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</si>
  <si>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</si>
  <si>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</si>
  <si>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M794</t>
  </si>
  <si>
    <t>M795</t>
  </si>
  <si>
    <t>M796</t>
  </si>
  <si>
    <t>M797</t>
  </si>
  <si>
    <t>M798</t>
  </si>
  <si>
    <t>M799</t>
  </si>
  <si>
    <t>M800</t>
  </si>
  <si>
    <t>M801</t>
  </si>
  <si>
    <t>M802</t>
  </si>
  <si>
    <t>M803</t>
  </si>
  <si>
    <t>M804</t>
  </si>
  <si>
    <t>M805</t>
  </si>
  <si>
    <t>M806</t>
  </si>
  <si>
    <t>M807</t>
  </si>
  <si>
    <t>M808</t>
  </si>
  <si>
    <t>M809</t>
  </si>
  <si>
    <t>M810</t>
  </si>
  <si>
    <t>M811</t>
  </si>
  <si>
    <t>M812</t>
  </si>
  <si>
    <t>M813</t>
  </si>
  <si>
    <t>M814</t>
  </si>
  <si>
    <t>M815</t>
  </si>
  <si>
    <t>M816</t>
  </si>
  <si>
    <t>M817</t>
  </si>
  <si>
    <t>M818</t>
  </si>
  <si>
    <t>M819</t>
  </si>
  <si>
    <t>M820</t>
  </si>
  <si>
    <t>M821</t>
  </si>
  <si>
    <t>M822</t>
  </si>
  <si>
    <t>M823</t>
  </si>
  <si>
    <t>M824</t>
  </si>
  <si>
    <t>M825</t>
  </si>
  <si>
    <t>M826</t>
  </si>
  <si>
    <t>M827</t>
  </si>
  <si>
    <t>M828</t>
  </si>
  <si>
    <t>M829</t>
  </si>
  <si>
    <t>M830</t>
  </si>
  <si>
    <t>M831</t>
  </si>
  <si>
    <t>M832</t>
  </si>
  <si>
    <t>M833</t>
  </si>
  <si>
    <t>M834</t>
  </si>
  <si>
    <t>M835</t>
  </si>
  <si>
    <t>M836</t>
  </si>
  <si>
    <t>M837</t>
  </si>
  <si>
    <t>M838</t>
  </si>
  <si>
    <t>M839</t>
  </si>
  <si>
    <t>M840</t>
  </si>
  <si>
    <t>M841</t>
  </si>
  <si>
    <t>M842</t>
  </si>
  <si>
    <t>M843</t>
  </si>
  <si>
    <t>M844</t>
  </si>
  <si>
    <t>M845</t>
  </si>
  <si>
    <t>M846</t>
  </si>
  <si>
    <t>M847</t>
  </si>
  <si>
    <t>M848</t>
  </si>
  <si>
    <t>M849</t>
  </si>
  <si>
    <t>M850</t>
  </si>
  <si>
    <t>M851</t>
  </si>
  <si>
    <t>M852</t>
  </si>
  <si>
    <t>M853</t>
  </si>
  <si>
    <t>M854</t>
  </si>
  <si>
    <t>M855</t>
  </si>
  <si>
    <t>M856</t>
  </si>
  <si>
    <t>M857</t>
  </si>
  <si>
    <t>M858</t>
  </si>
  <si>
    <t>M859</t>
  </si>
  <si>
    <t>M860</t>
  </si>
  <si>
    <t>M861</t>
  </si>
  <si>
    <t>M862</t>
  </si>
  <si>
    <t>M863</t>
  </si>
  <si>
    <t>M864</t>
  </si>
  <si>
    <t>M865</t>
  </si>
  <si>
    <t>M866</t>
  </si>
  <si>
    <t>M867</t>
  </si>
  <si>
    <t>M868</t>
  </si>
  <si>
    <t>M869</t>
  </si>
  <si>
    <t>M870</t>
  </si>
  <si>
    <t>M871</t>
  </si>
  <si>
    <t>M872</t>
  </si>
  <si>
    <t>M873</t>
  </si>
  <si>
    <t>M874</t>
  </si>
  <si>
    <t>M875</t>
  </si>
  <si>
    <t>M876</t>
  </si>
  <si>
    <t>M877</t>
  </si>
  <si>
    <t>M878</t>
  </si>
  <si>
    <t>M879</t>
  </si>
  <si>
    <t>M880</t>
  </si>
  <si>
    <t>M881</t>
  </si>
  <si>
    <t>M882</t>
  </si>
  <si>
    <t>M883</t>
  </si>
  <si>
    <t>M884</t>
  </si>
  <si>
    <t>M885</t>
  </si>
  <si>
    <t>M886</t>
  </si>
  <si>
    <t>M887</t>
  </si>
  <si>
    <t>M888</t>
  </si>
  <si>
    <t>M889</t>
  </si>
  <si>
    <t>M890</t>
  </si>
  <si>
    <t>M891</t>
  </si>
  <si>
    <t>M892</t>
  </si>
  <si>
    <t>M893</t>
  </si>
  <si>
    <t>M894</t>
  </si>
  <si>
    <t>M895</t>
  </si>
  <si>
    <t>M896</t>
  </si>
  <si>
    <t>M897</t>
  </si>
  <si>
    <t>M898</t>
  </si>
  <si>
    <t>M899</t>
  </si>
  <si>
    <t>M900</t>
  </si>
  <si>
    <t>M901</t>
  </si>
  <si>
    <t>M902</t>
  </si>
  <si>
    <t>M903</t>
  </si>
  <si>
    <t>M904</t>
  </si>
  <si>
    <t>M905</t>
  </si>
  <si>
    <t>M906</t>
  </si>
  <si>
    <t>M907</t>
  </si>
  <si>
    <t>M908</t>
  </si>
  <si>
    <t>M909</t>
  </si>
  <si>
    <t>M910</t>
  </si>
  <si>
    <t>M911</t>
  </si>
  <si>
    <t>M912</t>
  </si>
  <si>
    <t>M913</t>
  </si>
  <si>
    <t>M914</t>
  </si>
  <si>
    <t>M915</t>
  </si>
  <si>
    <t>M916</t>
  </si>
  <si>
    <t>M917</t>
  </si>
  <si>
    <t>M918</t>
  </si>
  <si>
    <t>M919</t>
  </si>
  <si>
    <t>M920</t>
  </si>
  <si>
    <t>M921</t>
  </si>
  <si>
    <t>M922</t>
  </si>
  <si>
    <t>M923</t>
  </si>
  <si>
    <t>M924</t>
  </si>
  <si>
    <t>M925</t>
  </si>
  <si>
    <t>M926</t>
  </si>
  <si>
    <t>M927</t>
  </si>
  <si>
    <t>M928</t>
  </si>
  <si>
    <t>M929</t>
  </si>
  <si>
    <t>M930</t>
  </si>
  <si>
    <t>M931</t>
  </si>
  <si>
    <t>M932</t>
  </si>
  <si>
    <t>M933</t>
  </si>
  <si>
    <t>M934</t>
  </si>
  <si>
    <t>M935</t>
  </si>
  <si>
    <t>M936</t>
  </si>
  <si>
    <t>M937</t>
  </si>
  <si>
    <t>M938</t>
  </si>
  <si>
    <t>M939</t>
  </si>
  <si>
    <t>M940</t>
  </si>
  <si>
    <t>M941</t>
  </si>
  <si>
    <t>M942</t>
  </si>
  <si>
    <t>M943</t>
  </si>
  <si>
    <t>M944</t>
  </si>
  <si>
    <t>M945</t>
  </si>
  <si>
    <t>M946</t>
  </si>
  <si>
    <t>M947</t>
  </si>
  <si>
    <t>M948</t>
  </si>
  <si>
    <t>M949</t>
  </si>
  <si>
    <t>M950</t>
  </si>
  <si>
    <t>M951</t>
  </si>
  <si>
    <t>M952</t>
  </si>
  <si>
    <t>M953</t>
  </si>
  <si>
    <t>M954</t>
  </si>
  <si>
    <t>M955</t>
  </si>
  <si>
    <t>M956</t>
  </si>
  <si>
    <t>M957</t>
  </si>
  <si>
    <t>M958</t>
  </si>
  <si>
    <t>M959</t>
  </si>
  <si>
    <t>M960</t>
  </si>
  <si>
    <t>M961</t>
  </si>
  <si>
    <t>M962</t>
  </si>
  <si>
    <t>M963</t>
  </si>
  <si>
    <t>M964</t>
  </si>
  <si>
    <t>M965</t>
  </si>
  <si>
    <t>M966</t>
  </si>
  <si>
    <t>M967</t>
  </si>
  <si>
    <t>M968</t>
  </si>
  <si>
    <t>M969</t>
  </si>
  <si>
    <t>M970</t>
  </si>
  <si>
    <t>M971</t>
  </si>
  <si>
    <t>M972</t>
  </si>
  <si>
    <t>M973</t>
  </si>
  <si>
    <t>M974</t>
  </si>
  <si>
    <t>M975</t>
  </si>
  <si>
    <t>M976</t>
  </si>
  <si>
    <t>M977</t>
  </si>
  <si>
    <t>M978</t>
  </si>
  <si>
    <t>M979</t>
  </si>
  <si>
    <t>M980</t>
  </si>
  <si>
    <t>M981</t>
  </si>
  <si>
    <t>M982</t>
  </si>
  <si>
    <t>M983</t>
  </si>
  <si>
    <t>M984</t>
  </si>
  <si>
    <t>M985</t>
  </si>
  <si>
    <t>M986</t>
  </si>
  <si>
    <t>M987</t>
  </si>
  <si>
    <t>M988</t>
  </si>
  <si>
    <t>M989</t>
  </si>
  <si>
    <t>M990</t>
  </si>
  <si>
    <t>M991</t>
  </si>
  <si>
    <t>M992</t>
  </si>
  <si>
    <t>M993</t>
  </si>
  <si>
    <t>M994</t>
  </si>
  <si>
    <t>M995</t>
  </si>
  <si>
    <t>M996</t>
  </si>
  <si>
    <t>M997</t>
  </si>
  <si>
    <t>M998</t>
  </si>
  <si>
    <t>M999</t>
  </si>
  <si>
    <t>M1000</t>
  </si>
  <si>
    <t>Provizija</t>
  </si>
  <si>
    <t xml:space="preserve">Naplacen iznos </t>
  </si>
  <si>
    <t>Dispečer</t>
  </si>
  <si>
    <t>Pera</t>
  </si>
  <si>
    <t>Mika</t>
  </si>
  <si>
    <t>Jovana</t>
  </si>
  <si>
    <t>Slobodanka</t>
  </si>
  <si>
    <t>Ivan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</si>
</sst>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9AC2-6A1C-4026-A765-A2A597B8B20A}">
  <dimension ref="A1:K1001"/>
  <sheetViews>
    <sheetView tabSelected="1" topLeftCell="A825" workbookViewId="0">
      <selection activeCell="K661" sqref="K661:K846"/>
    </sheetView>
  </sheetViews>
  <sheetFormatPr defaultRowHeight="14.5" x14ac:dyDescent="0.35"/>
  <cols>
    <col min="1" max="1" width="12.7265625" customWidth="1"/>
    <col min="2" max="2" width="12.7265625" bestFit="1" customWidth="1"/>
    <col min="3" max="3" width="13.1796875" bestFit="1" customWidth="1"/>
    <col min="4" max="4" width="10.453125" bestFit="1" customWidth="1"/>
    <col min="7" max="7" width="10.81640625" bestFit="1" customWidth="1"/>
    <col min="8" max="8" width="14.54296875" bestFit="1" customWidth="1"/>
    <col min="9" max="9" width="14.90625" bestFit="1" customWidth="1"/>
    <col min="10" max="10" width="15.90625" bestFit="1" customWidth="1"/>
    <col min="11" max="11" width="16.26953125" customWidth="1"/>
  </cols>
  <sheetData>
    <row r="1" spans="1:11" x14ac:dyDescent="0.35">
      <c r="A1" t="s">
        <v>46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37</v>
      </c>
      <c r="K1" t="s">
        <v>2049</v>
      </c>
    </row>
    <row r="2" spans="1:11" x14ac:dyDescent="0.35">
      <c r="A2" t="s">
        <v>47</v>
      </c>
      <c r="B2" s="1">
        <v>45705</v>
      </c>
      <c r="C2" s="1">
        <v>45708</v>
      </c>
      <c r="D2" t="s">
        <v>8</v>
      </c>
      <c r="E2" t="s">
        <v>38</v>
      </c>
      <c r="F2">
        <v>671056</v>
      </c>
      <c r="G2" t="s">
        <v>9</v>
      </c>
      <c r="H2" t="s">
        <v>10</v>
      </c>
      <c r="I2" t="s">
        <v>11</v>
      </c>
      <c r="J2">
        <v>19079</v>
      </c>
      <c r="K2" t="s">
        <v>2050</v>
      </c>
    </row>
    <row r="3" spans="1:11" x14ac:dyDescent="0.35">
      <c r="A3" t="s">
        <v>49</v>
      </c>
      <c r="B3" s="1">
        <v>45981</v>
      </c>
      <c r="C3" s="1">
        <v>45982</v>
      </c>
      <c r="D3" t="s">
        <v>40</v>
      </c>
      <c r="E3" t="s">
        <v>12</v>
      </c>
      <c r="F3">
        <v>507559</v>
      </c>
      <c r="G3" t="s">
        <v>13</v>
      </c>
      <c r="H3" t="s">
        <v>14</v>
      </c>
      <c r="I3" t="s">
        <v>15</v>
      </c>
      <c r="J3">
        <v>12686</v>
      </c>
      <c r="K3" t="s">
        <v>2051</v>
      </c>
    </row>
    <row r="4" spans="1:11" x14ac:dyDescent="0.35">
      <c r="A4" t="s">
        <v>48</v>
      </c>
      <c r="B4" s="1">
        <v>45817</v>
      </c>
      <c r="C4" s="1">
        <v>45820</v>
      </c>
      <c r="D4" t="s">
        <v>39</v>
      </c>
      <c r="E4" t="s">
        <v>16</v>
      </c>
      <c r="F4">
        <v>518709</v>
      </c>
      <c r="G4" t="s">
        <v>17</v>
      </c>
      <c r="H4" t="s">
        <v>41</v>
      </c>
      <c r="I4" t="s">
        <v>18</v>
      </c>
      <c r="J4">
        <v>24673</v>
      </c>
      <c r="K4" t="s">
        <v>2052</v>
      </c>
    </row>
    <row r="5" spans="1:11" x14ac:dyDescent="0.35">
      <c r="A5" t="s">
        <v>52</v>
      </c>
      <c r="B5" s="1">
        <v>45744</v>
      </c>
      <c r="C5" s="1">
        <v>45747</v>
      </c>
      <c r="D5" t="s">
        <v>19</v>
      </c>
      <c r="E5" t="s">
        <v>20</v>
      </c>
      <c r="F5">
        <v>500169</v>
      </c>
      <c r="G5" t="s">
        <v>17</v>
      </c>
      <c r="H5" t="s">
        <v>42</v>
      </c>
      <c r="I5" t="s">
        <v>21</v>
      </c>
      <c r="J5">
        <v>16823</v>
      </c>
      <c r="K5" t="s">
        <v>2053</v>
      </c>
    </row>
    <row r="6" spans="1:11" x14ac:dyDescent="0.35">
      <c r="A6" t="s">
        <v>51</v>
      </c>
      <c r="B6" s="1">
        <v>45803</v>
      </c>
      <c r="C6" s="1">
        <v>45808</v>
      </c>
      <c r="D6" t="s">
        <v>8</v>
      </c>
      <c r="E6" t="s">
        <v>16</v>
      </c>
      <c r="F6">
        <v>507959</v>
      </c>
      <c r="G6" t="s">
        <v>17</v>
      </c>
      <c r="H6" t="s">
        <v>22</v>
      </c>
      <c r="I6" t="s">
        <v>42</v>
      </c>
      <c r="J6">
        <v>20052</v>
      </c>
      <c r="K6" t="s">
        <v>2054</v>
      </c>
    </row>
    <row r="7" spans="1:11" x14ac:dyDescent="0.35">
      <c r="A7" t="s">
        <v>53</v>
      </c>
      <c r="B7" s="1">
        <v>45684</v>
      </c>
      <c r="C7" s="1">
        <v>45689</v>
      </c>
      <c r="D7" t="s">
        <v>40</v>
      </c>
      <c r="E7" t="s">
        <v>23</v>
      </c>
      <c r="F7">
        <v>729910</v>
      </c>
      <c r="G7" t="s">
        <v>9</v>
      </c>
      <c r="H7" t="s">
        <v>24</v>
      </c>
      <c r="I7" t="s">
        <v>25</v>
      </c>
      <c r="J7">
        <v>14648</v>
      </c>
      <c r="K7" t="s">
        <v>2053</v>
      </c>
    </row>
    <row r="8" spans="1:11" x14ac:dyDescent="0.35">
      <c r="A8" t="s">
        <v>54</v>
      </c>
      <c r="B8" s="1">
        <v>45721</v>
      </c>
      <c r="C8" s="1">
        <v>45723</v>
      </c>
      <c r="D8" t="s">
        <v>8</v>
      </c>
      <c r="E8" t="s">
        <v>20</v>
      </c>
      <c r="F8">
        <v>660952</v>
      </c>
      <c r="G8" t="s">
        <v>26</v>
      </c>
      <c r="H8" t="s">
        <v>21</v>
      </c>
      <c r="I8" t="s">
        <v>45</v>
      </c>
      <c r="J8">
        <v>20149</v>
      </c>
      <c r="K8" t="s">
        <v>2053</v>
      </c>
    </row>
    <row r="9" spans="1:11" x14ac:dyDescent="0.35">
      <c r="A9" t="s">
        <v>55</v>
      </c>
      <c r="B9" s="1">
        <v>45810</v>
      </c>
      <c r="C9" s="1">
        <v>45813</v>
      </c>
      <c r="D9" t="s">
        <v>8</v>
      </c>
      <c r="E9" t="s">
        <v>27</v>
      </c>
      <c r="F9">
        <v>903753</v>
      </c>
      <c r="G9" t="s">
        <v>28</v>
      </c>
      <c r="H9" t="s">
        <v>18</v>
      </c>
      <c r="I9" t="s">
        <v>29</v>
      </c>
      <c r="J9">
        <v>19649</v>
      </c>
      <c r="K9" t="s">
        <v>2054</v>
      </c>
    </row>
    <row r="10" spans="1:11" x14ac:dyDescent="0.35">
      <c r="A10" t="s">
        <v>50</v>
      </c>
      <c r="B10" s="1">
        <v>46007</v>
      </c>
      <c r="C10" s="1">
        <v>46008</v>
      </c>
      <c r="D10" t="s">
        <v>19</v>
      </c>
      <c r="E10" t="s">
        <v>23</v>
      </c>
      <c r="F10">
        <v>762133</v>
      </c>
      <c r="G10" t="s">
        <v>9</v>
      </c>
      <c r="H10" t="s">
        <v>42</v>
      </c>
      <c r="I10" t="s">
        <v>15</v>
      </c>
      <c r="J10">
        <v>17115</v>
      </c>
      <c r="K10" t="s">
        <v>2050</v>
      </c>
    </row>
    <row r="11" spans="1:11" x14ac:dyDescent="0.35">
      <c r="A11" t="s">
        <v>56</v>
      </c>
      <c r="B11" s="1">
        <v>45995</v>
      </c>
      <c r="C11" s="1">
        <v>45998</v>
      </c>
      <c r="D11" t="s">
        <v>40</v>
      </c>
      <c r="E11" t="s">
        <v>30</v>
      </c>
      <c r="F11">
        <v>724843</v>
      </c>
      <c r="G11" t="s">
        <v>26</v>
      </c>
      <c r="H11" t="s">
        <v>31</v>
      </c>
      <c r="I11" t="s">
        <v>45</v>
      </c>
      <c r="J11">
        <v>13701</v>
      </c>
      <c r="K11" t="s">
        <v>2050</v>
      </c>
    </row>
    <row r="12" spans="1:11" x14ac:dyDescent="0.35">
      <c r="A12" t="s">
        <v>57</v>
      </c>
      <c r="B12" s="1">
        <v>45945</v>
      </c>
      <c r="C12" s="1">
        <v>45950</v>
      </c>
      <c r="D12" t="s">
        <v>40</v>
      </c>
      <c r="E12" t="s">
        <v>12</v>
      </c>
      <c r="F12">
        <v>730730</v>
      </c>
      <c r="G12" t="s">
        <v>26</v>
      </c>
      <c r="H12" t="s">
        <v>32</v>
      </c>
      <c r="I12" t="s">
        <v>15</v>
      </c>
      <c r="J12">
        <v>12552</v>
      </c>
      <c r="K12" t="s">
        <v>2050</v>
      </c>
    </row>
    <row r="13" spans="1:11" x14ac:dyDescent="0.35">
      <c r="A13" t="s">
        <v>58</v>
      </c>
      <c r="B13" s="1">
        <v>45823</v>
      </c>
      <c r="C13" s="1">
        <v>45828</v>
      </c>
      <c r="D13" t="s">
        <v>8</v>
      </c>
      <c r="E13" t="s">
        <v>33</v>
      </c>
      <c r="F13">
        <v>797741</v>
      </c>
      <c r="G13" t="s">
        <v>28</v>
      </c>
      <c r="H13" t="s">
        <v>22</v>
      </c>
      <c r="I13" t="s">
        <v>34</v>
      </c>
      <c r="J13">
        <v>21511</v>
      </c>
      <c r="K13" t="s">
        <v>2052</v>
      </c>
    </row>
    <row r="14" spans="1:11" x14ac:dyDescent="0.35">
      <c r="A14" t="s">
        <v>59</v>
      </c>
      <c r="B14" s="1">
        <v>45957</v>
      </c>
      <c r="C14" s="1">
        <v>45961</v>
      </c>
      <c r="D14" t="s">
        <v>8</v>
      </c>
      <c r="E14" t="s">
        <v>23</v>
      </c>
      <c r="F14">
        <v>387499</v>
      </c>
      <c r="G14" t="s">
        <v>26</v>
      </c>
      <c r="H14" t="s">
        <v>34</v>
      </c>
      <c r="I14" t="s">
        <v>22</v>
      </c>
      <c r="J14">
        <v>20729</v>
      </c>
      <c r="K14" t="s">
        <v>2053</v>
      </c>
    </row>
    <row r="15" spans="1:11" x14ac:dyDescent="0.35">
      <c r="A15" t="s">
        <v>60</v>
      </c>
      <c r="B15" s="1">
        <v>45811</v>
      </c>
      <c r="C15" s="1">
        <v>45815</v>
      </c>
      <c r="D15" t="s">
        <v>39</v>
      </c>
      <c r="E15" t="s">
        <v>27</v>
      </c>
      <c r="F15">
        <v>464032</v>
      </c>
      <c r="G15" t="s">
        <v>17</v>
      </c>
      <c r="H15" t="s">
        <v>24</v>
      </c>
      <c r="I15" t="s">
        <v>11</v>
      </c>
      <c r="J15">
        <v>25216</v>
      </c>
      <c r="K15" t="s">
        <v>2052</v>
      </c>
    </row>
    <row r="16" spans="1:11" x14ac:dyDescent="0.35">
      <c r="A16" t="s">
        <v>61</v>
      </c>
      <c r="B16" s="1">
        <v>45782</v>
      </c>
      <c r="C16" s="1">
        <v>45783</v>
      </c>
      <c r="D16" t="s">
        <v>39</v>
      </c>
      <c r="E16" t="s">
        <v>33</v>
      </c>
      <c r="F16">
        <v>954420</v>
      </c>
      <c r="G16" t="s">
        <v>28</v>
      </c>
      <c r="H16" t="s">
        <v>43</v>
      </c>
      <c r="I16" t="s">
        <v>45</v>
      </c>
      <c r="J16">
        <v>26788</v>
      </c>
      <c r="K16" t="s">
        <v>2053</v>
      </c>
    </row>
    <row r="17" spans="1:11" x14ac:dyDescent="0.35">
      <c r="A17" t="s">
        <v>62</v>
      </c>
      <c r="B17" s="1">
        <v>45807</v>
      </c>
      <c r="C17" s="1">
        <v>45812</v>
      </c>
      <c r="D17" t="s">
        <v>8</v>
      </c>
      <c r="E17" t="s">
        <v>23</v>
      </c>
      <c r="F17">
        <v>146303</v>
      </c>
      <c r="G17" t="s">
        <v>17</v>
      </c>
      <c r="H17" t="s">
        <v>18</v>
      </c>
      <c r="I17" t="s">
        <v>14</v>
      </c>
      <c r="J17">
        <v>20138</v>
      </c>
      <c r="K17" t="s">
        <v>2050</v>
      </c>
    </row>
    <row r="18" spans="1:11" x14ac:dyDescent="0.35">
      <c r="A18" t="s">
        <v>63</v>
      </c>
      <c r="B18" s="1">
        <v>45704</v>
      </c>
      <c r="C18" s="1">
        <v>45708</v>
      </c>
      <c r="D18" t="s">
        <v>40</v>
      </c>
      <c r="E18" t="s">
        <v>33</v>
      </c>
      <c r="F18">
        <v>682018</v>
      </c>
      <c r="G18" t="s">
        <v>9</v>
      </c>
      <c r="H18" t="s">
        <v>34</v>
      </c>
      <c r="I18" t="s">
        <v>24</v>
      </c>
      <c r="J18">
        <v>14534</v>
      </c>
      <c r="K18" t="s">
        <v>2051</v>
      </c>
    </row>
    <row r="19" spans="1:11" x14ac:dyDescent="0.35">
      <c r="A19" t="s">
        <v>64</v>
      </c>
      <c r="B19" s="1">
        <v>45988</v>
      </c>
      <c r="C19" s="1">
        <v>45989</v>
      </c>
      <c r="D19" t="s">
        <v>39</v>
      </c>
      <c r="E19" t="s">
        <v>16</v>
      </c>
      <c r="F19">
        <v>533519</v>
      </c>
      <c r="G19" t="s">
        <v>26</v>
      </c>
      <c r="H19" t="s">
        <v>43</v>
      </c>
      <c r="I19" t="s">
        <v>21</v>
      </c>
      <c r="J19">
        <v>24441</v>
      </c>
      <c r="K19" t="s">
        <v>2052</v>
      </c>
    </row>
    <row r="20" spans="1:11" x14ac:dyDescent="0.35">
      <c r="A20" t="s">
        <v>65</v>
      </c>
      <c r="B20" s="1">
        <v>45852</v>
      </c>
      <c r="C20" s="1">
        <v>45856</v>
      </c>
      <c r="D20" t="s">
        <v>8</v>
      </c>
      <c r="E20" t="s">
        <v>33</v>
      </c>
      <c r="F20">
        <v>968688</v>
      </c>
      <c r="G20" t="s">
        <v>17</v>
      </c>
      <c r="H20" t="s">
        <v>18</v>
      </c>
      <c r="I20" t="s">
        <v>43</v>
      </c>
      <c r="J20">
        <v>20509</v>
      </c>
      <c r="K20" t="s">
        <v>2053</v>
      </c>
    </row>
    <row r="21" spans="1:11" x14ac:dyDescent="0.35">
      <c r="A21" t="s">
        <v>66</v>
      </c>
      <c r="B21" s="1">
        <v>46003</v>
      </c>
      <c r="C21" s="1">
        <v>46008</v>
      </c>
      <c r="D21" t="s">
        <v>8</v>
      </c>
      <c r="E21" t="s">
        <v>20</v>
      </c>
      <c r="F21">
        <v>973786</v>
      </c>
      <c r="G21" t="s">
        <v>17</v>
      </c>
      <c r="H21" t="s">
        <v>44</v>
      </c>
      <c r="I21" t="s">
        <v>45</v>
      </c>
      <c r="J21">
        <v>21319</v>
      </c>
      <c r="K21" t="s">
        <v>2054</v>
      </c>
    </row>
    <row r="22" spans="1:11" x14ac:dyDescent="0.35">
      <c r="A22" t="s">
        <v>67</v>
      </c>
      <c r="B22" s="1">
        <v>45831</v>
      </c>
      <c r="C22" s="1">
        <v>45834</v>
      </c>
      <c r="D22" t="s">
        <v>39</v>
      </c>
      <c r="E22" t="s">
        <v>16</v>
      </c>
      <c r="F22">
        <v>791213</v>
      </c>
      <c r="G22" t="s">
        <v>26</v>
      </c>
      <c r="H22" t="s">
        <v>32</v>
      </c>
      <c r="I22" t="s">
        <v>42</v>
      </c>
      <c r="J22">
        <v>25571</v>
      </c>
      <c r="K22" t="s">
        <v>2053</v>
      </c>
    </row>
    <row r="23" spans="1:11" x14ac:dyDescent="0.35">
      <c r="A23" t="s">
        <v>68</v>
      </c>
      <c r="B23" s="1">
        <v>45847</v>
      </c>
      <c r="C23" s="1">
        <v>45850</v>
      </c>
      <c r="D23" t="s">
        <v>8</v>
      </c>
      <c r="E23" t="s">
        <v>20</v>
      </c>
      <c r="F23">
        <v>974150</v>
      </c>
      <c r="G23" t="s">
        <v>26</v>
      </c>
      <c r="H23" t="s">
        <v>35</v>
      </c>
      <c r="I23" t="s">
        <v>14</v>
      </c>
      <c r="J23">
        <v>21459</v>
      </c>
      <c r="K23" t="s">
        <v>2053</v>
      </c>
    </row>
    <row r="24" spans="1:11" x14ac:dyDescent="0.35">
      <c r="A24" t="s">
        <v>69</v>
      </c>
      <c r="B24" s="1">
        <v>45780</v>
      </c>
      <c r="C24" s="1">
        <v>45783</v>
      </c>
      <c r="D24" t="s">
        <v>40</v>
      </c>
      <c r="E24" t="s">
        <v>20</v>
      </c>
      <c r="F24">
        <v>772802</v>
      </c>
      <c r="G24" t="s">
        <v>9</v>
      </c>
      <c r="H24" t="s">
        <v>43</v>
      </c>
      <c r="I24" t="s">
        <v>32</v>
      </c>
      <c r="J24">
        <v>15517</v>
      </c>
      <c r="K24" t="s">
        <v>2054</v>
      </c>
    </row>
    <row r="25" spans="1:11" x14ac:dyDescent="0.35">
      <c r="A25" t="s">
        <v>70</v>
      </c>
      <c r="B25" s="1">
        <v>45796</v>
      </c>
      <c r="C25" s="1">
        <v>45798</v>
      </c>
      <c r="D25" t="s">
        <v>40</v>
      </c>
      <c r="E25" t="s">
        <v>30</v>
      </c>
      <c r="F25">
        <v>928509</v>
      </c>
      <c r="G25" t="s">
        <v>9</v>
      </c>
      <c r="H25" t="s">
        <v>43</v>
      </c>
      <c r="I25" t="s">
        <v>29</v>
      </c>
      <c r="J25">
        <v>13645</v>
      </c>
      <c r="K25" t="s">
        <v>2050</v>
      </c>
    </row>
    <row r="26" spans="1:11" x14ac:dyDescent="0.35">
      <c r="A26" t="s">
        <v>71</v>
      </c>
      <c r="B26" s="1">
        <v>45853</v>
      </c>
      <c r="C26" s="1">
        <v>45857</v>
      </c>
      <c r="D26" t="s">
        <v>40</v>
      </c>
      <c r="E26" t="s">
        <v>38</v>
      </c>
      <c r="F26">
        <v>235760</v>
      </c>
      <c r="G26" t="s">
        <v>17</v>
      </c>
      <c r="H26" t="s">
        <v>25</v>
      </c>
      <c r="I26" t="s">
        <v>11</v>
      </c>
      <c r="J26">
        <v>12420</v>
      </c>
      <c r="K26" t="s">
        <v>2050</v>
      </c>
    </row>
    <row r="27" spans="1:11" x14ac:dyDescent="0.35">
      <c r="A27" t="s">
        <v>72</v>
      </c>
      <c r="B27" s="1">
        <v>45785</v>
      </c>
      <c r="C27" s="1">
        <v>45787</v>
      </c>
      <c r="D27" t="s">
        <v>40</v>
      </c>
      <c r="E27" t="s">
        <v>16</v>
      </c>
      <c r="F27">
        <v>178825</v>
      </c>
      <c r="G27" t="s">
        <v>26</v>
      </c>
      <c r="H27" t="s">
        <v>32</v>
      </c>
      <c r="I27" t="s">
        <v>29</v>
      </c>
      <c r="J27">
        <v>13888</v>
      </c>
      <c r="K27" t="s">
        <v>2050</v>
      </c>
    </row>
    <row r="28" spans="1:11" x14ac:dyDescent="0.35">
      <c r="A28" t="s">
        <v>73</v>
      </c>
      <c r="B28" s="1">
        <v>45819</v>
      </c>
      <c r="C28" s="1">
        <v>45824</v>
      </c>
      <c r="D28" t="s">
        <v>19</v>
      </c>
      <c r="E28" t="s">
        <v>20</v>
      </c>
      <c r="F28">
        <v>557123</v>
      </c>
      <c r="G28" t="s">
        <v>9</v>
      </c>
      <c r="H28" t="s">
        <v>15</v>
      </c>
      <c r="I28" t="s">
        <v>42</v>
      </c>
      <c r="J28">
        <v>17244</v>
      </c>
      <c r="K28" t="s">
        <v>2052</v>
      </c>
    </row>
    <row r="29" spans="1:11" x14ac:dyDescent="0.35">
      <c r="A29" t="s">
        <v>74</v>
      </c>
      <c r="B29" s="1">
        <v>45869</v>
      </c>
      <c r="C29" s="1">
        <v>45874</v>
      </c>
      <c r="D29" t="s">
        <v>39</v>
      </c>
      <c r="E29" t="s">
        <v>20</v>
      </c>
      <c r="F29">
        <v>285057</v>
      </c>
      <c r="G29" t="s">
        <v>17</v>
      </c>
      <c r="H29" t="s">
        <v>43</v>
      </c>
      <c r="I29" t="s">
        <v>18</v>
      </c>
      <c r="J29">
        <v>27037</v>
      </c>
      <c r="K29" t="s">
        <v>2053</v>
      </c>
    </row>
    <row r="30" spans="1:11" x14ac:dyDescent="0.35">
      <c r="A30" t="s">
        <v>75</v>
      </c>
      <c r="B30" s="1">
        <v>45744</v>
      </c>
      <c r="C30" s="1">
        <v>45749</v>
      </c>
      <c r="D30" t="s">
        <v>39</v>
      </c>
      <c r="E30" t="s">
        <v>27</v>
      </c>
      <c r="F30">
        <v>321150</v>
      </c>
      <c r="G30" t="s">
        <v>28</v>
      </c>
      <c r="H30" t="s">
        <v>22</v>
      </c>
      <c r="I30" t="s">
        <v>41</v>
      </c>
      <c r="J30">
        <v>24798</v>
      </c>
      <c r="K30" t="s">
        <v>2052</v>
      </c>
    </row>
    <row r="31" spans="1:11" x14ac:dyDescent="0.35">
      <c r="A31" t="s">
        <v>76</v>
      </c>
      <c r="B31" s="1">
        <v>45959</v>
      </c>
      <c r="C31" s="1">
        <v>45962</v>
      </c>
      <c r="D31" t="s">
        <v>19</v>
      </c>
      <c r="E31" t="s">
        <v>16</v>
      </c>
      <c r="F31">
        <v>954375</v>
      </c>
      <c r="G31" t="s">
        <v>17</v>
      </c>
      <c r="H31" t="s">
        <v>11</v>
      </c>
      <c r="I31" t="s">
        <v>35</v>
      </c>
      <c r="J31">
        <v>15513</v>
      </c>
      <c r="K31" t="s">
        <v>2053</v>
      </c>
    </row>
    <row r="32" spans="1:11" x14ac:dyDescent="0.35">
      <c r="A32" t="s">
        <v>77</v>
      </c>
      <c r="B32" s="1">
        <v>45817</v>
      </c>
      <c r="C32" s="1">
        <v>45818</v>
      </c>
      <c r="D32" t="s">
        <v>39</v>
      </c>
      <c r="E32" t="s">
        <v>27</v>
      </c>
      <c r="F32">
        <v>757936</v>
      </c>
      <c r="G32" t="s">
        <v>13</v>
      </c>
      <c r="H32" t="s">
        <v>32</v>
      </c>
      <c r="I32" t="s">
        <v>21</v>
      </c>
      <c r="J32">
        <v>24234</v>
      </c>
      <c r="K32" t="s">
        <v>2054</v>
      </c>
    </row>
    <row r="33" spans="1:11" x14ac:dyDescent="0.35">
      <c r="A33" t="s">
        <v>78</v>
      </c>
      <c r="B33" s="1">
        <v>45672</v>
      </c>
      <c r="C33" s="1">
        <v>45673</v>
      </c>
      <c r="D33" t="s">
        <v>8</v>
      </c>
      <c r="E33" t="s">
        <v>33</v>
      </c>
      <c r="F33">
        <v>924286</v>
      </c>
      <c r="G33" t="s">
        <v>9</v>
      </c>
      <c r="H33" t="s">
        <v>31</v>
      </c>
      <c r="I33" t="s">
        <v>44</v>
      </c>
      <c r="J33">
        <v>20966</v>
      </c>
      <c r="K33" t="s">
        <v>2054</v>
      </c>
    </row>
    <row r="34" spans="1:11" x14ac:dyDescent="0.35">
      <c r="A34" t="s">
        <v>79</v>
      </c>
      <c r="B34" s="1">
        <v>45708</v>
      </c>
      <c r="C34" s="1">
        <v>45713</v>
      </c>
      <c r="D34" t="s">
        <v>39</v>
      </c>
      <c r="E34" t="s">
        <v>27</v>
      </c>
      <c r="F34">
        <v>297705</v>
      </c>
      <c r="G34" t="s">
        <v>17</v>
      </c>
      <c r="H34" t="s">
        <v>31</v>
      </c>
      <c r="I34" t="s">
        <v>41</v>
      </c>
      <c r="J34">
        <v>26313</v>
      </c>
      <c r="K34" t="s">
        <v>2054</v>
      </c>
    </row>
    <row r="35" spans="1:11" x14ac:dyDescent="0.35">
      <c r="A35" t="s">
        <v>80</v>
      </c>
      <c r="B35" s="1">
        <v>45911</v>
      </c>
      <c r="C35" s="1">
        <v>45915</v>
      </c>
      <c r="D35" t="s">
        <v>19</v>
      </c>
      <c r="E35" t="s">
        <v>23</v>
      </c>
      <c r="F35">
        <v>947580</v>
      </c>
      <c r="G35" t="s">
        <v>26</v>
      </c>
      <c r="H35" t="s">
        <v>41</v>
      </c>
      <c r="I35" t="s">
        <v>32</v>
      </c>
      <c r="J35">
        <v>17555</v>
      </c>
      <c r="K35" t="s">
        <v>2054</v>
      </c>
    </row>
    <row r="36" spans="1:11" x14ac:dyDescent="0.35">
      <c r="A36" t="s">
        <v>81</v>
      </c>
      <c r="B36" s="1">
        <v>45811</v>
      </c>
      <c r="C36" s="1">
        <v>45816</v>
      </c>
      <c r="D36" t="s">
        <v>39</v>
      </c>
      <c r="E36" t="s">
        <v>12</v>
      </c>
      <c r="F36">
        <v>171716</v>
      </c>
      <c r="G36" t="s">
        <v>28</v>
      </c>
      <c r="H36" t="s">
        <v>10</v>
      </c>
      <c r="I36" t="s">
        <v>11</v>
      </c>
      <c r="J36">
        <v>23458</v>
      </c>
      <c r="K36" t="s">
        <v>2052</v>
      </c>
    </row>
    <row r="37" spans="1:11" x14ac:dyDescent="0.35">
      <c r="A37" t="s">
        <v>82</v>
      </c>
      <c r="B37" s="1">
        <v>45683</v>
      </c>
      <c r="C37" s="1">
        <v>45688</v>
      </c>
      <c r="D37" t="s">
        <v>39</v>
      </c>
      <c r="E37" t="s">
        <v>33</v>
      </c>
      <c r="F37">
        <v>812305</v>
      </c>
      <c r="G37" t="s">
        <v>17</v>
      </c>
      <c r="H37" t="s">
        <v>43</v>
      </c>
      <c r="I37" t="s">
        <v>25</v>
      </c>
      <c r="J37">
        <v>25644</v>
      </c>
      <c r="K37" t="s">
        <v>2052</v>
      </c>
    </row>
    <row r="38" spans="1:11" x14ac:dyDescent="0.35">
      <c r="A38" t="s">
        <v>83</v>
      </c>
      <c r="B38" s="1">
        <v>45960</v>
      </c>
      <c r="C38" s="1">
        <v>45965</v>
      </c>
      <c r="D38" t="s">
        <v>40</v>
      </c>
      <c r="E38" t="s">
        <v>20</v>
      </c>
      <c r="F38">
        <v>663933</v>
      </c>
      <c r="G38" t="s">
        <v>26</v>
      </c>
      <c r="H38" t="s">
        <v>29</v>
      </c>
      <c r="I38" t="s">
        <v>29</v>
      </c>
      <c r="J38">
        <v>15019</v>
      </c>
      <c r="K38" t="s">
        <v>2052</v>
      </c>
    </row>
    <row r="39" spans="1:11" x14ac:dyDescent="0.35">
      <c r="A39" t="s">
        <v>84</v>
      </c>
      <c r="B39" s="1">
        <v>45750</v>
      </c>
      <c r="C39" s="1">
        <v>45754</v>
      </c>
      <c r="D39" t="s">
        <v>39</v>
      </c>
      <c r="E39" t="s">
        <v>33</v>
      </c>
      <c r="F39">
        <v>982720</v>
      </c>
      <c r="G39" t="s">
        <v>26</v>
      </c>
      <c r="H39" t="s">
        <v>21</v>
      </c>
      <c r="I39" t="s">
        <v>22</v>
      </c>
      <c r="J39">
        <v>25664</v>
      </c>
      <c r="K39" t="s">
        <v>2053</v>
      </c>
    </row>
    <row r="40" spans="1:11" x14ac:dyDescent="0.35">
      <c r="A40" t="s">
        <v>85</v>
      </c>
      <c r="B40" s="1">
        <v>45835</v>
      </c>
      <c r="C40" s="1">
        <v>45838</v>
      </c>
      <c r="D40" t="s">
        <v>39</v>
      </c>
      <c r="E40" t="s">
        <v>27</v>
      </c>
      <c r="F40">
        <v>792789</v>
      </c>
      <c r="G40" t="s">
        <v>28</v>
      </c>
      <c r="H40" t="s">
        <v>43</v>
      </c>
      <c r="I40" t="s">
        <v>43</v>
      </c>
      <c r="J40">
        <v>25848</v>
      </c>
      <c r="K40" t="s">
        <v>2053</v>
      </c>
    </row>
    <row r="41" spans="1:11" x14ac:dyDescent="0.35">
      <c r="A41" t="s">
        <v>86</v>
      </c>
      <c r="B41" s="1">
        <v>45858</v>
      </c>
      <c r="C41" s="1">
        <v>45860</v>
      </c>
      <c r="D41" t="s">
        <v>19</v>
      </c>
      <c r="E41" t="s">
        <v>27</v>
      </c>
      <c r="F41">
        <v>260938</v>
      </c>
      <c r="G41" t="s">
        <v>28</v>
      </c>
      <c r="H41" t="s">
        <v>32</v>
      </c>
      <c r="I41" t="s">
        <v>14</v>
      </c>
      <c r="J41">
        <v>16015</v>
      </c>
      <c r="K41" t="s">
        <v>2053</v>
      </c>
    </row>
    <row r="42" spans="1:11" x14ac:dyDescent="0.35">
      <c r="A42" t="s">
        <v>87</v>
      </c>
      <c r="B42" s="1">
        <v>46014</v>
      </c>
      <c r="C42" s="1">
        <v>46015</v>
      </c>
      <c r="D42" t="s">
        <v>8</v>
      </c>
      <c r="E42" t="s">
        <v>27</v>
      </c>
      <c r="F42">
        <v>458664</v>
      </c>
      <c r="G42" t="s">
        <v>17</v>
      </c>
      <c r="H42" t="s">
        <v>34</v>
      </c>
      <c r="I42" t="s">
        <v>36</v>
      </c>
      <c r="J42">
        <v>19519</v>
      </c>
      <c r="K42" t="s">
        <v>2050</v>
      </c>
    </row>
    <row r="43" spans="1:11" x14ac:dyDescent="0.35">
      <c r="A43" t="s">
        <v>88</v>
      </c>
      <c r="B43" s="1">
        <v>45935</v>
      </c>
      <c r="C43" s="1">
        <v>45936</v>
      </c>
      <c r="D43" t="s">
        <v>19</v>
      </c>
      <c r="E43" t="s">
        <v>30</v>
      </c>
      <c r="F43">
        <v>241411</v>
      </c>
      <c r="G43" t="s">
        <v>28</v>
      </c>
      <c r="H43" t="s">
        <v>32</v>
      </c>
      <c r="I43" t="s">
        <v>22</v>
      </c>
      <c r="J43">
        <v>16104</v>
      </c>
      <c r="K43" t="s">
        <v>2050</v>
      </c>
    </row>
    <row r="44" spans="1:11" x14ac:dyDescent="0.35">
      <c r="A44" t="s">
        <v>89</v>
      </c>
      <c r="B44" s="1">
        <v>45884</v>
      </c>
      <c r="C44" s="1">
        <v>45887</v>
      </c>
      <c r="D44" t="s">
        <v>8</v>
      </c>
      <c r="E44" t="s">
        <v>27</v>
      </c>
      <c r="F44">
        <v>606716</v>
      </c>
      <c r="G44" t="s">
        <v>13</v>
      </c>
      <c r="H44" t="s">
        <v>41</v>
      </c>
      <c r="I44" t="s">
        <v>42</v>
      </c>
      <c r="J44">
        <v>19601</v>
      </c>
      <c r="K44" t="s">
        <v>2050</v>
      </c>
    </row>
    <row r="45" spans="1:11" x14ac:dyDescent="0.35">
      <c r="A45" t="s">
        <v>90</v>
      </c>
      <c r="B45" s="1">
        <v>45956</v>
      </c>
      <c r="C45" s="1">
        <v>45961</v>
      </c>
      <c r="D45" t="s">
        <v>19</v>
      </c>
      <c r="E45" t="s">
        <v>33</v>
      </c>
      <c r="F45">
        <v>793016</v>
      </c>
      <c r="G45" t="s">
        <v>13</v>
      </c>
      <c r="H45" t="s">
        <v>24</v>
      </c>
      <c r="I45" t="s">
        <v>22</v>
      </c>
      <c r="J45">
        <v>17387</v>
      </c>
      <c r="K45" t="s">
        <v>2050</v>
      </c>
    </row>
    <row r="46" spans="1:11" x14ac:dyDescent="0.35">
      <c r="A46" t="s">
        <v>91</v>
      </c>
      <c r="B46" s="1">
        <v>45925</v>
      </c>
      <c r="C46" s="1">
        <v>45927</v>
      </c>
      <c r="D46" t="s">
        <v>19</v>
      </c>
      <c r="E46" t="s">
        <v>12</v>
      </c>
      <c r="F46">
        <v>934769</v>
      </c>
      <c r="G46" t="s">
        <v>28</v>
      </c>
      <c r="H46" t="s">
        <v>24</v>
      </c>
      <c r="I46" t="s">
        <v>42</v>
      </c>
      <c r="J46">
        <v>15215</v>
      </c>
      <c r="K46" t="s">
        <v>2050</v>
      </c>
    </row>
    <row r="47" spans="1:11" x14ac:dyDescent="0.35">
      <c r="A47" t="s">
        <v>92</v>
      </c>
      <c r="B47" s="1">
        <v>45669</v>
      </c>
      <c r="C47" s="1">
        <v>45671</v>
      </c>
      <c r="D47" t="s">
        <v>8</v>
      </c>
      <c r="E47" t="s">
        <v>12</v>
      </c>
      <c r="F47">
        <v>861119</v>
      </c>
      <c r="G47" t="s">
        <v>13</v>
      </c>
      <c r="H47" t="s">
        <v>31</v>
      </c>
      <c r="I47" t="s">
        <v>24</v>
      </c>
      <c r="J47">
        <v>17805</v>
      </c>
      <c r="K47" t="s">
        <v>2051</v>
      </c>
    </row>
    <row r="48" spans="1:11" x14ac:dyDescent="0.35">
      <c r="A48" t="s">
        <v>93</v>
      </c>
      <c r="B48" s="1">
        <v>45896</v>
      </c>
      <c r="C48" s="1">
        <v>45898</v>
      </c>
      <c r="D48" t="s">
        <v>39</v>
      </c>
      <c r="E48" t="s">
        <v>30</v>
      </c>
      <c r="F48">
        <v>838600</v>
      </c>
      <c r="G48" t="s">
        <v>17</v>
      </c>
      <c r="H48" t="s">
        <v>41</v>
      </c>
      <c r="I48" t="s">
        <v>10</v>
      </c>
      <c r="J48">
        <v>25091</v>
      </c>
      <c r="K48" t="s">
        <v>2052</v>
      </c>
    </row>
    <row r="49" spans="1:11" x14ac:dyDescent="0.35">
      <c r="A49" t="s">
        <v>94</v>
      </c>
      <c r="B49" s="1">
        <v>45849</v>
      </c>
      <c r="C49" s="1">
        <v>45850</v>
      </c>
      <c r="D49" t="s">
        <v>39</v>
      </c>
      <c r="E49" t="s">
        <v>23</v>
      </c>
      <c r="F49">
        <v>604755</v>
      </c>
      <c r="G49" t="s">
        <v>13</v>
      </c>
      <c r="H49" t="s">
        <v>25</v>
      </c>
      <c r="I49" t="s">
        <v>18</v>
      </c>
      <c r="J49">
        <v>25618</v>
      </c>
      <c r="K49" t="s">
        <v>2053</v>
      </c>
    </row>
    <row r="50" spans="1:11" x14ac:dyDescent="0.35">
      <c r="A50" t="s">
        <v>95</v>
      </c>
      <c r="B50" s="1">
        <v>45673</v>
      </c>
      <c r="C50" s="1">
        <v>45678</v>
      </c>
      <c r="D50" t="s">
        <v>40</v>
      </c>
      <c r="E50" t="s">
        <v>12</v>
      </c>
      <c r="F50">
        <v>776860</v>
      </c>
      <c r="G50" t="s">
        <v>9</v>
      </c>
      <c r="H50" t="s">
        <v>31</v>
      </c>
      <c r="I50" t="s">
        <v>14</v>
      </c>
      <c r="J50">
        <v>12468</v>
      </c>
      <c r="K50" t="s">
        <v>2054</v>
      </c>
    </row>
    <row r="51" spans="1:11" x14ac:dyDescent="0.35">
      <c r="A51" t="s">
        <v>96</v>
      </c>
      <c r="B51" s="1">
        <v>45697</v>
      </c>
      <c r="C51" s="1">
        <v>45702</v>
      </c>
      <c r="D51" t="s">
        <v>19</v>
      </c>
      <c r="E51" t="s">
        <v>30</v>
      </c>
      <c r="F51">
        <v>159070</v>
      </c>
      <c r="G51" t="s">
        <v>13</v>
      </c>
      <c r="H51" t="s">
        <v>22</v>
      </c>
      <c r="I51" t="s">
        <v>31</v>
      </c>
      <c r="J51">
        <v>15690</v>
      </c>
      <c r="K51" t="s">
        <v>2053</v>
      </c>
    </row>
    <row r="52" spans="1:11" x14ac:dyDescent="0.35">
      <c r="A52" t="s">
        <v>97</v>
      </c>
      <c r="B52" s="1">
        <v>45970</v>
      </c>
      <c r="C52" s="1">
        <v>45975</v>
      </c>
      <c r="D52" t="s">
        <v>39</v>
      </c>
      <c r="E52" t="s">
        <v>27</v>
      </c>
      <c r="F52">
        <v>906117</v>
      </c>
      <c r="G52" t="s">
        <v>17</v>
      </c>
      <c r="H52" t="s">
        <v>24</v>
      </c>
      <c r="I52" t="s">
        <v>18</v>
      </c>
      <c r="J52">
        <v>24452</v>
      </c>
      <c r="K52" t="s">
        <v>2050</v>
      </c>
    </row>
    <row r="53" spans="1:11" x14ac:dyDescent="0.35">
      <c r="A53" t="s">
        <v>98</v>
      </c>
      <c r="B53" s="1">
        <v>45789</v>
      </c>
      <c r="C53" s="1">
        <v>45794</v>
      </c>
      <c r="D53" t="s">
        <v>8</v>
      </c>
      <c r="E53" t="s">
        <v>33</v>
      </c>
      <c r="F53">
        <v>477336</v>
      </c>
      <c r="G53" t="s">
        <v>28</v>
      </c>
      <c r="H53" t="s">
        <v>36</v>
      </c>
      <c r="I53" t="s">
        <v>43</v>
      </c>
      <c r="J53">
        <v>21328</v>
      </c>
      <c r="K53" t="s">
        <v>2051</v>
      </c>
    </row>
    <row r="54" spans="1:11" x14ac:dyDescent="0.35">
      <c r="A54" t="s">
        <v>99</v>
      </c>
      <c r="B54" s="1">
        <v>45895</v>
      </c>
      <c r="C54" s="1">
        <v>45897</v>
      </c>
      <c r="D54" t="s">
        <v>39</v>
      </c>
      <c r="E54" t="s">
        <v>27</v>
      </c>
      <c r="F54">
        <v>964016</v>
      </c>
      <c r="G54" t="s">
        <v>9</v>
      </c>
      <c r="H54" t="s">
        <v>22</v>
      </c>
      <c r="I54" t="s">
        <v>45</v>
      </c>
      <c r="J54">
        <v>25708</v>
      </c>
      <c r="K54" t="s">
        <v>2052</v>
      </c>
    </row>
    <row r="55" spans="1:11" x14ac:dyDescent="0.35">
      <c r="A55" t="s">
        <v>100</v>
      </c>
      <c r="B55" s="1">
        <v>45746</v>
      </c>
      <c r="C55" s="1">
        <v>45747</v>
      </c>
      <c r="D55" t="s">
        <v>8</v>
      </c>
      <c r="E55" t="s">
        <v>16</v>
      </c>
      <c r="F55">
        <v>912735</v>
      </c>
      <c r="G55" t="s">
        <v>28</v>
      </c>
      <c r="H55" t="s">
        <v>43</v>
      </c>
      <c r="I55" t="s">
        <v>29</v>
      </c>
      <c r="J55">
        <v>19333</v>
      </c>
      <c r="K55" t="s">
        <v>2053</v>
      </c>
    </row>
    <row r="56" spans="1:11" x14ac:dyDescent="0.35">
      <c r="A56" t="s">
        <v>101</v>
      </c>
      <c r="B56" s="1">
        <v>45962</v>
      </c>
      <c r="C56" s="1">
        <v>45964</v>
      </c>
      <c r="D56" t="s">
        <v>40</v>
      </c>
      <c r="E56" t="s">
        <v>16</v>
      </c>
      <c r="F56">
        <v>128481</v>
      </c>
      <c r="G56" t="s">
        <v>17</v>
      </c>
      <c r="H56" t="s">
        <v>32</v>
      </c>
      <c r="I56" t="s">
        <v>24</v>
      </c>
      <c r="J56">
        <v>13303</v>
      </c>
      <c r="K56" t="s">
        <v>2054</v>
      </c>
    </row>
    <row r="57" spans="1:11" x14ac:dyDescent="0.35">
      <c r="A57" t="s">
        <v>102</v>
      </c>
      <c r="B57" s="1">
        <v>46014</v>
      </c>
      <c r="C57" s="1">
        <v>46018</v>
      </c>
      <c r="D57" t="s">
        <v>8</v>
      </c>
      <c r="E57" t="s">
        <v>16</v>
      </c>
      <c r="F57">
        <v>633235</v>
      </c>
      <c r="G57" t="s">
        <v>17</v>
      </c>
      <c r="H57" t="s">
        <v>11</v>
      </c>
      <c r="I57" t="s">
        <v>45</v>
      </c>
      <c r="J57">
        <v>18824</v>
      </c>
      <c r="K57" t="s">
        <v>2053</v>
      </c>
    </row>
    <row r="58" spans="1:11" x14ac:dyDescent="0.35">
      <c r="A58" t="s">
        <v>103</v>
      </c>
      <c r="B58" s="1">
        <v>45978</v>
      </c>
      <c r="C58" s="1">
        <v>45981</v>
      </c>
      <c r="D58" t="s">
        <v>8</v>
      </c>
      <c r="E58" t="s">
        <v>38</v>
      </c>
      <c r="F58">
        <v>695489</v>
      </c>
      <c r="G58" t="s">
        <v>17</v>
      </c>
      <c r="H58" t="s">
        <v>24</v>
      </c>
      <c r="I58" t="s">
        <v>41</v>
      </c>
      <c r="J58">
        <v>18301</v>
      </c>
      <c r="K58" t="s">
        <v>2052</v>
      </c>
    </row>
    <row r="59" spans="1:11" x14ac:dyDescent="0.35">
      <c r="A59" t="s">
        <v>104</v>
      </c>
      <c r="B59" s="1">
        <v>45788</v>
      </c>
      <c r="C59" s="1">
        <v>45793</v>
      </c>
      <c r="D59" t="s">
        <v>19</v>
      </c>
      <c r="E59" t="s">
        <v>20</v>
      </c>
      <c r="F59">
        <v>915994</v>
      </c>
      <c r="G59" t="s">
        <v>9</v>
      </c>
      <c r="H59" t="s">
        <v>22</v>
      </c>
      <c r="I59" t="s">
        <v>29</v>
      </c>
      <c r="J59">
        <v>16668</v>
      </c>
      <c r="K59" t="s">
        <v>2052</v>
      </c>
    </row>
    <row r="60" spans="1:11" x14ac:dyDescent="0.35">
      <c r="A60" t="s">
        <v>105</v>
      </c>
      <c r="B60" s="1">
        <v>45839</v>
      </c>
      <c r="C60" s="1">
        <v>45843</v>
      </c>
      <c r="D60" t="s">
        <v>19</v>
      </c>
      <c r="E60" t="s">
        <v>30</v>
      </c>
      <c r="F60">
        <v>321404</v>
      </c>
      <c r="G60" t="s">
        <v>17</v>
      </c>
      <c r="H60" t="s">
        <v>11</v>
      </c>
      <c r="I60" t="s">
        <v>29</v>
      </c>
      <c r="J60">
        <v>16453</v>
      </c>
      <c r="K60" t="s">
        <v>2052</v>
      </c>
    </row>
    <row r="61" spans="1:11" x14ac:dyDescent="0.35">
      <c r="A61" t="s">
        <v>106</v>
      </c>
      <c r="B61" s="1">
        <v>45958</v>
      </c>
      <c r="C61" s="1">
        <v>45963</v>
      </c>
      <c r="D61" t="s">
        <v>39</v>
      </c>
      <c r="E61" t="s">
        <v>16</v>
      </c>
      <c r="F61">
        <v>910329</v>
      </c>
      <c r="G61" t="s">
        <v>17</v>
      </c>
      <c r="H61" t="s">
        <v>18</v>
      </c>
      <c r="I61" t="s">
        <v>14</v>
      </c>
      <c r="J61">
        <v>24807</v>
      </c>
      <c r="K61" t="s">
        <v>2053</v>
      </c>
    </row>
    <row r="62" spans="1:11" x14ac:dyDescent="0.35">
      <c r="A62" t="s">
        <v>107</v>
      </c>
      <c r="B62" s="1">
        <v>45876</v>
      </c>
      <c r="C62" s="1">
        <v>45879</v>
      </c>
      <c r="D62" t="s">
        <v>8</v>
      </c>
      <c r="E62" t="s">
        <v>23</v>
      </c>
      <c r="F62">
        <v>827589</v>
      </c>
      <c r="G62" t="s">
        <v>13</v>
      </c>
      <c r="H62" t="s">
        <v>10</v>
      </c>
      <c r="I62" t="s">
        <v>32</v>
      </c>
      <c r="J62">
        <v>20348</v>
      </c>
      <c r="K62" t="s">
        <v>2053</v>
      </c>
    </row>
    <row r="63" spans="1:11" x14ac:dyDescent="0.35">
      <c r="A63" t="s">
        <v>108</v>
      </c>
      <c r="B63" s="1">
        <v>46010</v>
      </c>
      <c r="C63" s="1">
        <v>46011</v>
      </c>
      <c r="D63" t="s">
        <v>39</v>
      </c>
      <c r="E63" t="s">
        <v>20</v>
      </c>
      <c r="F63">
        <v>356882</v>
      </c>
      <c r="G63" t="s">
        <v>28</v>
      </c>
      <c r="H63" t="s">
        <v>22</v>
      </c>
      <c r="I63" t="s">
        <v>41</v>
      </c>
      <c r="J63">
        <v>26911</v>
      </c>
      <c r="K63" t="s">
        <v>2053</v>
      </c>
    </row>
    <row r="64" spans="1:11" x14ac:dyDescent="0.35">
      <c r="A64" t="s">
        <v>109</v>
      </c>
      <c r="B64" s="1">
        <v>45859</v>
      </c>
      <c r="C64" s="1">
        <v>45861</v>
      </c>
      <c r="D64" t="s">
        <v>8</v>
      </c>
      <c r="E64" t="s">
        <v>27</v>
      </c>
      <c r="F64">
        <v>167379</v>
      </c>
      <c r="G64" t="s">
        <v>9</v>
      </c>
      <c r="H64" t="s">
        <v>36</v>
      </c>
      <c r="I64" t="s">
        <v>14</v>
      </c>
      <c r="J64">
        <v>19409</v>
      </c>
      <c r="K64" t="s">
        <v>2053</v>
      </c>
    </row>
    <row r="65" spans="1:11" x14ac:dyDescent="0.35">
      <c r="A65" t="s">
        <v>110</v>
      </c>
      <c r="B65" s="1">
        <v>45684</v>
      </c>
      <c r="C65" s="1">
        <v>45688</v>
      </c>
      <c r="D65" t="s">
        <v>39</v>
      </c>
      <c r="E65" t="s">
        <v>16</v>
      </c>
      <c r="F65">
        <v>779927</v>
      </c>
      <c r="G65" t="s">
        <v>17</v>
      </c>
      <c r="H65" t="s">
        <v>41</v>
      </c>
      <c r="I65" t="s">
        <v>41</v>
      </c>
      <c r="J65">
        <v>26360</v>
      </c>
      <c r="K65" t="s">
        <v>2050</v>
      </c>
    </row>
    <row r="66" spans="1:11" x14ac:dyDescent="0.35">
      <c r="A66" t="s">
        <v>111</v>
      </c>
      <c r="B66" s="1">
        <v>45723</v>
      </c>
      <c r="C66" s="1">
        <v>45726</v>
      </c>
      <c r="D66" t="s">
        <v>8</v>
      </c>
      <c r="E66" t="s">
        <v>27</v>
      </c>
      <c r="F66">
        <v>116789</v>
      </c>
      <c r="G66" t="s">
        <v>9</v>
      </c>
      <c r="H66" t="s">
        <v>43</v>
      </c>
      <c r="I66" t="s">
        <v>11</v>
      </c>
      <c r="J66">
        <v>19101</v>
      </c>
      <c r="K66" t="s">
        <v>2051</v>
      </c>
    </row>
    <row r="67" spans="1:11" x14ac:dyDescent="0.35">
      <c r="A67" t="s">
        <v>112</v>
      </c>
      <c r="B67" s="1">
        <v>45889</v>
      </c>
      <c r="C67" s="1">
        <v>45894</v>
      </c>
      <c r="D67" t="s">
        <v>39</v>
      </c>
      <c r="E67" t="s">
        <v>38</v>
      </c>
      <c r="F67">
        <v>918988</v>
      </c>
      <c r="G67" t="s">
        <v>28</v>
      </c>
      <c r="H67" t="s">
        <v>29</v>
      </c>
      <c r="I67" t="s">
        <v>36</v>
      </c>
      <c r="J67">
        <v>23593</v>
      </c>
      <c r="K67" t="s">
        <v>2052</v>
      </c>
    </row>
    <row r="68" spans="1:11" x14ac:dyDescent="0.35">
      <c r="A68" t="s">
        <v>113</v>
      </c>
      <c r="B68" s="1">
        <v>45888</v>
      </c>
      <c r="C68" s="1">
        <v>45889</v>
      </c>
      <c r="D68" t="s">
        <v>19</v>
      </c>
      <c r="E68" t="s">
        <v>30</v>
      </c>
      <c r="F68">
        <v>489384</v>
      </c>
      <c r="G68" t="s">
        <v>9</v>
      </c>
      <c r="H68" t="s">
        <v>31</v>
      </c>
      <c r="I68" t="s">
        <v>44</v>
      </c>
      <c r="J68">
        <v>16515</v>
      </c>
      <c r="K68" t="s">
        <v>2053</v>
      </c>
    </row>
    <row r="69" spans="1:11" x14ac:dyDescent="0.35">
      <c r="A69" t="s">
        <v>114</v>
      </c>
      <c r="B69" s="1">
        <v>45669</v>
      </c>
      <c r="C69" s="1">
        <v>45672</v>
      </c>
      <c r="D69" t="s">
        <v>19</v>
      </c>
      <c r="E69" t="s">
        <v>33</v>
      </c>
      <c r="F69">
        <v>593350</v>
      </c>
      <c r="G69" t="s">
        <v>13</v>
      </c>
      <c r="H69" t="s">
        <v>24</v>
      </c>
      <c r="I69" t="s">
        <v>18</v>
      </c>
      <c r="J69">
        <v>16849</v>
      </c>
      <c r="K69" t="s">
        <v>2054</v>
      </c>
    </row>
    <row r="70" spans="1:11" x14ac:dyDescent="0.35">
      <c r="A70" t="s">
        <v>115</v>
      </c>
      <c r="B70" s="1">
        <v>45680</v>
      </c>
      <c r="C70" s="1">
        <v>45684</v>
      </c>
      <c r="D70" t="s">
        <v>19</v>
      </c>
      <c r="E70" t="s">
        <v>12</v>
      </c>
      <c r="F70">
        <v>645732</v>
      </c>
      <c r="G70" t="s">
        <v>28</v>
      </c>
      <c r="H70" t="s">
        <v>42</v>
      </c>
      <c r="I70" t="s">
        <v>41</v>
      </c>
      <c r="J70">
        <v>14546</v>
      </c>
      <c r="K70" t="s">
        <v>2053</v>
      </c>
    </row>
    <row r="71" spans="1:11" x14ac:dyDescent="0.35">
      <c r="A71" t="s">
        <v>116</v>
      </c>
      <c r="B71" s="1">
        <v>45741</v>
      </c>
      <c r="C71" s="1">
        <v>45744</v>
      </c>
      <c r="D71" t="s">
        <v>40</v>
      </c>
      <c r="E71" t="s">
        <v>33</v>
      </c>
      <c r="F71">
        <v>526057</v>
      </c>
      <c r="G71" t="s">
        <v>26</v>
      </c>
      <c r="H71" t="s">
        <v>36</v>
      </c>
      <c r="I71" t="s">
        <v>29</v>
      </c>
      <c r="J71">
        <v>15539</v>
      </c>
      <c r="K71" t="s">
        <v>2050</v>
      </c>
    </row>
    <row r="72" spans="1:11" x14ac:dyDescent="0.35">
      <c r="A72" t="s">
        <v>117</v>
      </c>
      <c r="B72" s="1">
        <v>45733</v>
      </c>
      <c r="C72" s="1">
        <v>45735</v>
      </c>
      <c r="D72" t="s">
        <v>8</v>
      </c>
      <c r="E72" t="s">
        <v>30</v>
      </c>
      <c r="F72">
        <v>235935</v>
      </c>
      <c r="G72" t="s">
        <v>9</v>
      </c>
      <c r="H72" t="s">
        <v>44</v>
      </c>
      <c r="I72" t="s">
        <v>34</v>
      </c>
      <c r="J72">
        <v>19649</v>
      </c>
      <c r="K72" t="s">
        <v>2051</v>
      </c>
    </row>
    <row r="73" spans="1:11" x14ac:dyDescent="0.35">
      <c r="A73" t="s">
        <v>118</v>
      </c>
      <c r="B73" s="1">
        <v>45894</v>
      </c>
      <c r="C73" s="1">
        <v>45899</v>
      </c>
      <c r="D73" t="s">
        <v>8</v>
      </c>
      <c r="E73" t="s">
        <v>12</v>
      </c>
      <c r="F73">
        <v>208495</v>
      </c>
      <c r="G73" t="s">
        <v>9</v>
      </c>
      <c r="H73" t="s">
        <v>10</v>
      </c>
      <c r="I73" t="s">
        <v>43</v>
      </c>
      <c r="J73">
        <v>18190</v>
      </c>
      <c r="K73" t="s">
        <v>2052</v>
      </c>
    </row>
    <row r="74" spans="1:11" x14ac:dyDescent="0.35">
      <c r="A74" t="s">
        <v>119</v>
      </c>
      <c r="B74" s="1">
        <v>45973</v>
      </c>
      <c r="C74" s="1">
        <v>45975</v>
      </c>
      <c r="D74" t="s">
        <v>39</v>
      </c>
      <c r="E74" t="s">
        <v>30</v>
      </c>
      <c r="F74">
        <v>629892</v>
      </c>
      <c r="G74" t="s">
        <v>28</v>
      </c>
      <c r="H74" t="s">
        <v>24</v>
      </c>
      <c r="I74" t="s">
        <v>44</v>
      </c>
      <c r="J74">
        <v>25540</v>
      </c>
      <c r="K74" t="s">
        <v>2053</v>
      </c>
    </row>
    <row r="75" spans="1:11" x14ac:dyDescent="0.35">
      <c r="A75" t="s">
        <v>120</v>
      </c>
      <c r="B75" s="1">
        <v>45834</v>
      </c>
      <c r="C75" s="1">
        <v>45837</v>
      </c>
      <c r="D75" t="s">
        <v>40</v>
      </c>
      <c r="E75" t="s">
        <v>23</v>
      </c>
      <c r="F75">
        <v>183880</v>
      </c>
      <c r="G75" t="s">
        <v>13</v>
      </c>
      <c r="H75" t="s">
        <v>36</v>
      </c>
      <c r="I75" t="s">
        <v>21</v>
      </c>
      <c r="J75">
        <v>15110</v>
      </c>
      <c r="K75" t="s">
        <v>2054</v>
      </c>
    </row>
    <row r="76" spans="1:11" x14ac:dyDescent="0.35">
      <c r="A76" t="s">
        <v>121</v>
      </c>
      <c r="B76" s="1">
        <v>45948</v>
      </c>
      <c r="C76" s="1">
        <v>45950</v>
      </c>
      <c r="D76" t="s">
        <v>8</v>
      </c>
      <c r="E76" t="s">
        <v>30</v>
      </c>
      <c r="F76">
        <v>733686</v>
      </c>
      <c r="G76" t="s">
        <v>28</v>
      </c>
      <c r="H76" t="s">
        <v>31</v>
      </c>
      <c r="I76" t="s">
        <v>10</v>
      </c>
      <c r="J76">
        <v>18931</v>
      </c>
      <c r="K76" t="s">
        <v>2053</v>
      </c>
    </row>
    <row r="77" spans="1:11" x14ac:dyDescent="0.35">
      <c r="A77" t="s">
        <v>122</v>
      </c>
      <c r="B77" s="1">
        <v>45728</v>
      </c>
      <c r="C77" s="1">
        <v>45730</v>
      </c>
      <c r="D77" t="s">
        <v>40</v>
      </c>
      <c r="E77" t="s">
        <v>27</v>
      </c>
      <c r="F77">
        <v>628079</v>
      </c>
      <c r="G77" t="s">
        <v>13</v>
      </c>
      <c r="H77" t="s">
        <v>44</v>
      </c>
      <c r="I77" t="s">
        <v>35</v>
      </c>
      <c r="J77">
        <v>13578</v>
      </c>
      <c r="K77" t="s">
        <v>2052</v>
      </c>
    </row>
    <row r="78" spans="1:11" x14ac:dyDescent="0.35">
      <c r="A78" t="s">
        <v>123</v>
      </c>
      <c r="B78" s="1">
        <v>45864</v>
      </c>
      <c r="C78" s="1">
        <v>45869</v>
      </c>
      <c r="D78" t="s">
        <v>40</v>
      </c>
      <c r="E78" t="s">
        <v>30</v>
      </c>
      <c r="F78">
        <v>703873</v>
      </c>
      <c r="G78" t="s">
        <v>17</v>
      </c>
      <c r="H78" t="s">
        <v>43</v>
      </c>
      <c r="I78" t="s">
        <v>45</v>
      </c>
      <c r="J78">
        <v>13574</v>
      </c>
      <c r="K78" t="s">
        <v>2052</v>
      </c>
    </row>
    <row r="79" spans="1:11" x14ac:dyDescent="0.35">
      <c r="A79" t="s">
        <v>124</v>
      </c>
      <c r="B79" s="1">
        <v>45786</v>
      </c>
      <c r="C79" s="1">
        <v>45790</v>
      </c>
      <c r="D79" t="s">
        <v>39</v>
      </c>
      <c r="E79" t="s">
        <v>12</v>
      </c>
      <c r="F79">
        <v>899432</v>
      </c>
      <c r="G79" t="s">
        <v>17</v>
      </c>
      <c r="H79" t="s">
        <v>36</v>
      </c>
      <c r="I79" t="s">
        <v>32</v>
      </c>
      <c r="J79">
        <v>23612</v>
      </c>
      <c r="K79" t="s">
        <v>2052</v>
      </c>
    </row>
    <row r="80" spans="1:11" x14ac:dyDescent="0.35">
      <c r="A80" t="s">
        <v>125</v>
      </c>
      <c r="B80" s="1">
        <v>45941</v>
      </c>
      <c r="C80" s="1">
        <v>45945</v>
      </c>
      <c r="D80" t="s">
        <v>19</v>
      </c>
      <c r="E80" t="s">
        <v>30</v>
      </c>
      <c r="F80">
        <v>413644</v>
      </c>
      <c r="G80" t="s">
        <v>17</v>
      </c>
      <c r="H80" t="s">
        <v>15</v>
      </c>
      <c r="I80" t="s">
        <v>31</v>
      </c>
      <c r="J80">
        <v>16570</v>
      </c>
      <c r="K80" t="s">
        <v>2053</v>
      </c>
    </row>
    <row r="81" spans="1:11" x14ac:dyDescent="0.35">
      <c r="A81" t="s">
        <v>126</v>
      </c>
      <c r="B81" s="1">
        <v>45933</v>
      </c>
      <c r="C81" s="1">
        <v>45936</v>
      </c>
      <c r="D81" t="s">
        <v>8</v>
      </c>
      <c r="E81" t="s">
        <v>20</v>
      </c>
      <c r="F81">
        <v>925364</v>
      </c>
      <c r="G81" t="s">
        <v>26</v>
      </c>
      <c r="H81" t="s">
        <v>43</v>
      </c>
      <c r="I81" t="s">
        <v>29</v>
      </c>
      <c r="J81">
        <v>20957</v>
      </c>
      <c r="K81" t="s">
        <v>2053</v>
      </c>
    </row>
    <row r="82" spans="1:11" x14ac:dyDescent="0.35">
      <c r="A82" t="s">
        <v>127</v>
      </c>
      <c r="B82" s="1">
        <v>46003</v>
      </c>
      <c r="C82" s="1">
        <v>46005</v>
      </c>
      <c r="D82" t="s">
        <v>19</v>
      </c>
      <c r="E82" t="s">
        <v>12</v>
      </c>
      <c r="F82">
        <v>380830</v>
      </c>
      <c r="G82" t="s">
        <v>9</v>
      </c>
      <c r="H82" t="s">
        <v>44</v>
      </c>
      <c r="I82" t="s">
        <v>18</v>
      </c>
      <c r="J82">
        <v>14350</v>
      </c>
      <c r="K82" t="s">
        <v>2053</v>
      </c>
    </row>
    <row r="83" spans="1:11" x14ac:dyDescent="0.35">
      <c r="A83" t="s">
        <v>128</v>
      </c>
      <c r="B83" s="1">
        <v>45661</v>
      </c>
      <c r="C83" s="1">
        <v>45665</v>
      </c>
      <c r="D83" t="s">
        <v>8</v>
      </c>
      <c r="E83" t="s">
        <v>12</v>
      </c>
      <c r="F83">
        <v>915123</v>
      </c>
      <c r="G83" t="s">
        <v>17</v>
      </c>
      <c r="H83" t="s">
        <v>25</v>
      </c>
      <c r="I83" t="s">
        <v>44</v>
      </c>
      <c r="J83">
        <v>18638</v>
      </c>
      <c r="K83" t="s">
        <v>2053</v>
      </c>
    </row>
    <row r="84" spans="1:11" x14ac:dyDescent="0.35">
      <c r="A84" t="s">
        <v>129</v>
      </c>
      <c r="B84" s="1">
        <v>45664</v>
      </c>
      <c r="C84" s="1">
        <v>45665</v>
      </c>
      <c r="D84" t="s">
        <v>39</v>
      </c>
      <c r="E84" t="s">
        <v>12</v>
      </c>
      <c r="F84">
        <v>440429</v>
      </c>
      <c r="G84" t="s">
        <v>13</v>
      </c>
      <c r="H84" t="s">
        <v>43</v>
      </c>
      <c r="I84" t="s">
        <v>18</v>
      </c>
      <c r="J84">
        <v>24236</v>
      </c>
      <c r="K84" t="s">
        <v>2050</v>
      </c>
    </row>
    <row r="85" spans="1:11" x14ac:dyDescent="0.35">
      <c r="A85" t="s">
        <v>130</v>
      </c>
      <c r="B85" s="1">
        <v>46017</v>
      </c>
      <c r="C85" s="1">
        <v>46022</v>
      </c>
      <c r="D85" t="s">
        <v>8</v>
      </c>
      <c r="E85" t="s">
        <v>16</v>
      </c>
      <c r="F85">
        <v>748627</v>
      </c>
      <c r="G85" t="s">
        <v>26</v>
      </c>
      <c r="H85" t="s">
        <v>22</v>
      </c>
      <c r="I85" t="s">
        <v>42</v>
      </c>
      <c r="J85">
        <v>19280</v>
      </c>
      <c r="K85" t="s">
        <v>2051</v>
      </c>
    </row>
    <row r="86" spans="1:11" x14ac:dyDescent="0.35">
      <c r="A86" t="s">
        <v>131</v>
      </c>
      <c r="B86" s="1">
        <v>45936</v>
      </c>
      <c r="C86" s="1">
        <v>45939</v>
      </c>
      <c r="D86" t="s">
        <v>39</v>
      </c>
      <c r="E86" t="s">
        <v>38</v>
      </c>
      <c r="F86">
        <v>864557</v>
      </c>
      <c r="G86" t="s">
        <v>17</v>
      </c>
      <c r="H86" t="s">
        <v>42</v>
      </c>
      <c r="I86" t="s">
        <v>32</v>
      </c>
      <c r="J86">
        <v>24082</v>
      </c>
      <c r="K86" t="s">
        <v>2052</v>
      </c>
    </row>
    <row r="87" spans="1:11" x14ac:dyDescent="0.35">
      <c r="A87" t="s">
        <v>132</v>
      </c>
      <c r="B87" s="1">
        <v>45734</v>
      </c>
      <c r="C87" s="1">
        <v>45739</v>
      </c>
      <c r="D87" t="s">
        <v>39</v>
      </c>
      <c r="E87" t="s">
        <v>30</v>
      </c>
      <c r="F87">
        <v>404131</v>
      </c>
      <c r="G87" t="s">
        <v>13</v>
      </c>
      <c r="H87" t="s">
        <v>32</v>
      </c>
      <c r="I87" t="s">
        <v>11</v>
      </c>
      <c r="J87">
        <v>25327</v>
      </c>
      <c r="K87" t="s">
        <v>2053</v>
      </c>
    </row>
    <row r="88" spans="1:11" x14ac:dyDescent="0.35">
      <c r="A88" t="s">
        <v>133</v>
      </c>
      <c r="B88" s="1">
        <v>45778</v>
      </c>
      <c r="C88" s="1">
        <v>45779</v>
      </c>
      <c r="D88" t="s">
        <v>19</v>
      </c>
      <c r="E88" t="s">
        <v>23</v>
      </c>
      <c r="F88">
        <v>542469</v>
      </c>
      <c r="G88" t="s">
        <v>9</v>
      </c>
      <c r="H88" t="s">
        <v>45</v>
      </c>
      <c r="I88" t="s">
        <v>31</v>
      </c>
      <c r="J88">
        <v>16640</v>
      </c>
      <c r="K88" t="s">
        <v>2054</v>
      </c>
    </row>
    <row r="89" spans="1:11" x14ac:dyDescent="0.35">
      <c r="A89" t="s">
        <v>134</v>
      </c>
      <c r="B89" s="1">
        <v>45813</v>
      </c>
      <c r="C89" s="1">
        <v>45818</v>
      </c>
      <c r="D89" t="s">
        <v>40</v>
      </c>
      <c r="E89" t="s">
        <v>12</v>
      </c>
      <c r="F89">
        <v>380468</v>
      </c>
      <c r="G89" t="s">
        <v>13</v>
      </c>
      <c r="H89" t="s">
        <v>18</v>
      </c>
      <c r="I89" t="s">
        <v>44</v>
      </c>
      <c r="J89">
        <v>13076</v>
      </c>
      <c r="K89" t="s">
        <v>2053</v>
      </c>
    </row>
    <row r="90" spans="1:11" x14ac:dyDescent="0.35">
      <c r="A90" t="s">
        <v>135</v>
      </c>
      <c r="B90" s="1">
        <v>45857</v>
      </c>
      <c r="C90" s="1">
        <v>45862</v>
      </c>
      <c r="D90" t="s">
        <v>8</v>
      </c>
      <c r="E90" t="s">
        <v>20</v>
      </c>
      <c r="F90">
        <v>991550</v>
      </c>
      <c r="G90" t="s">
        <v>17</v>
      </c>
      <c r="H90" t="s">
        <v>29</v>
      </c>
      <c r="I90" t="s">
        <v>14</v>
      </c>
      <c r="J90">
        <v>21313</v>
      </c>
      <c r="K90" t="s">
        <v>2053</v>
      </c>
    </row>
    <row r="91" spans="1:11" x14ac:dyDescent="0.35">
      <c r="A91" t="s">
        <v>136</v>
      </c>
      <c r="B91" s="1">
        <v>45781</v>
      </c>
      <c r="C91" s="1">
        <v>45784</v>
      </c>
      <c r="D91" t="s">
        <v>19</v>
      </c>
      <c r="E91" t="s">
        <v>33</v>
      </c>
      <c r="F91">
        <v>503505</v>
      </c>
      <c r="G91" t="s">
        <v>13</v>
      </c>
      <c r="H91" t="s">
        <v>41</v>
      </c>
      <c r="I91" t="s">
        <v>18</v>
      </c>
      <c r="J91">
        <v>17369</v>
      </c>
      <c r="K91" t="s">
        <v>2054</v>
      </c>
    </row>
    <row r="92" spans="1:11" x14ac:dyDescent="0.35">
      <c r="A92" t="s">
        <v>137</v>
      </c>
      <c r="B92" s="1">
        <v>45659</v>
      </c>
      <c r="C92" s="1">
        <v>45663</v>
      </c>
      <c r="D92" t="s">
        <v>40</v>
      </c>
      <c r="E92" t="s">
        <v>12</v>
      </c>
      <c r="F92">
        <v>327336</v>
      </c>
      <c r="G92" t="s">
        <v>28</v>
      </c>
      <c r="H92" t="s">
        <v>24</v>
      </c>
      <c r="I92" t="s">
        <v>14</v>
      </c>
      <c r="J92">
        <v>12707</v>
      </c>
      <c r="K92" t="s">
        <v>2050</v>
      </c>
    </row>
    <row r="93" spans="1:11" x14ac:dyDescent="0.35">
      <c r="A93" t="s">
        <v>138</v>
      </c>
      <c r="B93" s="1">
        <v>45899</v>
      </c>
      <c r="C93" s="1">
        <v>45900</v>
      </c>
      <c r="D93" t="s">
        <v>8</v>
      </c>
      <c r="E93" t="s">
        <v>23</v>
      </c>
      <c r="F93">
        <v>266462</v>
      </c>
      <c r="G93" t="s">
        <v>13</v>
      </c>
      <c r="H93" t="s">
        <v>45</v>
      </c>
      <c r="I93" t="s">
        <v>21</v>
      </c>
      <c r="J93">
        <v>20894</v>
      </c>
      <c r="K93" t="s">
        <v>2050</v>
      </c>
    </row>
    <row r="94" spans="1:11" x14ac:dyDescent="0.35">
      <c r="A94" t="s">
        <v>139</v>
      </c>
      <c r="B94" s="1">
        <v>45897</v>
      </c>
      <c r="C94" s="1">
        <v>45899</v>
      </c>
      <c r="D94" t="s">
        <v>19</v>
      </c>
      <c r="E94" t="s">
        <v>33</v>
      </c>
      <c r="F94">
        <v>387486</v>
      </c>
      <c r="G94" t="s">
        <v>26</v>
      </c>
      <c r="H94" t="s">
        <v>22</v>
      </c>
      <c r="I94" t="s">
        <v>45</v>
      </c>
      <c r="J94">
        <v>16884</v>
      </c>
      <c r="K94" t="s">
        <v>2050</v>
      </c>
    </row>
    <row r="95" spans="1:11" x14ac:dyDescent="0.35">
      <c r="A95" t="s">
        <v>140</v>
      </c>
      <c r="B95" s="1">
        <v>45872</v>
      </c>
      <c r="C95" s="1">
        <v>45876</v>
      </c>
      <c r="D95" t="s">
        <v>39</v>
      </c>
      <c r="E95" t="s">
        <v>30</v>
      </c>
      <c r="F95">
        <v>765845</v>
      </c>
      <c r="G95" t="s">
        <v>28</v>
      </c>
      <c r="H95" t="s">
        <v>43</v>
      </c>
      <c r="I95" t="s">
        <v>29</v>
      </c>
      <c r="J95">
        <v>24847</v>
      </c>
      <c r="K95" t="s">
        <v>2052</v>
      </c>
    </row>
    <row r="96" spans="1:11" x14ac:dyDescent="0.35">
      <c r="A96" t="s">
        <v>141</v>
      </c>
      <c r="B96" s="1">
        <v>45789</v>
      </c>
      <c r="C96" s="1">
        <v>45793</v>
      </c>
      <c r="D96" t="s">
        <v>19</v>
      </c>
      <c r="E96" t="s">
        <v>38</v>
      </c>
      <c r="F96">
        <v>781006</v>
      </c>
      <c r="G96" t="s">
        <v>26</v>
      </c>
      <c r="H96" t="s">
        <v>10</v>
      </c>
      <c r="I96" t="s">
        <v>11</v>
      </c>
      <c r="J96">
        <v>14389</v>
      </c>
      <c r="K96" t="s">
        <v>2053</v>
      </c>
    </row>
    <row r="97" spans="1:11" x14ac:dyDescent="0.35">
      <c r="A97" t="s">
        <v>142</v>
      </c>
      <c r="B97" s="1">
        <v>45971</v>
      </c>
      <c r="C97" s="1">
        <v>45975</v>
      </c>
      <c r="D97" t="s">
        <v>8</v>
      </c>
      <c r="E97" t="s">
        <v>38</v>
      </c>
      <c r="F97">
        <v>512661</v>
      </c>
      <c r="G97" t="s">
        <v>17</v>
      </c>
      <c r="H97" t="s">
        <v>25</v>
      </c>
      <c r="I97" t="s">
        <v>18</v>
      </c>
      <c r="J97">
        <v>18683</v>
      </c>
      <c r="K97" t="s">
        <v>2052</v>
      </c>
    </row>
    <row r="98" spans="1:11" x14ac:dyDescent="0.35">
      <c r="A98" t="s">
        <v>143</v>
      </c>
      <c r="B98" s="1">
        <v>45771</v>
      </c>
      <c r="C98" s="1">
        <v>45774</v>
      </c>
      <c r="D98" t="s">
        <v>8</v>
      </c>
      <c r="E98" t="s">
        <v>33</v>
      </c>
      <c r="F98">
        <v>688715</v>
      </c>
      <c r="G98" t="s">
        <v>26</v>
      </c>
      <c r="H98" t="s">
        <v>31</v>
      </c>
      <c r="I98" t="s">
        <v>44</v>
      </c>
      <c r="J98">
        <v>19967</v>
      </c>
      <c r="K98" t="s">
        <v>2054</v>
      </c>
    </row>
    <row r="99" spans="1:11" x14ac:dyDescent="0.35">
      <c r="A99" t="s">
        <v>144</v>
      </c>
      <c r="B99" s="1">
        <v>45962</v>
      </c>
      <c r="C99" s="1">
        <v>45967</v>
      </c>
      <c r="D99" t="s">
        <v>19</v>
      </c>
      <c r="E99" t="s">
        <v>38</v>
      </c>
      <c r="F99">
        <v>855305</v>
      </c>
      <c r="G99" t="s">
        <v>17</v>
      </c>
      <c r="H99" t="s">
        <v>34</v>
      </c>
      <c r="I99" t="s">
        <v>21</v>
      </c>
      <c r="J99">
        <v>14680</v>
      </c>
      <c r="K99" t="s">
        <v>2054</v>
      </c>
    </row>
    <row r="100" spans="1:11" x14ac:dyDescent="0.35">
      <c r="A100" t="s">
        <v>145</v>
      </c>
      <c r="B100" s="1">
        <v>45949</v>
      </c>
      <c r="C100" s="1">
        <v>45954</v>
      </c>
      <c r="D100" t="s">
        <v>19</v>
      </c>
      <c r="E100" t="s">
        <v>16</v>
      </c>
      <c r="F100">
        <v>574651</v>
      </c>
      <c r="G100" t="s">
        <v>26</v>
      </c>
      <c r="H100" t="s">
        <v>35</v>
      </c>
      <c r="I100" t="s">
        <v>11</v>
      </c>
      <c r="J100">
        <v>16508</v>
      </c>
      <c r="K100" t="s">
        <v>2054</v>
      </c>
    </row>
    <row r="101" spans="1:11" x14ac:dyDescent="0.35">
      <c r="A101" t="s">
        <v>146</v>
      </c>
      <c r="B101" s="1">
        <v>45695</v>
      </c>
      <c r="C101" s="1">
        <v>45696</v>
      </c>
      <c r="D101" t="s">
        <v>39</v>
      </c>
      <c r="E101" t="s">
        <v>12</v>
      </c>
      <c r="F101">
        <v>518405</v>
      </c>
      <c r="G101" t="s">
        <v>28</v>
      </c>
      <c r="H101" t="s">
        <v>36</v>
      </c>
      <c r="I101" t="s">
        <v>24</v>
      </c>
      <c r="J101">
        <v>24350</v>
      </c>
      <c r="K101" t="s">
        <v>2054</v>
      </c>
    </row>
    <row r="102" spans="1:11" x14ac:dyDescent="0.35">
      <c r="A102" t="s">
        <v>147</v>
      </c>
      <c r="B102" s="1">
        <v>45810</v>
      </c>
      <c r="C102" s="1">
        <v>45815</v>
      </c>
      <c r="D102" t="s">
        <v>39</v>
      </c>
      <c r="E102" t="s">
        <v>20</v>
      </c>
      <c r="F102">
        <v>425615</v>
      </c>
      <c r="G102" t="s">
        <v>28</v>
      </c>
      <c r="H102" t="s">
        <v>14</v>
      </c>
      <c r="I102" t="s">
        <v>31</v>
      </c>
      <c r="J102">
        <v>26673</v>
      </c>
      <c r="K102" t="s">
        <v>2054</v>
      </c>
    </row>
    <row r="103" spans="1:11" x14ac:dyDescent="0.35">
      <c r="A103" t="s">
        <v>148</v>
      </c>
      <c r="B103" s="1">
        <v>45767</v>
      </c>
      <c r="C103" s="1">
        <v>45769</v>
      </c>
      <c r="D103" t="s">
        <v>8</v>
      </c>
      <c r="E103" t="s">
        <v>38</v>
      </c>
      <c r="F103">
        <v>394997</v>
      </c>
      <c r="G103" t="s">
        <v>17</v>
      </c>
      <c r="H103" t="s">
        <v>14</v>
      </c>
      <c r="I103" t="s">
        <v>42</v>
      </c>
      <c r="J103">
        <v>18431</v>
      </c>
      <c r="K103" t="s">
        <v>2054</v>
      </c>
    </row>
    <row r="104" spans="1:11" x14ac:dyDescent="0.35">
      <c r="A104" t="s">
        <v>149</v>
      </c>
      <c r="B104" s="1">
        <v>45813</v>
      </c>
      <c r="C104" s="1">
        <v>45816</v>
      </c>
      <c r="D104" t="s">
        <v>40</v>
      </c>
      <c r="E104" t="s">
        <v>20</v>
      </c>
      <c r="F104">
        <v>174400</v>
      </c>
      <c r="G104" t="s">
        <v>17</v>
      </c>
      <c r="H104" t="s">
        <v>34</v>
      </c>
      <c r="I104" t="s">
        <v>21</v>
      </c>
      <c r="J104">
        <v>15011</v>
      </c>
      <c r="K104" t="s">
        <v>2054</v>
      </c>
    </row>
    <row r="105" spans="1:11" x14ac:dyDescent="0.35">
      <c r="A105" t="s">
        <v>150</v>
      </c>
      <c r="B105" s="1">
        <v>45693</v>
      </c>
      <c r="C105" s="1">
        <v>45695</v>
      </c>
      <c r="D105" t="s">
        <v>8</v>
      </c>
      <c r="E105" t="s">
        <v>12</v>
      </c>
      <c r="F105">
        <v>616860</v>
      </c>
      <c r="G105" t="s">
        <v>9</v>
      </c>
      <c r="H105" t="s">
        <v>29</v>
      </c>
      <c r="I105" t="s">
        <v>44</v>
      </c>
      <c r="J105">
        <v>18538</v>
      </c>
      <c r="K105" t="s">
        <v>2050</v>
      </c>
    </row>
    <row r="106" spans="1:11" x14ac:dyDescent="0.35">
      <c r="A106" t="s">
        <v>151</v>
      </c>
      <c r="B106" s="1">
        <v>45821</v>
      </c>
      <c r="C106" s="1">
        <v>45826</v>
      </c>
      <c r="D106" t="s">
        <v>40</v>
      </c>
      <c r="E106" t="s">
        <v>27</v>
      </c>
      <c r="F106">
        <v>513218</v>
      </c>
      <c r="G106" t="s">
        <v>17</v>
      </c>
      <c r="H106" t="s">
        <v>25</v>
      </c>
      <c r="I106" t="s">
        <v>45</v>
      </c>
      <c r="J106">
        <v>13263</v>
      </c>
      <c r="K106" t="s">
        <v>2051</v>
      </c>
    </row>
    <row r="107" spans="1:11" x14ac:dyDescent="0.35">
      <c r="A107" t="s">
        <v>152</v>
      </c>
      <c r="B107" s="1">
        <v>45703</v>
      </c>
      <c r="C107" s="1">
        <v>45706</v>
      </c>
      <c r="D107" t="s">
        <v>8</v>
      </c>
      <c r="E107" t="s">
        <v>12</v>
      </c>
      <c r="F107">
        <v>367273</v>
      </c>
      <c r="G107" t="s">
        <v>28</v>
      </c>
      <c r="H107" t="s">
        <v>15</v>
      </c>
      <c r="I107" t="s">
        <v>42</v>
      </c>
      <c r="J107">
        <v>19138</v>
      </c>
      <c r="K107" t="s">
        <v>2052</v>
      </c>
    </row>
    <row r="108" spans="1:11" x14ac:dyDescent="0.35">
      <c r="A108" t="s">
        <v>153</v>
      </c>
      <c r="B108" s="1">
        <v>45706</v>
      </c>
      <c r="C108" s="1">
        <v>45707</v>
      </c>
      <c r="D108" t="s">
        <v>8</v>
      </c>
      <c r="E108" t="s">
        <v>30</v>
      </c>
      <c r="F108">
        <v>562112</v>
      </c>
      <c r="G108" t="s">
        <v>26</v>
      </c>
      <c r="H108" t="s">
        <v>15</v>
      </c>
      <c r="I108" t="s">
        <v>18</v>
      </c>
      <c r="J108">
        <v>19800</v>
      </c>
      <c r="K108" t="s">
        <v>2053</v>
      </c>
    </row>
    <row r="109" spans="1:11" x14ac:dyDescent="0.35">
      <c r="A109" t="s">
        <v>154</v>
      </c>
      <c r="B109" s="1">
        <v>45662</v>
      </c>
      <c r="C109" s="1">
        <v>45667</v>
      </c>
      <c r="D109" t="s">
        <v>8</v>
      </c>
      <c r="E109" t="s">
        <v>27</v>
      </c>
      <c r="F109">
        <v>937426</v>
      </c>
      <c r="G109" t="s">
        <v>17</v>
      </c>
      <c r="H109" t="s">
        <v>31</v>
      </c>
      <c r="I109" t="s">
        <v>42</v>
      </c>
      <c r="J109">
        <v>19042</v>
      </c>
      <c r="K109" t="s">
        <v>2054</v>
      </c>
    </row>
    <row r="110" spans="1:11" x14ac:dyDescent="0.35">
      <c r="A110" t="s">
        <v>155</v>
      </c>
      <c r="B110" s="1">
        <v>45752</v>
      </c>
      <c r="C110" s="1">
        <v>45756</v>
      </c>
      <c r="D110" t="s">
        <v>8</v>
      </c>
      <c r="E110" t="s">
        <v>23</v>
      </c>
      <c r="F110">
        <v>485187</v>
      </c>
      <c r="G110" t="s">
        <v>28</v>
      </c>
      <c r="H110" t="s">
        <v>22</v>
      </c>
      <c r="I110" t="s">
        <v>18</v>
      </c>
      <c r="J110">
        <v>20919</v>
      </c>
      <c r="K110" t="s">
        <v>2053</v>
      </c>
    </row>
    <row r="111" spans="1:11" x14ac:dyDescent="0.35">
      <c r="A111" t="s">
        <v>156</v>
      </c>
      <c r="B111" s="1">
        <v>45864</v>
      </c>
      <c r="C111" s="1">
        <v>45865</v>
      </c>
      <c r="D111" t="s">
        <v>8</v>
      </c>
      <c r="E111" t="s">
        <v>30</v>
      </c>
      <c r="F111">
        <v>926629</v>
      </c>
      <c r="G111" t="s">
        <v>26</v>
      </c>
      <c r="H111" t="s">
        <v>34</v>
      </c>
      <c r="I111" t="s">
        <v>18</v>
      </c>
      <c r="J111">
        <v>19685</v>
      </c>
      <c r="K111" t="s">
        <v>2053</v>
      </c>
    </row>
    <row r="112" spans="1:11" x14ac:dyDescent="0.35">
      <c r="A112" t="s">
        <v>157</v>
      </c>
      <c r="B112" s="1">
        <v>45844</v>
      </c>
      <c r="C112" s="1">
        <v>45849</v>
      </c>
      <c r="D112" t="s">
        <v>8</v>
      </c>
      <c r="E112" t="s">
        <v>23</v>
      </c>
      <c r="F112">
        <v>419391</v>
      </c>
      <c r="G112" t="s">
        <v>28</v>
      </c>
      <c r="H112" t="s">
        <v>43</v>
      </c>
      <c r="I112" t="s">
        <v>25</v>
      </c>
      <c r="J112">
        <v>20048</v>
      </c>
      <c r="K112" t="s">
        <v>2054</v>
      </c>
    </row>
    <row r="113" spans="1:11" x14ac:dyDescent="0.35">
      <c r="A113" t="s">
        <v>158</v>
      </c>
      <c r="B113" s="1">
        <v>45714</v>
      </c>
      <c r="C113" s="1">
        <v>45715</v>
      </c>
      <c r="D113" t="s">
        <v>39</v>
      </c>
      <c r="E113" t="s">
        <v>23</v>
      </c>
      <c r="F113">
        <v>304381</v>
      </c>
      <c r="G113" t="s">
        <v>17</v>
      </c>
      <c r="H113" t="s">
        <v>10</v>
      </c>
      <c r="I113" t="s">
        <v>41</v>
      </c>
      <c r="J113">
        <v>26572</v>
      </c>
      <c r="K113" t="s">
        <v>2050</v>
      </c>
    </row>
    <row r="114" spans="1:11" x14ac:dyDescent="0.35">
      <c r="A114" t="s">
        <v>159</v>
      </c>
      <c r="B114" s="1">
        <v>45929</v>
      </c>
      <c r="C114" s="1">
        <v>45933</v>
      </c>
      <c r="D114" t="s">
        <v>40</v>
      </c>
      <c r="E114" t="s">
        <v>12</v>
      </c>
      <c r="F114">
        <v>959682</v>
      </c>
      <c r="G114" t="s">
        <v>13</v>
      </c>
      <c r="H114" t="s">
        <v>42</v>
      </c>
      <c r="I114" t="s">
        <v>14</v>
      </c>
      <c r="J114">
        <v>12563</v>
      </c>
      <c r="K114" t="s">
        <v>2050</v>
      </c>
    </row>
    <row r="115" spans="1:11" x14ac:dyDescent="0.35">
      <c r="A115" t="s">
        <v>160</v>
      </c>
      <c r="B115" s="1">
        <v>45811</v>
      </c>
      <c r="C115" s="1">
        <v>45813</v>
      </c>
      <c r="D115" t="s">
        <v>39</v>
      </c>
      <c r="E115" t="s">
        <v>38</v>
      </c>
      <c r="F115">
        <v>360458</v>
      </c>
      <c r="G115" t="s">
        <v>13</v>
      </c>
      <c r="H115" t="s">
        <v>45</v>
      </c>
      <c r="I115" t="s">
        <v>45</v>
      </c>
      <c r="J115">
        <v>23662</v>
      </c>
      <c r="K115" t="s">
        <v>2050</v>
      </c>
    </row>
    <row r="116" spans="1:11" x14ac:dyDescent="0.35">
      <c r="A116" t="s">
        <v>161</v>
      </c>
      <c r="B116" s="1">
        <v>46003</v>
      </c>
      <c r="C116" s="1">
        <v>46006</v>
      </c>
      <c r="D116" t="s">
        <v>40</v>
      </c>
      <c r="E116" t="s">
        <v>16</v>
      </c>
      <c r="F116">
        <v>935021</v>
      </c>
      <c r="G116" t="s">
        <v>13</v>
      </c>
      <c r="H116" t="s">
        <v>31</v>
      </c>
      <c r="I116" t="s">
        <v>29</v>
      </c>
      <c r="J116">
        <v>13258</v>
      </c>
      <c r="K116" t="s">
        <v>2052</v>
      </c>
    </row>
    <row r="117" spans="1:11" x14ac:dyDescent="0.35">
      <c r="A117" t="s">
        <v>162</v>
      </c>
      <c r="B117" s="1">
        <v>45937</v>
      </c>
      <c r="C117" s="1">
        <v>45939</v>
      </c>
      <c r="D117" t="s">
        <v>40</v>
      </c>
      <c r="E117" t="s">
        <v>12</v>
      </c>
      <c r="F117">
        <v>728038</v>
      </c>
      <c r="G117" t="s">
        <v>17</v>
      </c>
      <c r="H117" t="s">
        <v>24</v>
      </c>
      <c r="I117" t="s">
        <v>32</v>
      </c>
      <c r="J117">
        <v>12386</v>
      </c>
      <c r="K117" t="s">
        <v>2053</v>
      </c>
    </row>
    <row r="118" spans="1:11" x14ac:dyDescent="0.35">
      <c r="A118" t="s">
        <v>163</v>
      </c>
      <c r="B118" s="1">
        <v>45698</v>
      </c>
      <c r="C118" s="1">
        <v>45700</v>
      </c>
      <c r="D118" t="s">
        <v>40</v>
      </c>
      <c r="E118" t="s">
        <v>16</v>
      </c>
      <c r="F118">
        <v>591146</v>
      </c>
      <c r="G118" t="s">
        <v>17</v>
      </c>
      <c r="H118" t="s">
        <v>22</v>
      </c>
      <c r="I118" t="s">
        <v>29</v>
      </c>
      <c r="J118">
        <v>13629</v>
      </c>
      <c r="K118" t="s">
        <v>2052</v>
      </c>
    </row>
    <row r="119" spans="1:11" x14ac:dyDescent="0.35">
      <c r="A119" t="s">
        <v>164</v>
      </c>
      <c r="B119" s="1">
        <v>45901</v>
      </c>
      <c r="C119" s="1">
        <v>45902</v>
      </c>
      <c r="D119" t="s">
        <v>8</v>
      </c>
      <c r="E119" t="s">
        <v>23</v>
      </c>
      <c r="F119">
        <v>164703</v>
      </c>
      <c r="G119" t="s">
        <v>17</v>
      </c>
      <c r="H119" t="s">
        <v>24</v>
      </c>
      <c r="I119" t="s">
        <v>22</v>
      </c>
      <c r="J119">
        <v>21334</v>
      </c>
      <c r="K119" t="s">
        <v>2053</v>
      </c>
    </row>
    <row r="120" spans="1:11" x14ac:dyDescent="0.35">
      <c r="A120" t="s">
        <v>165</v>
      </c>
      <c r="B120" s="1">
        <v>45817</v>
      </c>
      <c r="C120" s="1">
        <v>45821</v>
      </c>
      <c r="D120" t="s">
        <v>40</v>
      </c>
      <c r="E120" t="s">
        <v>12</v>
      </c>
      <c r="F120">
        <v>669939</v>
      </c>
      <c r="G120" t="s">
        <v>28</v>
      </c>
      <c r="H120" t="s">
        <v>29</v>
      </c>
      <c r="I120" t="s">
        <v>43</v>
      </c>
      <c r="J120">
        <v>12854</v>
      </c>
      <c r="K120" t="s">
        <v>2050</v>
      </c>
    </row>
    <row r="121" spans="1:11" x14ac:dyDescent="0.35">
      <c r="A121" t="s">
        <v>166</v>
      </c>
      <c r="B121" s="1">
        <v>45825</v>
      </c>
      <c r="C121" s="1">
        <v>45829</v>
      </c>
      <c r="D121" t="s">
        <v>8</v>
      </c>
      <c r="E121" t="s">
        <v>20</v>
      </c>
      <c r="F121">
        <v>854278</v>
      </c>
      <c r="G121" t="s">
        <v>26</v>
      </c>
      <c r="H121" t="s">
        <v>24</v>
      </c>
      <c r="I121" t="s">
        <v>22</v>
      </c>
      <c r="J121">
        <v>20022</v>
      </c>
      <c r="K121" t="s">
        <v>2051</v>
      </c>
    </row>
    <row r="122" spans="1:11" x14ac:dyDescent="0.35">
      <c r="A122" t="s">
        <v>167</v>
      </c>
      <c r="B122" s="1">
        <v>45732</v>
      </c>
      <c r="C122" s="1">
        <v>45734</v>
      </c>
      <c r="D122" t="s">
        <v>39</v>
      </c>
      <c r="E122" t="s">
        <v>16</v>
      </c>
      <c r="F122">
        <v>466821</v>
      </c>
      <c r="G122" t="s">
        <v>28</v>
      </c>
      <c r="H122" t="s">
        <v>29</v>
      </c>
      <c r="I122" t="s">
        <v>34</v>
      </c>
      <c r="J122">
        <v>25729</v>
      </c>
      <c r="K122" t="s">
        <v>2052</v>
      </c>
    </row>
    <row r="123" spans="1:11" x14ac:dyDescent="0.35">
      <c r="A123" t="s">
        <v>168</v>
      </c>
      <c r="B123" s="1">
        <v>45873</v>
      </c>
      <c r="C123" s="1">
        <v>45874</v>
      </c>
      <c r="D123" t="s">
        <v>19</v>
      </c>
      <c r="E123" t="s">
        <v>30</v>
      </c>
      <c r="F123">
        <v>327716</v>
      </c>
      <c r="G123" t="s">
        <v>26</v>
      </c>
      <c r="H123" t="s">
        <v>11</v>
      </c>
      <c r="I123" t="s">
        <v>32</v>
      </c>
      <c r="J123">
        <v>15513</v>
      </c>
      <c r="K123" t="s">
        <v>2053</v>
      </c>
    </row>
    <row r="124" spans="1:11" x14ac:dyDescent="0.35">
      <c r="A124" t="s">
        <v>169</v>
      </c>
      <c r="B124" s="1">
        <v>45749</v>
      </c>
      <c r="C124" s="1">
        <v>45752</v>
      </c>
      <c r="D124" t="s">
        <v>40</v>
      </c>
      <c r="E124" t="s">
        <v>33</v>
      </c>
      <c r="F124">
        <v>860694</v>
      </c>
      <c r="G124" t="s">
        <v>17</v>
      </c>
      <c r="H124" t="s">
        <v>45</v>
      </c>
      <c r="I124" t="s">
        <v>45</v>
      </c>
      <c r="J124">
        <v>14671</v>
      </c>
      <c r="K124" t="s">
        <v>2054</v>
      </c>
    </row>
    <row r="125" spans="1:11" x14ac:dyDescent="0.35">
      <c r="A125" t="s">
        <v>170</v>
      </c>
      <c r="B125" s="1">
        <v>45787</v>
      </c>
      <c r="C125" s="1">
        <v>45789</v>
      </c>
      <c r="D125" t="s">
        <v>39</v>
      </c>
      <c r="E125" t="s">
        <v>16</v>
      </c>
      <c r="F125">
        <v>748479</v>
      </c>
      <c r="G125" t="s">
        <v>9</v>
      </c>
      <c r="H125" t="s">
        <v>42</v>
      </c>
      <c r="I125" t="s">
        <v>10</v>
      </c>
      <c r="J125">
        <v>24598</v>
      </c>
      <c r="K125" t="s">
        <v>2053</v>
      </c>
    </row>
    <row r="126" spans="1:11" x14ac:dyDescent="0.35">
      <c r="A126" t="s">
        <v>171</v>
      </c>
      <c r="B126" s="1">
        <v>45673</v>
      </c>
      <c r="C126" s="1">
        <v>45675</v>
      </c>
      <c r="D126" t="s">
        <v>39</v>
      </c>
      <c r="E126" t="s">
        <v>20</v>
      </c>
      <c r="F126">
        <v>908665</v>
      </c>
      <c r="G126" t="s">
        <v>13</v>
      </c>
      <c r="H126" t="s">
        <v>43</v>
      </c>
      <c r="I126" t="s">
        <v>10</v>
      </c>
      <c r="J126">
        <v>25350</v>
      </c>
      <c r="K126" t="s">
        <v>2053</v>
      </c>
    </row>
    <row r="127" spans="1:11" x14ac:dyDescent="0.35">
      <c r="A127" t="s">
        <v>172</v>
      </c>
      <c r="B127" s="1">
        <v>45964</v>
      </c>
      <c r="C127" s="1">
        <v>45967</v>
      </c>
      <c r="D127" t="s">
        <v>39</v>
      </c>
      <c r="E127" t="s">
        <v>12</v>
      </c>
      <c r="F127">
        <v>447301</v>
      </c>
      <c r="G127" t="s">
        <v>9</v>
      </c>
      <c r="H127" t="s">
        <v>43</v>
      </c>
      <c r="I127" t="s">
        <v>11</v>
      </c>
      <c r="J127">
        <v>23207</v>
      </c>
      <c r="K127" t="s">
        <v>2054</v>
      </c>
    </row>
    <row r="128" spans="1:11" x14ac:dyDescent="0.35">
      <c r="A128" t="s">
        <v>173</v>
      </c>
      <c r="B128" s="1">
        <v>45828</v>
      </c>
      <c r="C128" s="1">
        <v>45830</v>
      </c>
      <c r="D128" t="s">
        <v>40</v>
      </c>
      <c r="E128" t="s">
        <v>27</v>
      </c>
      <c r="F128">
        <v>134669</v>
      </c>
      <c r="G128" t="s">
        <v>28</v>
      </c>
      <c r="H128" t="s">
        <v>14</v>
      </c>
      <c r="I128" t="s">
        <v>18</v>
      </c>
      <c r="J128">
        <v>13472</v>
      </c>
      <c r="K128" t="s">
        <v>2050</v>
      </c>
    </row>
    <row r="129" spans="1:11" x14ac:dyDescent="0.35">
      <c r="A129" t="s">
        <v>174</v>
      </c>
      <c r="B129" s="1">
        <v>45727</v>
      </c>
      <c r="C129" s="1">
        <v>45730</v>
      </c>
      <c r="D129" t="s">
        <v>8</v>
      </c>
      <c r="E129" t="s">
        <v>16</v>
      </c>
      <c r="F129">
        <v>436294</v>
      </c>
      <c r="G129" t="s">
        <v>9</v>
      </c>
      <c r="H129" t="s">
        <v>21</v>
      </c>
      <c r="I129" t="s">
        <v>14</v>
      </c>
      <c r="J129">
        <v>19751</v>
      </c>
      <c r="K129" t="s">
        <v>2050</v>
      </c>
    </row>
    <row r="130" spans="1:11" x14ac:dyDescent="0.35">
      <c r="A130" t="s">
        <v>175</v>
      </c>
      <c r="B130" s="1">
        <v>45813</v>
      </c>
      <c r="C130" s="1">
        <v>45816</v>
      </c>
      <c r="D130" t="s">
        <v>39</v>
      </c>
      <c r="E130" t="s">
        <v>12</v>
      </c>
      <c r="F130">
        <v>490151</v>
      </c>
      <c r="G130" t="s">
        <v>26</v>
      </c>
      <c r="H130" t="s">
        <v>10</v>
      </c>
      <c r="I130" t="s">
        <v>14</v>
      </c>
      <c r="J130">
        <v>24069</v>
      </c>
      <c r="K130" t="s">
        <v>2050</v>
      </c>
    </row>
    <row r="131" spans="1:11" x14ac:dyDescent="0.35">
      <c r="A131" t="s">
        <v>176</v>
      </c>
      <c r="B131" s="1">
        <v>45955</v>
      </c>
      <c r="C131" s="1">
        <v>45960</v>
      </c>
      <c r="D131" t="s">
        <v>8</v>
      </c>
      <c r="E131" t="s">
        <v>12</v>
      </c>
      <c r="F131">
        <v>244002</v>
      </c>
      <c r="G131" t="s">
        <v>26</v>
      </c>
      <c r="H131" t="s">
        <v>24</v>
      </c>
      <c r="I131" t="s">
        <v>29</v>
      </c>
      <c r="J131">
        <v>18130</v>
      </c>
      <c r="K131" t="s">
        <v>2052</v>
      </c>
    </row>
    <row r="132" spans="1:11" x14ac:dyDescent="0.35">
      <c r="A132" t="s">
        <v>177</v>
      </c>
      <c r="B132" s="1">
        <v>45928</v>
      </c>
      <c r="C132" s="1">
        <v>45933</v>
      </c>
      <c r="D132" t="s">
        <v>8</v>
      </c>
      <c r="E132" t="s">
        <v>23</v>
      </c>
      <c r="F132">
        <v>897621</v>
      </c>
      <c r="G132" t="s">
        <v>9</v>
      </c>
      <c r="H132" t="s">
        <v>25</v>
      </c>
      <c r="I132" t="s">
        <v>24</v>
      </c>
      <c r="J132">
        <v>21070</v>
      </c>
      <c r="K132" t="s">
        <v>2053</v>
      </c>
    </row>
    <row r="133" spans="1:11" x14ac:dyDescent="0.35">
      <c r="A133" t="s">
        <v>178</v>
      </c>
      <c r="B133" s="1">
        <v>45746</v>
      </c>
      <c r="C133" s="1">
        <v>45749</v>
      </c>
      <c r="D133" t="s">
        <v>40</v>
      </c>
      <c r="E133" t="s">
        <v>16</v>
      </c>
      <c r="F133">
        <v>464332</v>
      </c>
      <c r="G133" t="s">
        <v>9</v>
      </c>
      <c r="H133" t="s">
        <v>22</v>
      </c>
      <c r="I133" t="s">
        <v>10</v>
      </c>
      <c r="J133">
        <v>13898</v>
      </c>
      <c r="K133" t="s">
        <v>2052</v>
      </c>
    </row>
    <row r="134" spans="1:11" x14ac:dyDescent="0.35">
      <c r="A134" t="s">
        <v>179</v>
      </c>
      <c r="B134" s="1">
        <v>45801</v>
      </c>
      <c r="C134" s="1">
        <v>45805</v>
      </c>
      <c r="D134" t="s">
        <v>40</v>
      </c>
      <c r="E134" t="s">
        <v>23</v>
      </c>
      <c r="F134">
        <v>949715</v>
      </c>
      <c r="G134" t="s">
        <v>13</v>
      </c>
      <c r="H134" t="s">
        <v>35</v>
      </c>
      <c r="I134" t="s">
        <v>18</v>
      </c>
      <c r="J134">
        <v>15147</v>
      </c>
      <c r="K134" t="s">
        <v>2053</v>
      </c>
    </row>
    <row r="135" spans="1:11" x14ac:dyDescent="0.35">
      <c r="A135" t="s">
        <v>180</v>
      </c>
      <c r="B135" s="1">
        <v>45768</v>
      </c>
      <c r="C135" s="1">
        <v>45773</v>
      </c>
      <c r="D135" t="s">
        <v>19</v>
      </c>
      <c r="E135" t="s">
        <v>12</v>
      </c>
      <c r="F135">
        <v>187041</v>
      </c>
      <c r="G135" t="s">
        <v>26</v>
      </c>
      <c r="H135" t="s">
        <v>21</v>
      </c>
      <c r="I135" t="s">
        <v>44</v>
      </c>
      <c r="J135">
        <v>14930</v>
      </c>
      <c r="K135" t="s">
        <v>2054</v>
      </c>
    </row>
    <row r="136" spans="1:11" x14ac:dyDescent="0.35">
      <c r="A136" t="s">
        <v>181</v>
      </c>
      <c r="B136" s="1">
        <v>45944</v>
      </c>
      <c r="C136" s="1">
        <v>45945</v>
      </c>
      <c r="D136" t="s">
        <v>8</v>
      </c>
      <c r="E136" t="s">
        <v>30</v>
      </c>
      <c r="F136">
        <v>748322</v>
      </c>
      <c r="G136" t="s">
        <v>26</v>
      </c>
      <c r="H136" t="s">
        <v>32</v>
      </c>
      <c r="I136" t="s">
        <v>22</v>
      </c>
      <c r="J136">
        <v>19850</v>
      </c>
      <c r="K136" t="s">
        <v>2054</v>
      </c>
    </row>
    <row r="137" spans="1:11" x14ac:dyDescent="0.35">
      <c r="A137" t="s">
        <v>182</v>
      </c>
      <c r="B137" s="1">
        <v>45671</v>
      </c>
      <c r="C137" s="1">
        <v>45673</v>
      </c>
      <c r="D137" t="s">
        <v>8</v>
      </c>
      <c r="E137" t="s">
        <v>23</v>
      </c>
      <c r="F137">
        <v>917912</v>
      </c>
      <c r="G137" t="s">
        <v>17</v>
      </c>
      <c r="H137" t="s">
        <v>35</v>
      </c>
      <c r="I137" t="s">
        <v>24</v>
      </c>
      <c r="J137">
        <v>21590</v>
      </c>
      <c r="K137" t="s">
        <v>2054</v>
      </c>
    </row>
    <row r="138" spans="1:11" x14ac:dyDescent="0.35">
      <c r="A138" t="s">
        <v>183</v>
      </c>
      <c r="B138" s="1">
        <v>45914</v>
      </c>
      <c r="C138" s="1">
        <v>45915</v>
      </c>
      <c r="D138" t="s">
        <v>19</v>
      </c>
      <c r="E138" t="s">
        <v>30</v>
      </c>
      <c r="F138">
        <v>960543</v>
      </c>
      <c r="G138" t="s">
        <v>26</v>
      </c>
      <c r="H138" t="s">
        <v>10</v>
      </c>
      <c r="I138" t="s">
        <v>36</v>
      </c>
      <c r="J138">
        <v>15559</v>
      </c>
      <c r="K138" t="s">
        <v>2054</v>
      </c>
    </row>
    <row r="139" spans="1:11" x14ac:dyDescent="0.35">
      <c r="A139" t="s">
        <v>184</v>
      </c>
      <c r="B139" s="1">
        <v>45818</v>
      </c>
      <c r="C139" s="1">
        <v>45823</v>
      </c>
      <c r="D139" t="s">
        <v>19</v>
      </c>
      <c r="E139" t="s">
        <v>33</v>
      </c>
      <c r="F139">
        <v>672000</v>
      </c>
      <c r="G139" t="s">
        <v>13</v>
      </c>
      <c r="H139" t="s">
        <v>35</v>
      </c>
      <c r="I139" t="s">
        <v>34</v>
      </c>
      <c r="J139">
        <v>16946</v>
      </c>
      <c r="K139" t="s">
        <v>2052</v>
      </c>
    </row>
    <row r="140" spans="1:11" x14ac:dyDescent="0.35">
      <c r="A140" t="s">
        <v>185</v>
      </c>
      <c r="B140" s="1">
        <v>45823</v>
      </c>
      <c r="C140" s="1">
        <v>45825</v>
      </c>
      <c r="D140" t="s">
        <v>40</v>
      </c>
      <c r="E140" t="s">
        <v>23</v>
      </c>
      <c r="F140">
        <v>629068</v>
      </c>
      <c r="G140" t="s">
        <v>9</v>
      </c>
      <c r="H140" t="s">
        <v>45</v>
      </c>
      <c r="I140" t="s">
        <v>14</v>
      </c>
      <c r="J140">
        <v>15215</v>
      </c>
      <c r="K140" t="s">
        <v>2052</v>
      </c>
    </row>
    <row r="141" spans="1:11" x14ac:dyDescent="0.35">
      <c r="A141" t="s">
        <v>186</v>
      </c>
      <c r="B141" s="1">
        <v>45880</v>
      </c>
      <c r="C141" s="1">
        <v>45885</v>
      </c>
      <c r="D141" t="s">
        <v>40</v>
      </c>
      <c r="E141" t="s">
        <v>27</v>
      </c>
      <c r="F141">
        <v>231615</v>
      </c>
      <c r="G141" t="s">
        <v>9</v>
      </c>
      <c r="H141" t="s">
        <v>14</v>
      </c>
      <c r="I141" t="s">
        <v>25</v>
      </c>
      <c r="J141">
        <v>13467</v>
      </c>
      <c r="K141" t="s">
        <v>2052</v>
      </c>
    </row>
    <row r="142" spans="1:11" x14ac:dyDescent="0.35">
      <c r="A142" t="s">
        <v>187</v>
      </c>
      <c r="B142" s="1">
        <v>45948</v>
      </c>
      <c r="C142" s="1">
        <v>45952</v>
      </c>
      <c r="D142" t="s">
        <v>39</v>
      </c>
      <c r="E142" t="s">
        <v>27</v>
      </c>
      <c r="F142">
        <v>485436</v>
      </c>
      <c r="G142" t="s">
        <v>26</v>
      </c>
      <c r="H142" t="s">
        <v>25</v>
      </c>
      <c r="I142" t="s">
        <v>24</v>
      </c>
      <c r="J142">
        <v>25090</v>
      </c>
      <c r="K142" t="s">
        <v>2053</v>
      </c>
    </row>
    <row r="143" spans="1:11" x14ac:dyDescent="0.35">
      <c r="A143" t="s">
        <v>188</v>
      </c>
      <c r="B143" s="1">
        <v>45964</v>
      </c>
      <c r="C143" s="1">
        <v>45966</v>
      </c>
      <c r="D143" t="s">
        <v>8</v>
      </c>
      <c r="E143" t="s">
        <v>20</v>
      </c>
      <c r="F143">
        <v>138846</v>
      </c>
      <c r="G143" t="s">
        <v>28</v>
      </c>
      <c r="H143" t="s">
        <v>10</v>
      </c>
      <c r="I143" t="s">
        <v>18</v>
      </c>
      <c r="J143">
        <v>21495</v>
      </c>
      <c r="K143" t="s">
        <v>2053</v>
      </c>
    </row>
    <row r="144" spans="1:11" x14ac:dyDescent="0.35">
      <c r="A144" t="s">
        <v>189</v>
      </c>
      <c r="B144" s="1">
        <v>45684</v>
      </c>
      <c r="C144" s="1">
        <v>45686</v>
      </c>
      <c r="D144" t="s">
        <v>8</v>
      </c>
      <c r="E144" t="s">
        <v>33</v>
      </c>
      <c r="F144">
        <v>507840</v>
      </c>
      <c r="G144" t="s">
        <v>9</v>
      </c>
      <c r="H144" t="s">
        <v>21</v>
      </c>
      <c r="I144" t="s">
        <v>45</v>
      </c>
      <c r="J144">
        <v>20067</v>
      </c>
      <c r="K144" t="s">
        <v>2053</v>
      </c>
    </row>
    <row r="145" spans="1:11" x14ac:dyDescent="0.35">
      <c r="A145" t="s">
        <v>190</v>
      </c>
      <c r="B145" s="1">
        <v>45865</v>
      </c>
      <c r="C145" s="1">
        <v>45867</v>
      </c>
      <c r="D145" t="s">
        <v>40</v>
      </c>
      <c r="E145" t="s">
        <v>30</v>
      </c>
      <c r="F145">
        <v>402158</v>
      </c>
      <c r="G145" t="s">
        <v>9</v>
      </c>
      <c r="H145" t="s">
        <v>32</v>
      </c>
      <c r="I145" t="s">
        <v>45</v>
      </c>
      <c r="J145">
        <v>13941</v>
      </c>
      <c r="K145" t="s">
        <v>2050</v>
      </c>
    </row>
    <row r="146" spans="1:11" x14ac:dyDescent="0.35">
      <c r="A146" t="s">
        <v>191</v>
      </c>
      <c r="B146" s="1">
        <v>45891</v>
      </c>
      <c r="C146" s="1">
        <v>45892</v>
      </c>
      <c r="D146" t="s">
        <v>39</v>
      </c>
      <c r="E146" t="s">
        <v>30</v>
      </c>
      <c r="F146">
        <v>795225</v>
      </c>
      <c r="G146" t="s">
        <v>17</v>
      </c>
      <c r="H146" t="s">
        <v>45</v>
      </c>
      <c r="I146" t="s">
        <v>22</v>
      </c>
      <c r="J146">
        <v>24858</v>
      </c>
      <c r="K146" t="s">
        <v>2050</v>
      </c>
    </row>
    <row r="147" spans="1:11" x14ac:dyDescent="0.35">
      <c r="A147" t="s">
        <v>192</v>
      </c>
      <c r="B147" s="1">
        <v>45710</v>
      </c>
      <c r="C147" s="1">
        <v>45711</v>
      </c>
      <c r="D147" t="s">
        <v>39</v>
      </c>
      <c r="E147" t="s">
        <v>16</v>
      </c>
      <c r="F147">
        <v>181556</v>
      </c>
      <c r="G147" t="s">
        <v>28</v>
      </c>
      <c r="H147" t="s">
        <v>24</v>
      </c>
      <c r="I147" t="s">
        <v>10</v>
      </c>
      <c r="J147">
        <v>25331</v>
      </c>
      <c r="K147" t="s">
        <v>2050</v>
      </c>
    </row>
    <row r="148" spans="1:11" x14ac:dyDescent="0.35">
      <c r="A148" t="s">
        <v>193</v>
      </c>
      <c r="B148" s="1">
        <v>45765</v>
      </c>
      <c r="C148" s="1">
        <v>45770</v>
      </c>
      <c r="D148" t="s">
        <v>40</v>
      </c>
      <c r="E148" t="s">
        <v>20</v>
      </c>
      <c r="F148">
        <v>363989</v>
      </c>
      <c r="G148" t="s">
        <v>9</v>
      </c>
      <c r="H148" t="s">
        <v>34</v>
      </c>
      <c r="I148" t="s">
        <v>44</v>
      </c>
      <c r="J148">
        <v>15520</v>
      </c>
      <c r="K148" t="s">
        <v>2050</v>
      </c>
    </row>
    <row r="149" spans="1:11" x14ac:dyDescent="0.35">
      <c r="A149" t="s">
        <v>194</v>
      </c>
      <c r="B149" s="1">
        <v>45850</v>
      </c>
      <c r="C149" s="1">
        <v>45854</v>
      </c>
      <c r="D149" t="s">
        <v>39</v>
      </c>
      <c r="E149" t="s">
        <v>12</v>
      </c>
      <c r="F149">
        <v>942149</v>
      </c>
      <c r="G149" t="s">
        <v>9</v>
      </c>
      <c r="H149" t="s">
        <v>41</v>
      </c>
      <c r="I149" t="s">
        <v>41</v>
      </c>
      <c r="J149">
        <v>24229</v>
      </c>
      <c r="K149" t="s">
        <v>2050</v>
      </c>
    </row>
    <row r="150" spans="1:11" x14ac:dyDescent="0.35">
      <c r="A150" t="s">
        <v>195</v>
      </c>
      <c r="B150" s="1">
        <v>46016</v>
      </c>
      <c r="C150" s="1">
        <v>46018</v>
      </c>
      <c r="D150" t="s">
        <v>8</v>
      </c>
      <c r="E150" t="s">
        <v>12</v>
      </c>
      <c r="F150">
        <v>676915</v>
      </c>
      <c r="G150" t="s">
        <v>26</v>
      </c>
      <c r="H150" t="s">
        <v>34</v>
      </c>
      <c r="I150" t="s">
        <v>15</v>
      </c>
      <c r="J150">
        <v>18917</v>
      </c>
      <c r="K150" t="s">
        <v>2051</v>
      </c>
    </row>
    <row r="151" spans="1:11" x14ac:dyDescent="0.35">
      <c r="A151" t="s">
        <v>196</v>
      </c>
      <c r="B151" s="1">
        <v>45716</v>
      </c>
      <c r="C151" s="1">
        <v>45721</v>
      </c>
      <c r="D151" t="s">
        <v>19</v>
      </c>
      <c r="E151" t="s">
        <v>38</v>
      </c>
      <c r="F151">
        <v>838791</v>
      </c>
      <c r="G151" t="s">
        <v>26</v>
      </c>
      <c r="H151" t="s">
        <v>10</v>
      </c>
      <c r="I151" t="s">
        <v>45</v>
      </c>
      <c r="J151">
        <v>15434</v>
      </c>
      <c r="K151" t="s">
        <v>2052</v>
      </c>
    </row>
    <row r="152" spans="1:11" x14ac:dyDescent="0.35">
      <c r="A152" t="s">
        <v>197</v>
      </c>
      <c r="B152" s="1">
        <v>45669</v>
      </c>
      <c r="C152" s="1">
        <v>45674</v>
      </c>
      <c r="D152" t="s">
        <v>39</v>
      </c>
      <c r="E152" t="s">
        <v>30</v>
      </c>
      <c r="F152">
        <v>305972</v>
      </c>
      <c r="G152" t="s">
        <v>26</v>
      </c>
      <c r="H152" t="s">
        <v>42</v>
      </c>
      <c r="I152" t="s">
        <v>18</v>
      </c>
      <c r="J152">
        <v>25636</v>
      </c>
      <c r="K152" t="s">
        <v>2053</v>
      </c>
    </row>
    <row r="153" spans="1:11" x14ac:dyDescent="0.35">
      <c r="A153" t="s">
        <v>198</v>
      </c>
      <c r="B153" s="1">
        <v>45736</v>
      </c>
      <c r="C153" s="1">
        <v>45740</v>
      </c>
      <c r="D153" t="s">
        <v>19</v>
      </c>
      <c r="E153" t="s">
        <v>27</v>
      </c>
      <c r="F153">
        <v>986389</v>
      </c>
      <c r="G153" t="s">
        <v>26</v>
      </c>
      <c r="H153" t="s">
        <v>10</v>
      </c>
      <c r="I153" t="s">
        <v>44</v>
      </c>
      <c r="J153">
        <v>15955</v>
      </c>
      <c r="K153" t="s">
        <v>2054</v>
      </c>
    </row>
    <row r="154" spans="1:11" x14ac:dyDescent="0.35">
      <c r="A154" t="s">
        <v>199</v>
      </c>
      <c r="B154" s="1">
        <v>45788</v>
      </c>
      <c r="C154" s="1">
        <v>45791</v>
      </c>
      <c r="D154" t="s">
        <v>39</v>
      </c>
      <c r="E154" t="s">
        <v>12</v>
      </c>
      <c r="F154">
        <v>995904</v>
      </c>
      <c r="G154" t="s">
        <v>9</v>
      </c>
      <c r="H154" t="s">
        <v>29</v>
      </c>
      <c r="I154" t="s">
        <v>45</v>
      </c>
      <c r="J154">
        <v>23462</v>
      </c>
      <c r="K154" t="s">
        <v>2053</v>
      </c>
    </row>
    <row r="155" spans="1:11" x14ac:dyDescent="0.35">
      <c r="A155" t="s">
        <v>200</v>
      </c>
      <c r="B155" s="1">
        <v>45681</v>
      </c>
      <c r="C155" s="1">
        <v>45685</v>
      </c>
      <c r="D155" t="s">
        <v>19</v>
      </c>
      <c r="E155" t="s">
        <v>20</v>
      </c>
      <c r="F155">
        <v>170527</v>
      </c>
      <c r="G155" t="s">
        <v>28</v>
      </c>
      <c r="H155" t="s">
        <v>11</v>
      </c>
      <c r="I155" t="s">
        <v>34</v>
      </c>
      <c r="J155">
        <v>17070</v>
      </c>
      <c r="K155" t="s">
        <v>2050</v>
      </c>
    </row>
    <row r="156" spans="1:11" x14ac:dyDescent="0.35">
      <c r="A156" t="s">
        <v>201</v>
      </c>
      <c r="B156" s="1">
        <v>45856</v>
      </c>
      <c r="C156" s="1">
        <v>45858</v>
      </c>
      <c r="D156" t="s">
        <v>8</v>
      </c>
      <c r="E156" t="s">
        <v>27</v>
      </c>
      <c r="F156">
        <v>843575</v>
      </c>
      <c r="G156" t="s">
        <v>26</v>
      </c>
      <c r="H156" t="s">
        <v>34</v>
      </c>
      <c r="I156" t="s">
        <v>14</v>
      </c>
      <c r="J156">
        <v>19556</v>
      </c>
      <c r="K156" t="s">
        <v>2051</v>
      </c>
    </row>
    <row r="157" spans="1:11" x14ac:dyDescent="0.35">
      <c r="A157" t="s">
        <v>202</v>
      </c>
      <c r="B157" s="1">
        <v>45951</v>
      </c>
      <c r="C157" s="1">
        <v>45956</v>
      </c>
      <c r="D157" t="s">
        <v>19</v>
      </c>
      <c r="E157" t="s">
        <v>23</v>
      </c>
      <c r="F157">
        <v>614294</v>
      </c>
      <c r="G157" t="s">
        <v>9</v>
      </c>
      <c r="H157" t="s">
        <v>44</v>
      </c>
      <c r="I157" t="s">
        <v>45</v>
      </c>
      <c r="J157">
        <v>17748</v>
      </c>
      <c r="K157" t="s">
        <v>2052</v>
      </c>
    </row>
    <row r="158" spans="1:11" x14ac:dyDescent="0.35">
      <c r="A158" t="s">
        <v>203</v>
      </c>
      <c r="B158" s="1">
        <v>45884</v>
      </c>
      <c r="C158" s="1">
        <v>45888</v>
      </c>
      <c r="D158" t="s">
        <v>8</v>
      </c>
      <c r="E158" t="s">
        <v>12</v>
      </c>
      <c r="F158">
        <v>180558</v>
      </c>
      <c r="G158" t="s">
        <v>26</v>
      </c>
      <c r="H158" t="s">
        <v>32</v>
      </c>
      <c r="I158" t="s">
        <v>42</v>
      </c>
      <c r="J158">
        <v>17648</v>
      </c>
      <c r="K158" t="s">
        <v>2053</v>
      </c>
    </row>
    <row r="159" spans="1:11" x14ac:dyDescent="0.35">
      <c r="A159" t="s">
        <v>204</v>
      </c>
      <c r="B159" s="1">
        <v>45916</v>
      </c>
      <c r="C159" s="1">
        <v>45920</v>
      </c>
      <c r="D159" t="s">
        <v>8</v>
      </c>
      <c r="E159" t="s">
        <v>38</v>
      </c>
      <c r="F159">
        <v>316483</v>
      </c>
      <c r="G159" t="s">
        <v>13</v>
      </c>
      <c r="H159" t="s">
        <v>31</v>
      </c>
      <c r="I159" t="s">
        <v>18</v>
      </c>
      <c r="J159">
        <v>18266</v>
      </c>
      <c r="K159" t="s">
        <v>2054</v>
      </c>
    </row>
    <row r="160" spans="1:11" x14ac:dyDescent="0.35">
      <c r="A160" t="s">
        <v>205</v>
      </c>
      <c r="B160" s="1">
        <v>45807</v>
      </c>
      <c r="C160" s="1">
        <v>45811</v>
      </c>
      <c r="D160" t="s">
        <v>39</v>
      </c>
      <c r="E160" t="s">
        <v>30</v>
      </c>
      <c r="F160">
        <v>314462</v>
      </c>
      <c r="G160" t="s">
        <v>13</v>
      </c>
      <c r="H160" t="s">
        <v>44</v>
      </c>
      <c r="I160" t="s">
        <v>22</v>
      </c>
      <c r="J160">
        <v>24227</v>
      </c>
      <c r="K160" t="s">
        <v>2053</v>
      </c>
    </row>
    <row r="161" spans="1:11" x14ac:dyDescent="0.35">
      <c r="A161" t="s">
        <v>206</v>
      </c>
      <c r="B161" s="1">
        <v>45702</v>
      </c>
      <c r="C161" s="1">
        <v>45707</v>
      </c>
      <c r="D161" t="s">
        <v>19</v>
      </c>
      <c r="E161" t="s">
        <v>27</v>
      </c>
      <c r="F161">
        <v>535828</v>
      </c>
      <c r="G161" t="s">
        <v>9</v>
      </c>
      <c r="H161" t="s">
        <v>36</v>
      </c>
      <c r="I161" t="s">
        <v>15</v>
      </c>
      <c r="J161">
        <v>16263</v>
      </c>
      <c r="K161" t="s">
        <v>2052</v>
      </c>
    </row>
    <row r="162" spans="1:11" x14ac:dyDescent="0.35">
      <c r="A162" t="s">
        <v>207</v>
      </c>
      <c r="B162" s="1">
        <v>45718</v>
      </c>
      <c r="C162" s="1">
        <v>45719</v>
      </c>
      <c r="D162" t="s">
        <v>8</v>
      </c>
      <c r="E162" t="s">
        <v>12</v>
      </c>
      <c r="F162">
        <v>537338</v>
      </c>
      <c r="G162" t="s">
        <v>13</v>
      </c>
      <c r="H162" t="s">
        <v>10</v>
      </c>
      <c r="I162" t="s">
        <v>45</v>
      </c>
      <c r="J162">
        <v>18759</v>
      </c>
      <c r="K162" t="s">
        <v>2052</v>
      </c>
    </row>
    <row r="163" spans="1:11" x14ac:dyDescent="0.35">
      <c r="A163" t="s">
        <v>208</v>
      </c>
      <c r="B163" s="1">
        <v>45834</v>
      </c>
      <c r="C163" s="1">
        <v>45836</v>
      </c>
      <c r="D163" t="s">
        <v>8</v>
      </c>
      <c r="E163" t="s">
        <v>33</v>
      </c>
      <c r="F163">
        <v>848629</v>
      </c>
      <c r="G163" t="s">
        <v>17</v>
      </c>
      <c r="H163" t="s">
        <v>14</v>
      </c>
      <c r="I163" t="s">
        <v>31</v>
      </c>
      <c r="J163">
        <v>21012</v>
      </c>
      <c r="K163" t="s">
        <v>2052</v>
      </c>
    </row>
    <row r="164" spans="1:11" x14ac:dyDescent="0.35">
      <c r="A164" t="s">
        <v>209</v>
      </c>
      <c r="B164" s="1">
        <v>45974</v>
      </c>
      <c r="C164" s="1">
        <v>45979</v>
      </c>
      <c r="D164" t="s">
        <v>8</v>
      </c>
      <c r="E164" t="s">
        <v>20</v>
      </c>
      <c r="F164">
        <v>803856</v>
      </c>
      <c r="G164" t="s">
        <v>9</v>
      </c>
      <c r="H164" t="s">
        <v>42</v>
      </c>
      <c r="I164" t="s">
        <v>32</v>
      </c>
      <c r="J164">
        <v>21589</v>
      </c>
      <c r="K164" t="s">
        <v>2053</v>
      </c>
    </row>
    <row r="165" spans="1:11" x14ac:dyDescent="0.35">
      <c r="A165" t="s">
        <v>210</v>
      </c>
      <c r="B165" s="1">
        <v>45936</v>
      </c>
      <c r="C165" s="1">
        <v>45939</v>
      </c>
      <c r="D165" t="s">
        <v>40</v>
      </c>
      <c r="E165" t="s">
        <v>23</v>
      </c>
      <c r="F165">
        <v>150669</v>
      </c>
      <c r="G165" t="s">
        <v>13</v>
      </c>
      <c r="H165" t="s">
        <v>22</v>
      </c>
      <c r="I165" t="s">
        <v>44</v>
      </c>
      <c r="J165">
        <v>14464</v>
      </c>
      <c r="K165" t="s">
        <v>2053</v>
      </c>
    </row>
    <row r="166" spans="1:11" x14ac:dyDescent="0.35">
      <c r="A166" t="s">
        <v>211</v>
      </c>
      <c r="B166" s="1">
        <v>45778</v>
      </c>
      <c r="C166" s="1">
        <v>45782</v>
      </c>
      <c r="D166" t="s">
        <v>40</v>
      </c>
      <c r="E166" t="s">
        <v>20</v>
      </c>
      <c r="F166">
        <v>477085</v>
      </c>
      <c r="G166" t="s">
        <v>17</v>
      </c>
      <c r="H166" t="s">
        <v>24</v>
      </c>
      <c r="I166" t="s">
        <v>18</v>
      </c>
      <c r="J166">
        <v>15467</v>
      </c>
      <c r="K166" t="s">
        <v>2053</v>
      </c>
    </row>
    <row r="167" spans="1:11" x14ac:dyDescent="0.35">
      <c r="A167" t="s">
        <v>212</v>
      </c>
      <c r="B167" s="1">
        <v>45876</v>
      </c>
      <c r="C167" s="1">
        <v>45881</v>
      </c>
      <c r="D167" t="s">
        <v>39</v>
      </c>
      <c r="E167" t="s">
        <v>20</v>
      </c>
      <c r="F167">
        <v>138282</v>
      </c>
      <c r="G167" t="s">
        <v>17</v>
      </c>
      <c r="H167" t="s">
        <v>24</v>
      </c>
      <c r="I167" t="s">
        <v>21</v>
      </c>
      <c r="J167">
        <v>27289</v>
      </c>
      <c r="K167" t="s">
        <v>2053</v>
      </c>
    </row>
    <row r="168" spans="1:11" x14ac:dyDescent="0.35">
      <c r="A168" t="s">
        <v>213</v>
      </c>
      <c r="B168" s="1">
        <v>45737</v>
      </c>
      <c r="C168" s="1">
        <v>45741</v>
      </c>
      <c r="D168" t="s">
        <v>8</v>
      </c>
      <c r="E168" t="s">
        <v>27</v>
      </c>
      <c r="F168">
        <v>674591</v>
      </c>
      <c r="G168" t="s">
        <v>28</v>
      </c>
      <c r="H168" t="s">
        <v>41</v>
      </c>
      <c r="I168" t="s">
        <v>36</v>
      </c>
      <c r="J168">
        <v>19598</v>
      </c>
      <c r="K168" t="s">
        <v>2050</v>
      </c>
    </row>
    <row r="169" spans="1:11" x14ac:dyDescent="0.35">
      <c r="A169" t="s">
        <v>214</v>
      </c>
      <c r="B169" s="1">
        <v>45705</v>
      </c>
      <c r="C169" s="1">
        <v>45706</v>
      </c>
      <c r="D169" t="s">
        <v>8</v>
      </c>
      <c r="E169" t="s">
        <v>20</v>
      </c>
      <c r="F169">
        <v>222646</v>
      </c>
      <c r="G169" t="s">
        <v>13</v>
      </c>
      <c r="H169" t="s">
        <v>24</v>
      </c>
      <c r="I169" t="s">
        <v>24</v>
      </c>
      <c r="J169">
        <v>20066</v>
      </c>
      <c r="K169" t="s">
        <v>2051</v>
      </c>
    </row>
    <row r="170" spans="1:11" x14ac:dyDescent="0.35">
      <c r="A170" t="s">
        <v>215</v>
      </c>
      <c r="B170" s="1">
        <v>45666</v>
      </c>
      <c r="C170" s="1">
        <v>45671</v>
      </c>
      <c r="D170" t="s">
        <v>19</v>
      </c>
      <c r="E170" t="s">
        <v>23</v>
      </c>
      <c r="F170">
        <v>245751</v>
      </c>
      <c r="G170" t="s">
        <v>26</v>
      </c>
      <c r="H170" t="s">
        <v>45</v>
      </c>
      <c r="I170" t="s">
        <v>25</v>
      </c>
      <c r="J170">
        <v>17667</v>
      </c>
      <c r="K170" t="s">
        <v>2052</v>
      </c>
    </row>
    <row r="171" spans="1:11" x14ac:dyDescent="0.35">
      <c r="A171" t="s">
        <v>216</v>
      </c>
      <c r="B171" s="1">
        <v>45970</v>
      </c>
      <c r="C171" s="1">
        <v>45972</v>
      </c>
      <c r="D171" t="s">
        <v>19</v>
      </c>
      <c r="E171" t="s">
        <v>20</v>
      </c>
      <c r="F171">
        <v>523111</v>
      </c>
      <c r="G171" t="s">
        <v>26</v>
      </c>
      <c r="H171" t="s">
        <v>22</v>
      </c>
      <c r="I171" t="s">
        <v>24</v>
      </c>
      <c r="J171">
        <v>17936</v>
      </c>
      <c r="K171" t="s">
        <v>2053</v>
      </c>
    </row>
    <row r="172" spans="1:11" x14ac:dyDescent="0.35">
      <c r="A172" t="s">
        <v>217</v>
      </c>
      <c r="B172" s="1">
        <v>45726</v>
      </c>
      <c r="C172" s="1">
        <v>45731</v>
      </c>
      <c r="D172" t="s">
        <v>19</v>
      </c>
      <c r="E172" t="s">
        <v>38</v>
      </c>
      <c r="F172">
        <v>506546</v>
      </c>
      <c r="G172" t="s">
        <v>26</v>
      </c>
      <c r="H172" t="s">
        <v>31</v>
      </c>
      <c r="I172" t="s">
        <v>14</v>
      </c>
      <c r="J172">
        <v>15099</v>
      </c>
      <c r="K172" t="s">
        <v>2054</v>
      </c>
    </row>
    <row r="173" spans="1:11" x14ac:dyDescent="0.35">
      <c r="A173" t="s">
        <v>218</v>
      </c>
      <c r="B173" s="1">
        <v>45887</v>
      </c>
      <c r="C173" s="1">
        <v>45889</v>
      </c>
      <c r="D173" t="s">
        <v>8</v>
      </c>
      <c r="E173" t="s">
        <v>33</v>
      </c>
      <c r="F173">
        <v>699418</v>
      </c>
      <c r="G173" t="s">
        <v>13</v>
      </c>
      <c r="H173" t="s">
        <v>35</v>
      </c>
      <c r="I173" t="s">
        <v>43</v>
      </c>
      <c r="J173">
        <v>21467</v>
      </c>
      <c r="K173" t="s">
        <v>2053</v>
      </c>
    </row>
    <row r="174" spans="1:11" x14ac:dyDescent="0.35">
      <c r="A174" t="s">
        <v>219</v>
      </c>
      <c r="B174" s="1">
        <v>45659</v>
      </c>
      <c r="C174" s="1">
        <v>45663</v>
      </c>
      <c r="D174" t="s">
        <v>8</v>
      </c>
      <c r="E174" t="s">
        <v>16</v>
      </c>
      <c r="F174">
        <v>850524</v>
      </c>
      <c r="G174" t="s">
        <v>13</v>
      </c>
      <c r="H174" t="s">
        <v>14</v>
      </c>
      <c r="I174" t="s">
        <v>32</v>
      </c>
      <c r="J174">
        <v>20032</v>
      </c>
      <c r="K174" t="s">
        <v>2050</v>
      </c>
    </row>
    <row r="175" spans="1:11" x14ac:dyDescent="0.35">
      <c r="A175" t="s">
        <v>220</v>
      </c>
      <c r="B175" s="1">
        <v>45775</v>
      </c>
      <c r="C175" s="1">
        <v>45780</v>
      </c>
      <c r="D175" t="s">
        <v>8</v>
      </c>
      <c r="E175" t="s">
        <v>33</v>
      </c>
      <c r="F175">
        <v>508472</v>
      </c>
      <c r="G175" t="s">
        <v>9</v>
      </c>
      <c r="H175" t="s">
        <v>34</v>
      </c>
      <c r="I175" t="s">
        <v>43</v>
      </c>
      <c r="J175">
        <v>20320</v>
      </c>
      <c r="K175" t="s">
        <v>2051</v>
      </c>
    </row>
    <row r="176" spans="1:11" x14ac:dyDescent="0.35">
      <c r="A176" t="s">
        <v>221</v>
      </c>
      <c r="B176" s="1">
        <v>45676</v>
      </c>
      <c r="C176" s="1">
        <v>45681</v>
      </c>
      <c r="D176" t="s">
        <v>19</v>
      </c>
      <c r="E176" t="s">
        <v>16</v>
      </c>
      <c r="F176">
        <v>503736</v>
      </c>
      <c r="G176" t="s">
        <v>28</v>
      </c>
      <c r="H176" t="s">
        <v>15</v>
      </c>
      <c r="I176" t="s">
        <v>22</v>
      </c>
      <c r="J176">
        <v>16304</v>
      </c>
      <c r="K176" t="s">
        <v>2052</v>
      </c>
    </row>
    <row r="177" spans="1:11" x14ac:dyDescent="0.35">
      <c r="A177" t="s">
        <v>222</v>
      </c>
      <c r="B177" s="1">
        <v>45974</v>
      </c>
      <c r="C177" s="1">
        <v>45979</v>
      </c>
      <c r="D177" t="s">
        <v>39</v>
      </c>
      <c r="E177" t="s">
        <v>16</v>
      </c>
      <c r="F177">
        <v>838705</v>
      </c>
      <c r="G177" t="s">
        <v>13</v>
      </c>
      <c r="H177" t="s">
        <v>32</v>
      </c>
      <c r="I177" t="s">
        <v>43</v>
      </c>
      <c r="J177">
        <v>25824</v>
      </c>
      <c r="K177" t="s">
        <v>2053</v>
      </c>
    </row>
    <row r="178" spans="1:11" x14ac:dyDescent="0.35">
      <c r="A178" t="s">
        <v>223</v>
      </c>
      <c r="B178" s="1">
        <v>45658</v>
      </c>
      <c r="C178" s="1">
        <v>45661</v>
      </c>
      <c r="D178" t="s">
        <v>8</v>
      </c>
      <c r="E178" t="s">
        <v>12</v>
      </c>
      <c r="F178">
        <v>741082</v>
      </c>
      <c r="G178" t="s">
        <v>28</v>
      </c>
      <c r="H178" t="s">
        <v>14</v>
      </c>
      <c r="I178" t="s">
        <v>21</v>
      </c>
      <c r="J178">
        <v>18183</v>
      </c>
      <c r="K178" t="s">
        <v>2054</v>
      </c>
    </row>
    <row r="179" spans="1:11" x14ac:dyDescent="0.35">
      <c r="A179" t="s">
        <v>224</v>
      </c>
      <c r="B179" s="1">
        <v>45945</v>
      </c>
      <c r="C179" s="1">
        <v>45948</v>
      </c>
      <c r="D179" t="s">
        <v>8</v>
      </c>
      <c r="E179" t="s">
        <v>38</v>
      </c>
      <c r="F179">
        <v>883547</v>
      </c>
      <c r="G179" t="s">
        <v>13</v>
      </c>
      <c r="H179" t="s">
        <v>14</v>
      </c>
      <c r="I179" t="s">
        <v>14</v>
      </c>
      <c r="J179">
        <v>19163</v>
      </c>
      <c r="K179" t="s">
        <v>2053</v>
      </c>
    </row>
    <row r="180" spans="1:11" x14ac:dyDescent="0.35">
      <c r="A180" t="s">
        <v>225</v>
      </c>
      <c r="B180" s="1">
        <v>45908</v>
      </c>
      <c r="C180" s="1">
        <v>45911</v>
      </c>
      <c r="D180" t="s">
        <v>40</v>
      </c>
      <c r="E180" t="s">
        <v>30</v>
      </c>
      <c r="F180">
        <v>895515</v>
      </c>
      <c r="G180" t="s">
        <v>13</v>
      </c>
      <c r="H180" t="s">
        <v>44</v>
      </c>
      <c r="I180" t="s">
        <v>41</v>
      </c>
      <c r="J180">
        <v>13423</v>
      </c>
      <c r="K180" t="s">
        <v>2052</v>
      </c>
    </row>
    <row r="181" spans="1:11" x14ac:dyDescent="0.35">
      <c r="A181" t="s">
        <v>226</v>
      </c>
      <c r="B181" s="1">
        <v>45949</v>
      </c>
      <c r="C181" s="1">
        <v>45954</v>
      </c>
      <c r="D181" t="s">
        <v>39</v>
      </c>
      <c r="E181" t="s">
        <v>30</v>
      </c>
      <c r="F181">
        <v>599689</v>
      </c>
      <c r="G181" t="s">
        <v>9</v>
      </c>
      <c r="H181" t="s">
        <v>11</v>
      </c>
      <c r="I181" t="s">
        <v>36</v>
      </c>
      <c r="J181">
        <v>25502</v>
      </c>
      <c r="K181" t="s">
        <v>2052</v>
      </c>
    </row>
    <row r="182" spans="1:11" x14ac:dyDescent="0.35">
      <c r="A182" t="s">
        <v>227</v>
      </c>
      <c r="B182" s="1">
        <v>46003</v>
      </c>
      <c r="C182" s="1">
        <v>46008</v>
      </c>
      <c r="D182" t="s">
        <v>19</v>
      </c>
      <c r="E182" t="s">
        <v>38</v>
      </c>
      <c r="F182">
        <v>432467</v>
      </c>
      <c r="G182" t="s">
        <v>28</v>
      </c>
      <c r="H182" t="s">
        <v>11</v>
      </c>
      <c r="I182" t="s">
        <v>21</v>
      </c>
      <c r="J182">
        <v>15160</v>
      </c>
      <c r="K182" t="s">
        <v>2052</v>
      </c>
    </row>
    <row r="183" spans="1:11" x14ac:dyDescent="0.35">
      <c r="A183" t="s">
        <v>228</v>
      </c>
      <c r="B183" s="1">
        <v>45842</v>
      </c>
      <c r="C183" s="1">
        <v>45847</v>
      </c>
      <c r="D183" t="s">
        <v>19</v>
      </c>
      <c r="E183" t="s">
        <v>16</v>
      </c>
      <c r="F183">
        <v>672573</v>
      </c>
      <c r="G183" t="s">
        <v>13</v>
      </c>
      <c r="H183" t="s">
        <v>25</v>
      </c>
      <c r="I183" t="s">
        <v>31</v>
      </c>
      <c r="J183">
        <v>15463</v>
      </c>
      <c r="K183" t="s">
        <v>2053</v>
      </c>
    </row>
    <row r="184" spans="1:11" x14ac:dyDescent="0.35">
      <c r="A184" t="s">
        <v>229</v>
      </c>
      <c r="B184" s="1">
        <v>45766</v>
      </c>
      <c r="C184" s="1">
        <v>45768</v>
      </c>
      <c r="D184" t="s">
        <v>8</v>
      </c>
      <c r="E184" t="s">
        <v>12</v>
      </c>
      <c r="F184">
        <v>706858</v>
      </c>
      <c r="G184" t="s">
        <v>28</v>
      </c>
      <c r="H184" t="s">
        <v>11</v>
      </c>
      <c r="I184" t="s">
        <v>29</v>
      </c>
      <c r="J184">
        <v>19186</v>
      </c>
      <c r="K184" t="s">
        <v>2053</v>
      </c>
    </row>
    <row r="185" spans="1:11" x14ac:dyDescent="0.35">
      <c r="A185" t="s">
        <v>230</v>
      </c>
      <c r="B185" s="1">
        <v>45904</v>
      </c>
      <c r="C185" s="1">
        <v>45905</v>
      </c>
      <c r="D185" t="s">
        <v>19</v>
      </c>
      <c r="E185" t="s">
        <v>23</v>
      </c>
      <c r="F185">
        <v>426169</v>
      </c>
      <c r="G185" t="s">
        <v>9</v>
      </c>
      <c r="H185" t="s">
        <v>32</v>
      </c>
      <c r="I185" t="s">
        <v>11</v>
      </c>
      <c r="J185">
        <v>16587</v>
      </c>
      <c r="K185" t="s">
        <v>2053</v>
      </c>
    </row>
    <row r="186" spans="1:11" x14ac:dyDescent="0.35">
      <c r="A186" t="s">
        <v>231</v>
      </c>
      <c r="B186" s="1">
        <v>45711</v>
      </c>
      <c r="C186" s="1">
        <v>45715</v>
      </c>
      <c r="D186" t="s">
        <v>39</v>
      </c>
      <c r="E186" t="s">
        <v>12</v>
      </c>
      <c r="F186">
        <v>753524</v>
      </c>
      <c r="G186" t="s">
        <v>26</v>
      </c>
      <c r="H186" t="s">
        <v>25</v>
      </c>
      <c r="I186" t="s">
        <v>32</v>
      </c>
      <c r="J186">
        <v>24750</v>
      </c>
      <c r="K186" t="s">
        <v>2053</v>
      </c>
    </row>
    <row r="187" spans="1:11" x14ac:dyDescent="0.35">
      <c r="A187" t="s">
        <v>232</v>
      </c>
      <c r="B187" s="1">
        <v>45812</v>
      </c>
      <c r="C187" s="1">
        <v>45813</v>
      </c>
      <c r="D187" t="s">
        <v>40</v>
      </c>
      <c r="E187" t="s">
        <v>20</v>
      </c>
      <c r="F187">
        <v>707178</v>
      </c>
      <c r="G187" t="s">
        <v>28</v>
      </c>
      <c r="H187" t="s">
        <v>24</v>
      </c>
      <c r="I187" t="s">
        <v>44</v>
      </c>
      <c r="J187">
        <v>15573</v>
      </c>
      <c r="K187" t="s">
        <v>2050</v>
      </c>
    </row>
    <row r="188" spans="1:11" x14ac:dyDescent="0.35">
      <c r="A188" t="s">
        <v>233</v>
      </c>
      <c r="B188" s="1">
        <v>45777</v>
      </c>
      <c r="C188" s="1">
        <v>45779</v>
      </c>
      <c r="D188" t="s">
        <v>19</v>
      </c>
      <c r="E188" t="s">
        <v>12</v>
      </c>
      <c r="F188">
        <v>735741</v>
      </c>
      <c r="G188" t="s">
        <v>26</v>
      </c>
      <c r="H188" t="s">
        <v>14</v>
      </c>
      <c r="I188" t="s">
        <v>15</v>
      </c>
      <c r="J188">
        <v>14432</v>
      </c>
      <c r="K188" t="s">
        <v>2051</v>
      </c>
    </row>
    <row r="189" spans="1:11" x14ac:dyDescent="0.35">
      <c r="A189" t="s">
        <v>234</v>
      </c>
      <c r="B189" s="1">
        <v>45875</v>
      </c>
      <c r="C189" s="1">
        <v>45876</v>
      </c>
      <c r="D189" t="s">
        <v>40</v>
      </c>
      <c r="E189" t="s">
        <v>23</v>
      </c>
      <c r="F189">
        <v>825740</v>
      </c>
      <c r="G189" t="s">
        <v>9</v>
      </c>
      <c r="H189" t="s">
        <v>35</v>
      </c>
      <c r="I189" t="s">
        <v>44</v>
      </c>
      <c r="J189">
        <v>15487</v>
      </c>
      <c r="K189" t="s">
        <v>2052</v>
      </c>
    </row>
    <row r="190" spans="1:11" x14ac:dyDescent="0.35">
      <c r="A190" t="s">
        <v>235</v>
      </c>
      <c r="B190" s="1">
        <v>45817</v>
      </c>
      <c r="C190" s="1">
        <v>45819</v>
      </c>
      <c r="D190" t="s">
        <v>19</v>
      </c>
      <c r="E190" t="s">
        <v>38</v>
      </c>
      <c r="F190">
        <v>712994</v>
      </c>
      <c r="G190" t="s">
        <v>13</v>
      </c>
      <c r="H190" t="s">
        <v>11</v>
      </c>
      <c r="I190" t="s">
        <v>32</v>
      </c>
      <c r="J190">
        <v>14524</v>
      </c>
      <c r="K190" t="s">
        <v>2053</v>
      </c>
    </row>
    <row r="191" spans="1:11" x14ac:dyDescent="0.35">
      <c r="A191" t="s">
        <v>236</v>
      </c>
      <c r="B191" s="1">
        <v>45775</v>
      </c>
      <c r="C191" s="1">
        <v>45777</v>
      </c>
      <c r="D191" t="s">
        <v>40</v>
      </c>
      <c r="E191" t="s">
        <v>30</v>
      </c>
      <c r="F191">
        <v>968891</v>
      </c>
      <c r="G191" t="s">
        <v>26</v>
      </c>
      <c r="H191" t="s">
        <v>11</v>
      </c>
      <c r="I191" t="s">
        <v>21</v>
      </c>
      <c r="J191">
        <v>14184</v>
      </c>
      <c r="K191" t="s">
        <v>2054</v>
      </c>
    </row>
    <row r="192" spans="1:11" x14ac:dyDescent="0.35">
      <c r="A192" t="s">
        <v>237</v>
      </c>
      <c r="B192" s="1">
        <v>45974</v>
      </c>
      <c r="C192" s="1">
        <v>45975</v>
      </c>
      <c r="D192" t="s">
        <v>39</v>
      </c>
      <c r="E192" t="s">
        <v>30</v>
      </c>
      <c r="F192">
        <v>680819</v>
      </c>
      <c r="G192" t="s">
        <v>9</v>
      </c>
      <c r="H192" t="s">
        <v>34</v>
      </c>
      <c r="I192" t="s">
        <v>45</v>
      </c>
      <c r="J192">
        <v>24873</v>
      </c>
      <c r="K192" t="s">
        <v>2053</v>
      </c>
    </row>
    <row r="193" spans="1:11" x14ac:dyDescent="0.35">
      <c r="A193" t="s">
        <v>238</v>
      </c>
      <c r="B193" s="1">
        <v>45795</v>
      </c>
      <c r="C193" s="1">
        <v>45799</v>
      </c>
      <c r="D193" t="s">
        <v>8</v>
      </c>
      <c r="E193" t="s">
        <v>33</v>
      </c>
      <c r="F193">
        <v>587335</v>
      </c>
      <c r="G193" t="s">
        <v>26</v>
      </c>
      <c r="H193" t="s">
        <v>34</v>
      </c>
      <c r="I193" t="s">
        <v>18</v>
      </c>
      <c r="J193">
        <v>19817</v>
      </c>
      <c r="K193" t="s">
        <v>2053</v>
      </c>
    </row>
    <row r="194" spans="1:11" x14ac:dyDescent="0.35">
      <c r="A194" t="s">
        <v>239</v>
      </c>
      <c r="B194" s="1">
        <v>45850</v>
      </c>
      <c r="C194" s="1">
        <v>45855</v>
      </c>
      <c r="D194" t="s">
        <v>40</v>
      </c>
      <c r="E194" t="s">
        <v>16</v>
      </c>
      <c r="F194">
        <v>144417</v>
      </c>
      <c r="G194" t="s">
        <v>9</v>
      </c>
      <c r="H194" t="s">
        <v>35</v>
      </c>
      <c r="I194" t="s">
        <v>35</v>
      </c>
      <c r="J194">
        <v>14097</v>
      </c>
      <c r="K194" t="s">
        <v>2054</v>
      </c>
    </row>
    <row r="195" spans="1:11" x14ac:dyDescent="0.35">
      <c r="A195" t="s">
        <v>240</v>
      </c>
      <c r="B195" s="1">
        <v>46009</v>
      </c>
      <c r="C195" s="1">
        <v>46014</v>
      </c>
      <c r="D195" t="s">
        <v>8</v>
      </c>
      <c r="E195" t="s">
        <v>33</v>
      </c>
      <c r="F195">
        <v>129245</v>
      </c>
      <c r="G195" t="s">
        <v>28</v>
      </c>
      <c r="H195" t="s">
        <v>45</v>
      </c>
      <c r="I195" t="s">
        <v>32</v>
      </c>
      <c r="J195">
        <v>21593</v>
      </c>
      <c r="K195" t="s">
        <v>2050</v>
      </c>
    </row>
    <row r="196" spans="1:11" x14ac:dyDescent="0.35">
      <c r="A196" t="s">
        <v>241</v>
      </c>
      <c r="B196" s="1">
        <v>45906</v>
      </c>
      <c r="C196" s="1">
        <v>45911</v>
      </c>
      <c r="D196" t="s">
        <v>40</v>
      </c>
      <c r="E196" t="s">
        <v>33</v>
      </c>
      <c r="F196">
        <v>952963</v>
      </c>
      <c r="G196" t="s">
        <v>28</v>
      </c>
      <c r="H196" t="s">
        <v>32</v>
      </c>
      <c r="I196" t="s">
        <v>18</v>
      </c>
      <c r="J196">
        <v>14828</v>
      </c>
      <c r="K196" t="s">
        <v>2050</v>
      </c>
    </row>
    <row r="197" spans="1:11" x14ac:dyDescent="0.35">
      <c r="A197" t="s">
        <v>242</v>
      </c>
      <c r="B197" s="1">
        <v>45832</v>
      </c>
      <c r="C197" s="1">
        <v>45837</v>
      </c>
      <c r="D197" t="s">
        <v>39</v>
      </c>
      <c r="E197" t="s">
        <v>20</v>
      </c>
      <c r="F197">
        <v>882281</v>
      </c>
      <c r="G197" t="s">
        <v>9</v>
      </c>
      <c r="H197" t="s">
        <v>32</v>
      </c>
      <c r="I197" t="s">
        <v>36</v>
      </c>
      <c r="J197">
        <v>26313</v>
      </c>
      <c r="K197" t="s">
        <v>2050</v>
      </c>
    </row>
    <row r="198" spans="1:11" x14ac:dyDescent="0.35">
      <c r="A198" t="s">
        <v>243</v>
      </c>
      <c r="B198" s="1">
        <v>45871</v>
      </c>
      <c r="C198" s="1">
        <v>45874</v>
      </c>
      <c r="D198" t="s">
        <v>40</v>
      </c>
      <c r="E198" t="s">
        <v>20</v>
      </c>
      <c r="F198">
        <v>742856</v>
      </c>
      <c r="G198" t="s">
        <v>17</v>
      </c>
      <c r="H198" t="s">
        <v>36</v>
      </c>
      <c r="I198" t="s">
        <v>21</v>
      </c>
      <c r="J198">
        <v>14489</v>
      </c>
      <c r="K198" t="s">
        <v>2052</v>
      </c>
    </row>
    <row r="199" spans="1:11" x14ac:dyDescent="0.35">
      <c r="A199" t="s">
        <v>244</v>
      </c>
      <c r="B199" s="1">
        <v>45720</v>
      </c>
      <c r="C199" s="1">
        <v>45722</v>
      </c>
      <c r="D199" t="s">
        <v>8</v>
      </c>
      <c r="E199" t="s">
        <v>33</v>
      </c>
      <c r="F199">
        <v>589683</v>
      </c>
      <c r="G199" t="s">
        <v>28</v>
      </c>
      <c r="H199" t="s">
        <v>36</v>
      </c>
      <c r="I199" t="s">
        <v>35</v>
      </c>
      <c r="J199">
        <v>20670</v>
      </c>
      <c r="K199" t="s">
        <v>2053</v>
      </c>
    </row>
    <row r="200" spans="1:11" x14ac:dyDescent="0.35">
      <c r="A200" t="s">
        <v>245</v>
      </c>
      <c r="B200" s="1">
        <v>45867</v>
      </c>
      <c r="C200" s="1">
        <v>45869</v>
      </c>
      <c r="D200" t="s">
        <v>40</v>
      </c>
      <c r="E200" t="s">
        <v>30</v>
      </c>
      <c r="F200">
        <v>644290</v>
      </c>
      <c r="G200" t="s">
        <v>9</v>
      </c>
      <c r="H200" t="s">
        <v>35</v>
      </c>
      <c r="I200" t="s">
        <v>29</v>
      </c>
      <c r="J200">
        <v>13940</v>
      </c>
      <c r="K200" t="s">
        <v>2052</v>
      </c>
    </row>
    <row r="201" spans="1:11" x14ac:dyDescent="0.35">
      <c r="A201" t="s">
        <v>246</v>
      </c>
      <c r="B201" s="1">
        <v>45726</v>
      </c>
      <c r="C201" s="1">
        <v>45730</v>
      </c>
      <c r="D201" t="s">
        <v>40</v>
      </c>
      <c r="E201" t="s">
        <v>33</v>
      </c>
      <c r="F201">
        <v>764875</v>
      </c>
      <c r="G201" t="s">
        <v>9</v>
      </c>
      <c r="H201" t="s">
        <v>25</v>
      </c>
      <c r="I201" t="s">
        <v>34</v>
      </c>
      <c r="J201">
        <v>14981</v>
      </c>
      <c r="K201" t="s">
        <v>2054</v>
      </c>
    </row>
    <row r="202" spans="1:11" x14ac:dyDescent="0.35">
      <c r="A202" t="s">
        <v>247</v>
      </c>
      <c r="B202" s="1">
        <v>45939</v>
      </c>
      <c r="C202" s="1">
        <v>45942</v>
      </c>
      <c r="D202" t="s">
        <v>40</v>
      </c>
      <c r="E202" t="s">
        <v>23</v>
      </c>
      <c r="F202">
        <v>745757</v>
      </c>
      <c r="G202" t="s">
        <v>17</v>
      </c>
      <c r="H202" t="s">
        <v>32</v>
      </c>
      <c r="I202" t="s">
        <v>43</v>
      </c>
      <c r="J202">
        <v>15569</v>
      </c>
      <c r="K202" t="s">
        <v>2054</v>
      </c>
    </row>
    <row r="203" spans="1:11" x14ac:dyDescent="0.35">
      <c r="A203" t="s">
        <v>248</v>
      </c>
      <c r="B203" s="1">
        <v>45743</v>
      </c>
      <c r="C203" s="1">
        <v>45744</v>
      </c>
      <c r="D203" t="s">
        <v>40</v>
      </c>
      <c r="E203" t="s">
        <v>33</v>
      </c>
      <c r="F203">
        <v>647582</v>
      </c>
      <c r="G203" t="s">
        <v>28</v>
      </c>
      <c r="H203" t="s">
        <v>43</v>
      </c>
      <c r="I203" t="s">
        <v>36</v>
      </c>
      <c r="J203">
        <v>14363</v>
      </c>
      <c r="K203" t="s">
        <v>2054</v>
      </c>
    </row>
    <row r="204" spans="1:11" x14ac:dyDescent="0.35">
      <c r="A204" t="s">
        <v>249</v>
      </c>
      <c r="B204" s="1">
        <v>45844</v>
      </c>
      <c r="C204" s="1">
        <v>45846</v>
      </c>
      <c r="D204" t="s">
        <v>40</v>
      </c>
      <c r="E204" t="s">
        <v>23</v>
      </c>
      <c r="F204">
        <v>795861</v>
      </c>
      <c r="G204" t="s">
        <v>28</v>
      </c>
      <c r="H204" t="s">
        <v>24</v>
      </c>
      <c r="I204" t="s">
        <v>15</v>
      </c>
      <c r="J204">
        <v>15152</v>
      </c>
      <c r="K204" t="s">
        <v>2054</v>
      </c>
    </row>
    <row r="205" spans="1:11" x14ac:dyDescent="0.35">
      <c r="A205" t="s">
        <v>250</v>
      </c>
      <c r="B205" s="1">
        <v>45876</v>
      </c>
      <c r="C205" s="1">
        <v>45881</v>
      </c>
      <c r="D205" t="s">
        <v>19</v>
      </c>
      <c r="E205" t="s">
        <v>33</v>
      </c>
      <c r="F205">
        <v>295595</v>
      </c>
      <c r="G205" t="s">
        <v>26</v>
      </c>
      <c r="H205" t="s">
        <v>36</v>
      </c>
      <c r="I205" t="s">
        <v>45</v>
      </c>
      <c r="J205">
        <v>17108</v>
      </c>
      <c r="K205" t="s">
        <v>2054</v>
      </c>
    </row>
    <row r="206" spans="1:11" x14ac:dyDescent="0.35">
      <c r="A206" t="s">
        <v>251</v>
      </c>
      <c r="B206" s="1">
        <v>45879</v>
      </c>
      <c r="C206" s="1">
        <v>45880</v>
      </c>
      <c r="D206" t="s">
        <v>19</v>
      </c>
      <c r="E206" t="s">
        <v>16</v>
      </c>
      <c r="F206">
        <v>246212</v>
      </c>
      <c r="G206" t="s">
        <v>9</v>
      </c>
      <c r="H206" t="s">
        <v>34</v>
      </c>
      <c r="I206" t="s">
        <v>14</v>
      </c>
      <c r="J206">
        <v>15933</v>
      </c>
      <c r="K206" t="s">
        <v>2054</v>
      </c>
    </row>
    <row r="207" spans="1:11" x14ac:dyDescent="0.35">
      <c r="A207" t="s">
        <v>252</v>
      </c>
      <c r="B207" s="1">
        <v>45792</v>
      </c>
      <c r="C207" s="1">
        <v>45797</v>
      </c>
      <c r="D207" t="s">
        <v>40</v>
      </c>
      <c r="E207" t="s">
        <v>16</v>
      </c>
      <c r="F207">
        <v>664256</v>
      </c>
      <c r="G207" t="s">
        <v>9</v>
      </c>
      <c r="H207" t="s">
        <v>14</v>
      </c>
      <c r="I207" t="s">
        <v>36</v>
      </c>
      <c r="J207">
        <v>13673</v>
      </c>
      <c r="K207" t="s">
        <v>2054</v>
      </c>
    </row>
    <row r="208" spans="1:11" x14ac:dyDescent="0.35">
      <c r="A208" t="s">
        <v>253</v>
      </c>
      <c r="B208" s="1">
        <v>45813</v>
      </c>
      <c r="C208" s="1">
        <v>45816</v>
      </c>
      <c r="D208" t="s">
        <v>19</v>
      </c>
      <c r="E208" t="s">
        <v>30</v>
      </c>
      <c r="F208">
        <v>401380</v>
      </c>
      <c r="G208" t="s">
        <v>28</v>
      </c>
      <c r="H208" t="s">
        <v>15</v>
      </c>
      <c r="I208" t="s">
        <v>18</v>
      </c>
      <c r="J208">
        <v>15569</v>
      </c>
      <c r="K208" t="s">
        <v>2050</v>
      </c>
    </row>
    <row r="209" spans="1:11" x14ac:dyDescent="0.35">
      <c r="A209" t="s">
        <v>254</v>
      </c>
      <c r="B209" s="1">
        <v>45803</v>
      </c>
      <c r="C209" s="1">
        <v>45807</v>
      </c>
      <c r="D209" t="s">
        <v>8</v>
      </c>
      <c r="E209" t="s">
        <v>20</v>
      </c>
      <c r="F209">
        <v>257796</v>
      </c>
      <c r="G209" t="s">
        <v>9</v>
      </c>
      <c r="H209" t="s">
        <v>10</v>
      </c>
      <c r="I209" t="s">
        <v>10</v>
      </c>
      <c r="J209">
        <v>19951</v>
      </c>
      <c r="K209" t="s">
        <v>2051</v>
      </c>
    </row>
    <row r="210" spans="1:11" x14ac:dyDescent="0.35">
      <c r="A210" t="s">
        <v>255</v>
      </c>
      <c r="B210" s="1">
        <v>45792</v>
      </c>
      <c r="C210" s="1">
        <v>45795</v>
      </c>
      <c r="D210" t="s">
        <v>39</v>
      </c>
      <c r="E210" t="s">
        <v>20</v>
      </c>
      <c r="F210">
        <v>144457</v>
      </c>
      <c r="G210" t="s">
        <v>26</v>
      </c>
      <c r="H210" t="s">
        <v>29</v>
      </c>
      <c r="I210" t="s">
        <v>29</v>
      </c>
      <c r="J210">
        <v>26795</v>
      </c>
      <c r="K210" t="s">
        <v>2052</v>
      </c>
    </row>
    <row r="211" spans="1:11" x14ac:dyDescent="0.35">
      <c r="A211" t="s">
        <v>256</v>
      </c>
      <c r="B211" s="1">
        <v>45705</v>
      </c>
      <c r="C211" s="1">
        <v>45710</v>
      </c>
      <c r="D211" t="s">
        <v>8</v>
      </c>
      <c r="E211" t="s">
        <v>27</v>
      </c>
      <c r="F211">
        <v>325254</v>
      </c>
      <c r="G211" t="s">
        <v>9</v>
      </c>
      <c r="H211" t="s">
        <v>14</v>
      </c>
      <c r="I211" t="s">
        <v>41</v>
      </c>
      <c r="J211">
        <v>20092</v>
      </c>
      <c r="K211" t="s">
        <v>2053</v>
      </c>
    </row>
    <row r="212" spans="1:11" x14ac:dyDescent="0.35">
      <c r="A212" t="s">
        <v>257</v>
      </c>
      <c r="B212" s="1">
        <v>45870</v>
      </c>
      <c r="C212" s="1">
        <v>45875</v>
      </c>
      <c r="D212" t="s">
        <v>39</v>
      </c>
      <c r="E212" t="s">
        <v>30</v>
      </c>
      <c r="F212">
        <v>807827</v>
      </c>
      <c r="G212" t="s">
        <v>13</v>
      </c>
      <c r="H212" t="s">
        <v>32</v>
      </c>
      <c r="I212" t="s">
        <v>43</v>
      </c>
      <c r="J212">
        <v>25749</v>
      </c>
      <c r="K212" t="s">
        <v>2054</v>
      </c>
    </row>
    <row r="213" spans="1:11" x14ac:dyDescent="0.35">
      <c r="A213" t="s">
        <v>258</v>
      </c>
      <c r="B213" s="1">
        <v>45932</v>
      </c>
      <c r="C213" s="1">
        <v>45933</v>
      </c>
      <c r="D213" t="s">
        <v>39</v>
      </c>
      <c r="E213" t="s">
        <v>23</v>
      </c>
      <c r="F213">
        <v>218791</v>
      </c>
      <c r="G213" t="s">
        <v>9</v>
      </c>
      <c r="H213" t="s">
        <v>22</v>
      </c>
      <c r="I213" t="s">
        <v>10</v>
      </c>
      <c r="J213">
        <v>26779</v>
      </c>
      <c r="K213" t="s">
        <v>2053</v>
      </c>
    </row>
    <row r="214" spans="1:11" x14ac:dyDescent="0.35">
      <c r="A214" t="s">
        <v>259</v>
      </c>
      <c r="B214" s="1">
        <v>45875</v>
      </c>
      <c r="C214" s="1">
        <v>45876</v>
      </c>
      <c r="D214" t="s">
        <v>39</v>
      </c>
      <c r="E214" t="s">
        <v>20</v>
      </c>
      <c r="F214">
        <v>180556</v>
      </c>
      <c r="G214" t="s">
        <v>9</v>
      </c>
      <c r="H214" t="s">
        <v>32</v>
      </c>
      <c r="I214" t="s">
        <v>43</v>
      </c>
      <c r="J214">
        <v>25402</v>
      </c>
      <c r="K214" t="s">
        <v>2053</v>
      </c>
    </row>
    <row r="215" spans="1:11" x14ac:dyDescent="0.35">
      <c r="A215" t="s">
        <v>260</v>
      </c>
      <c r="B215" s="1">
        <v>45981</v>
      </c>
      <c r="C215" s="1">
        <v>45983</v>
      </c>
      <c r="D215" t="s">
        <v>8</v>
      </c>
      <c r="E215" t="s">
        <v>27</v>
      </c>
      <c r="F215">
        <v>119240</v>
      </c>
      <c r="G215" t="s">
        <v>26</v>
      </c>
      <c r="H215" t="s">
        <v>15</v>
      </c>
      <c r="I215" t="s">
        <v>31</v>
      </c>
      <c r="J215">
        <v>19777</v>
      </c>
      <c r="K215" t="s">
        <v>2054</v>
      </c>
    </row>
    <row r="216" spans="1:11" x14ac:dyDescent="0.35">
      <c r="A216" t="s">
        <v>261</v>
      </c>
      <c r="B216" s="1">
        <v>45780</v>
      </c>
      <c r="C216" s="1">
        <v>45784</v>
      </c>
      <c r="D216" t="s">
        <v>40</v>
      </c>
      <c r="E216" t="s">
        <v>33</v>
      </c>
      <c r="F216">
        <v>830459</v>
      </c>
      <c r="G216" t="s">
        <v>28</v>
      </c>
      <c r="H216" t="s">
        <v>25</v>
      </c>
      <c r="I216" t="s">
        <v>43</v>
      </c>
      <c r="J216">
        <v>14807</v>
      </c>
      <c r="K216" t="s">
        <v>2050</v>
      </c>
    </row>
    <row r="217" spans="1:11" x14ac:dyDescent="0.35">
      <c r="A217" t="s">
        <v>262</v>
      </c>
      <c r="B217" s="1">
        <v>45703</v>
      </c>
      <c r="C217" s="1">
        <v>45704</v>
      </c>
      <c r="D217" t="s">
        <v>19</v>
      </c>
      <c r="E217" t="s">
        <v>27</v>
      </c>
      <c r="F217">
        <v>376997</v>
      </c>
      <c r="G217" t="s">
        <v>9</v>
      </c>
      <c r="H217" t="s">
        <v>35</v>
      </c>
      <c r="I217" t="s">
        <v>29</v>
      </c>
      <c r="J217">
        <v>15886</v>
      </c>
      <c r="K217" t="s">
        <v>2050</v>
      </c>
    </row>
    <row r="218" spans="1:11" x14ac:dyDescent="0.35">
      <c r="A218" t="s">
        <v>263</v>
      </c>
      <c r="B218" s="1">
        <v>45884</v>
      </c>
      <c r="C218" s="1">
        <v>45885</v>
      </c>
      <c r="D218" t="s">
        <v>39</v>
      </c>
      <c r="E218" t="s">
        <v>12</v>
      </c>
      <c r="F218">
        <v>783021</v>
      </c>
      <c r="G218" t="s">
        <v>28</v>
      </c>
      <c r="H218" t="s">
        <v>44</v>
      </c>
      <c r="I218" t="s">
        <v>14</v>
      </c>
      <c r="J218">
        <v>24262</v>
      </c>
      <c r="K218" t="s">
        <v>2050</v>
      </c>
    </row>
    <row r="219" spans="1:11" x14ac:dyDescent="0.35">
      <c r="A219" t="s">
        <v>264</v>
      </c>
      <c r="B219" s="1">
        <v>45881</v>
      </c>
      <c r="C219" s="1">
        <v>45885</v>
      </c>
      <c r="D219" t="s">
        <v>39</v>
      </c>
      <c r="E219" t="s">
        <v>38</v>
      </c>
      <c r="F219">
        <v>165296</v>
      </c>
      <c r="G219" t="s">
        <v>9</v>
      </c>
      <c r="H219" t="s">
        <v>34</v>
      </c>
      <c r="I219" t="s">
        <v>14</v>
      </c>
      <c r="J219">
        <v>24538</v>
      </c>
      <c r="K219" t="s">
        <v>2052</v>
      </c>
    </row>
    <row r="220" spans="1:11" x14ac:dyDescent="0.35">
      <c r="A220" t="s">
        <v>265</v>
      </c>
      <c r="B220" s="1">
        <v>45716</v>
      </c>
      <c r="C220" s="1">
        <v>45721</v>
      </c>
      <c r="D220" t="s">
        <v>39</v>
      </c>
      <c r="E220" t="s">
        <v>33</v>
      </c>
      <c r="F220">
        <v>526118</v>
      </c>
      <c r="G220" t="s">
        <v>13</v>
      </c>
      <c r="H220" t="s">
        <v>29</v>
      </c>
      <c r="I220" t="s">
        <v>24</v>
      </c>
      <c r="J220">
        <v>25666</v>
      </c>
      <c r="K220" t="s">
        <v>2053</v>
      </c>
    </row>
    <row r="221" spans="1:11" x14ac:dyDescent="0.35">
      <c r="A221" t="s">
        <v>266</v>
      </c>
      <c r="B221" s="1">
        <v>45727</v>
      </c>
      <c r="C221" s="1">
        <v>45731</v>
      </c>
      <c r="D221" t="s">
        <v>8</v>
      </c>
      <c r="E221" t="s">
        <v>38</v>
      </c>
      <c r="F221">
        <v>868557</v>
      </c>
      <c r="G221" t="s">
        <v>9</v>
      </c>
      <c r="H221" t="s">
        <v>31</v>
      </c>
      <c r="I221" t="s">
        <v>10</v>
      </c>
      <c r="J221">
        <v>18470</v>
      </c>
      <c r="K221" t="s">
        <v>2052</v>
      </c>
    </row>
    <row r="222" spans="1:11" x14ac:dyDescent="0.35">
      <c r="A222" t="s">
        <v>267</v>
      </c>
      <c r="B222" s="1">
        <v>45671</v>
      </c>
      <c r="C222" s="1">
        <v>45676</v>
      </c>
      <c r="D222" t="s">
        <v>19</v>
      </c>
      <c r="E222" t="s">
        <v>33</v>
      </c>
      <c r="F222">
        <v>594950</v>
      </c>
      <c r="G222" t="s">
        <v>13</v>
      </c>
      <c r="H222" t="s">
        <v>15</v>
      </c>
      <c r="I222" t="s">
        <v>24</v>
      </c>
      <c r="J222">
        <v>16768</v>
      </c>
      <c r="K222" t="s">
        <v>2053</v>
      </c>
    </row>
    <row r="223" spans="1:11" x14ac:dyDescent="0.35">
      <c r="A223" t="s">
        <v>268</v>
      </c>
      <c r="B223" s="1">
        <v>45892</v>
      </c>
      <c r="C223" s="1">
        <v>45896</v>
      </c>
      <c r="D223" t="s">
        <v>40</v>
      </c>
      <c r="E223" t="s">
        <v>38</v>
      </c>
      <c r="F223">
        <v>706323</v>
      </c>
      <c r="G223" t="s">
        <v>13</v>
      </c>
      <c r="H223" t="s">
        <v>43</v>
      </c>
      <c r="I223" t="s">
        <v>31</v>
      </c>
      <c r="J223">
        <v>12673</v>
      </c>
      <c r="K223" t="s">
        <v>2050</v>
      </c>
    </row>
    <row r="224" spans="1:11" x14ac:dyDescent="0.35">
      <c r="A224" t="s">
        <v>269</v>
      </c>
      <c r="B224" s="1">
        <v>45888</v>
      </c>
      <c r="C224" s="1">
        <v>45891</v>
      </c>
      <c r="D224" t="s">
        <v>8</v>
      </c>
      <c r="E224" t="s">
        <v>12</v>
      </c>
      <c r="F224">
        <v>516151</v>
      </c>
      <c r="G224" t="s">
        <v>17</v>
      </c>
      <c r="H224" t="s">
        <v>21</v>
      </c>
      <c r="I224" t="s">
        <v>22</v>
      </c>
      <c r="J224">
        <v>18591</v>
      </c>
      <c r="K224" t="s">
        <v>2051</v>
      </c>
    </row>
    <row r="225" spans="1:11" x14ac:dyDescent="0.35">
      <c r="A225" t="s">
        <v>270</v>
      </c>
      <c r="B225" s="1">
        <v>45836</v>
      </c>
      <c r="C225" s="1">
        <v>45837</v>
      </c>
      <c r="D225" t="s">
        <v>19</v>
      </c>
      <c r="E225" t="s">
        <v>27</v>
      </c>
      <c r="F225">
        <v>322689</v>
      </c>
      <c r="G225" t="s">
        <v>28</v>
      </c>
      <c r="H225" t="s">
        <v>32</v>
      </c>
      <c r="I225" t="s">
        <v>41</v>
      </c>
      <c r="J225">
        <v>16785</v>
      </c>
      <c r="K225" t="s">
        <v>2052</v>
      </c>
    </row>
    <row r="226" spans="1:11" x14ac:dyDescent="0.35">
      <c r="A226" t="s">
        <v>271</v>
      </c>
      <c r="B226" s="1">
        <v>45781</v>
      </c>
      <c r="C226" s="1">
        <v>45786</v>
      </c>
      <c r="D226" t="s">
        <v>39</v>
      </c>
      <c r="E226" t="s">
        <v>16</v>
      </c>
      <c r="F226">
        <v>756138</v>
      </c>
      <c r="G226" t="s">
        <v>13</v>
      </c>
      <c r="H226" t="s">
        <v>24</v>
      </c>
      <c r="I226" t="s">
        <v>14</v>
      </c>
      <c r="J226">
        <v>24773</v>
      </c>
      <c r="K226" t="s">
        <v>2053</v>
      </c>
    </row>
    <row r="227" spans="1:11" x14ac:dyDescent="0.35">
      <c r="A227" t="s">
        <v>272</v>
      </c>
      <c r="B227" s="1">
        <v>45891</v>
      </c>
      <c r="C227" s="1">
        <v>45892</v>
      </c>
      <c r="D227" t="s">
        <v>39</v>
      </c>
      <c r="E227" t="s">
        <v>12</v>
      </c>
      <c r="F227">
        <v>635784</v>
      </c>
      <c r="G227" t="s">
        <v>26</v>
      </c>
      <c r="H227" t="s">
        <v>21</v>
      </c>
      <c r="I227" t="s">
        <v>11</v>
      </c>
      <c r="J227">
        <v>24476</v>
      </c>
      <c r="K227" t="s">
        <v>2054</v>
      </c>
    </row>
    <row r="228" spans="1:11" x14ac:dyDescent="0.35">
      <c r="A228" t="s">
        <v>273</v>
      </c>
      <c r="B228" s="1">
        <v>45898</v>
      </c>
      <c r="C228" s="1">
        <v>45901</v>
      </c>
      <c r="D228" t="s">
        <v>19</v>
      </c>
      <c r="E228" t="s">
        <v>12</v>
      </c>
      <c r="F228">
        <v>873532</v>
      </c>
      <c r="G228" t="s">
        <v>17</v>
      </c>
      <c r="H228" t="s">
        <v>22</v>
      </c>
      <c r="I228" t="s">
        <v>31</v>
      </c>
      <c r="J228">
        <v>15202</v>
      </c>
      <c r="K228" t="s">
        <v>2053</v>
      </c>
    </row>
    <row r="229" spans="1:11" x14ac:dyDescent="0.35">
      <c r="A229" t="s">
        <v>274</v>
      </c>
      <c r="B229" s="1">
        <v>45773</v>
      </c>
      <c r="C229" s="1">
        <v>45777</v>
      </c>
      <c r="D229" t="s">
        <v>40</v>
      </c>
      <c r="E229" t="s">
        <v>33</v>
      </c>
      <c r="F229">
        <v>637640</v>
      </c>
      <c r="G229" t="s">
        <v>13</v>
      </c>
      <c r="H229" t="s">
        <v>43</v>
      </c>
      <c r="I229" t="s">
        <v>44</v>
      </c>
      <c r="J229">
        <v>14564</v>
      </c>
      <c r="K229" t="s">
        <v>2053</v>
      </c>
    </row>
    <row r="230" spans="1:11" x14ac:dyDescent="0.35">
      <c r="A230" t="s">
        <v>275</v>
      </c>
      <c r="B230" s="1">
        <v>45665</v>
      </c>
      <c r="C230" s="1">
        <v>45667</v>
      </c>
      <c r="D230" t="s">
        <v>39</v>
      </c>
      <c r="E230" t="s">
        <v>16</v>
      </c>
      <c r="F230">
        <v>300425</v>
      </c>
      <c r="G230" t="s">
        <v>9</v>
      </c>
      <c r="H230" t="s">
        <v>34</v>
      </c>
      <c r="I230" t="s">
        <v>14</v>
      </c>
      <c r="J230">
        <v>25379</v>
      </c>
      <c r="K230" t="s">
        <v>2054</v>
      </c>
    </row>
    <row r="231" spans="1:11" x14ac:dyDescent="0.35">
      <c r="A231" t="s">
        <v>276</v>
      </c>
      <c r="B231" s="1">
        <v>45774</v>
      </c>
      <c r="C231" s="1">
        <v>45776</v>
      </c>
      <c r="D231" t="s">
        <v>19</v>
      </c>
      <c r="E231" t="s">
        <v>23</v>
      </c>
      <c r="F231">
        <v>575898</v>
      </c>
      <c r="G231" t="s">
        <v>17</v>
      </c>
      <c r="H231" t="s">
        <v>41</v>
      </c>
      <c r="I231" t="s">
        <v>43</v>
      </c>
      <c r="J231">
        <v>16727</v>
      </c>
      <c r="K231" t="s">
        <v>2050</v>
      </c>
    </row>
    <row r="232" spans="1:11" x14ac:dyDescent="0.35">
      <c r="A232" t="s">
        <v>277</v>
      </c>
      <c r="B232" s="1">
        <v>45983</v>
      </c>
      <c r="C232" s="1">
        <v>45987</v>
      </c>
      <c r="D232" t="s">
        <v>39</v>
      </c>
      <c r="E232" t="s">
        <v>16</v>
      </c>
      <c r="F232">
        <v>182750</v>
      </c>
      <c r="G232" t="s">
        <v>9</v>
      </c>
      <c r="H232" t="s">
        <v>22</v>
      </c>
      <c r="I232" t="s">
        <v>25</v>
      </c>
      <c r="J232">
        <v>24324</v>
      </c>
      <c r="K232" t="s">
        <v>2050</v>
      </c>
    </row>
    <row r="233" spans="1:11" x14ac:dyDescent="0.35">
      <c r="A233" t="s">
        <v>278</v>
      </c>
      <c r="B233" s="1">
        <v>45782</v>
      </c>
      <c r="C233" s="1">
        <v>45785</v>
      </c>
      <c r="D233" t="s">
        <v>40</v>
      </c>
      <c r="E233" t="s">
        <v>38</v>
      </c>
      <c r="F233">
        <v>774270</v>
      </c>
      <c r="G233" t="s">
        <v>9</v>
      </c>
      <c r="H233" t="s">
        <v>24</v>
      </c>
      <c r="I233" t="s">
        <v>41</v>
      </c>
      <c r="J233">
        <v>12802</v>
      </c>
      <c r="K233" t="s">
        <v>2050</v>
      </c>
    </row>
    <row r="234" spans="1:11" x14ac:dyDescent="0.35">
      <c r="A234" t="s">
        <v>279</v>
      </c>
      <c r="B234" s="1">
        <v>45726</v>
      </c>
      <c r="C234" s="1">
        <v>45731</v>
      </c>
      <c r="D234" t="s">
        <v>39</v>
      </c>
      <c r="E234" t="s">
        <v>20</v>
      </c>
      <c r="F234">
        <v>664252</v>
      </c>
      <c r="G234" t="s">
        <v>9</v>
      </c>
      <c r="H234" t="s">
        <v>29</v>
      </c>
      <c r="I234" t="s">
        <v>44</v>
      </c>
      <c r="J234">
        <v>27095</v>
      </c>
      <c r="K234" t="s">
        <v>2052</v>
      </c>
    </row>
    <row r="235" spans="1:11" x14ac:dyDescent="0.35">
      <c r="A235" t="s">
        <v>280</v>
      </c>
      <c r="B235" s="1">
        <v>45945</v>
      </c>
      <c r="C235" s="1">
        <v>45947</v>
      </c>
      <c r="D235" t="s">
        <v>40</v>
      </c>
      <c r="E235" t="s">
        <v>27</v>
      </c>
      <c r="F235">
        <v>505140</v>
      </c>
      <c r="G235" t="s">
        <v>28</v>
      </c>
      <c r="H235" t="s">
        <v>45</v>
      </c>
      <c r="I235" t="s">
        <v>42</v>
      </c>
      <c r="J235">
        <v>13866</v>
      </c>
      <c r="K235" t="s">
        <v>2053</v>
      </c>
    </row>
    <row r="236" spans="1:11" x14ac:dyDescent="0.35">
      <c r="A236" t="s">
        <v>281</v>
      </c>
      <c r="B236" s="1">
        <v>45996</v>
      </c>
      <c r="C236" s="1">
        <v>45997</v>
      </c>
      <c r="D236" t="s">
        <v>40</v>
      </c>
      <c r="E236" t="s">
        <v>38</v>
      </c>
      <c r="F236">
        <v>762388</v>
      </c>
      <c r="G236" t="s">
        <v>26</v>
      </c>
      <c r="H236" t="s">
        <v>43</v>
      </c>
      <c r="I236" t="s">
        <v>42</v>
      </c>
      <c r="J236">
        <v>12726</v>
      </c>
      <c r="K236" t="s">
        <v>2052</v>
      </c>
    </row>
    <row r="237" spans="1:11" x14ac:dyDescent="0.35">
      <c r="A237" t="s">
        <v>282</v>
      </c>
      <c r="B237" s="1">
        <v>45896</v>
      </c>
      <c r="C237" s="1">
        <v>45897</v>
      </c>
      <c r="D237" t="s">
        <v>40</v>
      </c>
      <c r="E237" t="s">
        <v>23</v>
      </c>
      <c r="F237">
        <v>397592</v>
      </c>
      <c r="G237" t="s">
        <v>17</v>
      </c>
      <c r="H237" t="s">
        <v>11</v>
      </c>
      <c r="I237" t="s">
        <v>43</v>
      </c>
      <c r="J237">
        <v>14972</v>
      </c>
      <c r="K237" t="s">
        <v>2053</v>
      </c>
    </row>
    <row r="238" spans="1:11" x14ac:dyDescent="0.35">
      <c r="A238" t="s">
        <v>283</v>
      </c>
      <c r="B238" s="1">
        <v>45665</v>
      </c>
      <c r="C238" s="1">
        <v>45668</v>
      </c>
      <c r="D238" t="s">
        <v>19</v>
      </c>
      <c r="E238" t="s">
        <v>23</v>
      </c>
      <c r="F238">
        <v>766631</v>
      </c>
      <c r="G238" t="s">
        <v>9</v>
      </c>
      <c r="H238" t="s">
        <v>42</v>
      </c>
      <c r="I238" t="s">
        <v>22</v>
      </c>
      <c r="J238">
        <v>17030</v>
      </c>
      <c r="K238" t="s">
        <v>2054</v>
      </c>
    </row>
    <row r="239" spans="1:11" x14ac:dyDescent="0.35">
      <c r="A239" t="s">
        <v>284</v>
      </c>
      <c r="B239" s="1">
        <v>45685</v>
      </c>
      <c r="C239" s="1">
        <v>45690</v>
      </c>
      <c r="D239" t="s">
        <v>19</v>
      </c>
      <c r="E239" t="s">
        <v>30</v>
      </c>
      <c r="F239">
        <v>428782</v>
      </c>
      <c r="G239" t="s">
        <v>17</v>
      </c>
      <c r="H239" t="s">
        <v>43</v>
      </c>
      <c r="I239" t="s">
        <v>31</v>
      </c>
      <c r="J239">
        <v>16621</v>
      </c>
      <c r="K239" t="s">
        <v>2054</v>
      </c>
    </row>
    <row r="240" spans="1:11" x14ac:dyDescent="0.35">
      <c r="A240" t="s">
        <v>285</v>
      </c>
      <c r="B240" s="1">
        <v>45964</v>
      </c>
      <c r="C240" s="1">
        <v>45968</v>
      </c>
      <c r="D240" t="s">
        <v>40</v>
      </c>
      <c r="E240" t="s">
        <v>12</v>
      </c>
      <c r="F240">
        <v>833441</v>
      </c>
      <c r="G240" t="s">
        <v>17</v>
      </c>
      <c r="H240" t="s">
        <v>44</v>
      </c>
      <c r="I240" t="s">
        <v>10</v>
      </c>
      <c r="J240">
        <v>12639</v>
      </c>
      <c r="K240" t="s">
        <v>2054</v>
      </c>
    </row>
    <row r="241" spans="1:11" x14ac:dyDescent="0.35">
      <c r="A241" t="s">
        <v>286</v>
      </c>
      <c r="B241" s="1">
        <v>45862</v>
      </c>
      <c r="C241" s="1">
        <v>45866</v>
      </c>
      <c r="D241" t="s">
        <v>39</v>
      </c>
      <c r="E241" t="s">
        <v>20</v>
      </c>
      <c r="F241">
        <v>979557</v>
      </c>
      <c r="G241" t="s">
        <v>13</v>
      </c>
      <c r="H241" t="s">
        <v>45</v>
      </c>
      <c r="I241" t="s">
        <v>18</v>
      </c>
      <c r="J241">
        <v>25424</v>
      </c>
      <c r="K241" t="s">
        <v>2054</v>
      </c>
    </row>
    <row r="242" spans="1:11" x14ac:dyDescent="0.35">
      <c r="A242" t="s">
        <v>287</v>
      </c>
      <c r="B242" s="1">
        <v>45843</v>
      </c>
      <c r="C242" s="1">
        <v>45846</v>
      </c>
      <c r="D242" t="s">
        <v>19</v>
      </c>
      <c r="E242" t="s">
        <v>12</v>
      </c>
      <c r="F242">
        <v>285773</v>
      </c>
      <c r="G242" t="s">
        <v>9</v>
      </c>
      <c r="H242" t="s">
        <v>14</v>
      </c>
      <c r="I242" t="s">
        <v>24</v>
      </c>
      <c r="J242">
        <v>15314</v>
      </c>
      <c r="K242" t="s">
        <v>2052</v>
      </c>
    </row>
    <row r="243" spans="1:11" x14ac:dyDescent="0.35">
      <c r="A243" t="s">
        <v>288</v>
      </c>
      <c r="B243" s="1">
        <v>45821</v>
      </c>
      <c r="C243" s="1">
        <v>45823</v>
      </c>
      <c r="D243" t="s">
        <v>39</v>
      </c>
      <c r="E243" t="s">
        <v>23</v>
      </c>
      <c r="F243">
        <v>745727</v>
      </c>
      <c r="G243" t="s">
        <v>26</v>
      </c>
      <c r="H243" t="s">
        <v>41</v>
      </c>
      <c r="I243" t="s">
        <v>22</v>
      </c>
      <c r="J243">
        <v>25321</v>
      </c>
      <c r="K243" t="s">
        <v>2052</v>
      </c>
    </row>
    <row r="244" spans="1:11" x14ac:dyDescent="0.35">
      <c r="A244" t="s">
        <v>289</v>
      </c>
      <c r="B244" s="1">
        <v>45735</v>
      </c>
      <c r="C244" s="1">
        <v>45740</v>
      </c>
      <c r="D244" t="s">
        <v>19</v>
      </c>
      <c r="E244" t="s">
        <v>16</v>
      </c>
      <c r="F244">
        <v>788943</v>
      </c>
      <c r="G244" t="s">
        <v>17</v>
      </c>
      <c r="H244" t="s">
        <v>44</v>
      </c>
      <c r="I244" t="s">
        <v>22</v>
      </c>
      <c r="J244">
        <v>16731</v>
      </c>
      <c r="K244" t="s">
        <v>2052</v>
      </c>
    </row>
    <row r="245" spans="1:11" x14ac:dyDescent="0.35">
      <c r="A245" t="s">
        <v>290</v>
      </c>
      <c r="B245" s="1">
        <v>45940</v>
      </c>
      <c r="C245" s="1">
        <v>45944</v>
      </c>
      <c r="D245" t="s">
        <v>39</v>
      </c>
      <c r="E245" t="s">
        <v>30</v>
      </c>
      <c r="F245">
        <v>856602</v>
      </c>
      <c r="G245" t="s">
        <v>26</v>
      </c>
      <c r="H245" t="s">
        <v>15</v>
      </c>
      <c r="I245" t="s">
        <v>35</v>
      </c>
      <c r="J245">
        <v>24683</v>
      </c>
      <c r="K245" t="s">
        <v>2053</v>
      </c>
    </row>
    <row r="246" spans="1:11" x14ac:dyDescent="0.35">
      <c r="A246" t="s">
        <v>291</v>
      </c>
      <c r="B246" s="1">
        <v>45779</v>
      </c>
      <c r="C246" s="1">
        <v>45784</v>
      </c>
      <c r="D246" t="s">
        <v>19</v>
      </c>
      <c r="E246" t="s">
        <v>16</v>
      </c>
      <c r="F246">
        <v>376255</v>
      </c>
      <c r="G246" t="s">
        <v>9</v>
      </c>
      <c r="H246" t="s">
        <v>36</v>
      </c>
      <c r="I246" t="s">
        <v>34</v>
      </c>
      <c r="J246">
        <v>16392</v>
      </c>
      <c r="K246" t="s">
        <v>2053</v>
      </c>
    </row>
    <row r="247" spans="1:11" x14ac:dyDescent="0.35">
      <c r="A247" t="s">
        <v>292</v>
      </c>
      <c r="B247" s="1">
        <v>45750</v>
      </c>
      <c r="C247" s="1">
        <v>45751</v>
      </c>
      <c r="D247" t="s">
        <v>39</v>
      </c>
      <c r="E247" t="s">
        <v>30</v>
      </c>
      <c r="F247">
        <v>613023</v>
      </c>
      <c r="G247" t="s">
        <v>13</v>
      </c>
      <c r="H247" t="s">
        <v>42</v>
      </c>
      <c r="I247" t="s">
        <v>21</v>
      </c>
      <c r="J247">
        <v>25507</v>
      </c>
      <c r="K247" t="s">
        <v>2053</v>
      </c>
    </row>
    <row r="248" spans="1:11" x14ac:dyDescent="0.35">
      <c r="A248" t="s">
        <v>293</v>
      </c>
      <c r="B248" s="1">
        <v>45928</v>
      </c>
      <c r="C248" s="1">
        <v>45929</v>
      </c>
      <c r="D248" t="s">
        <v>8</v>
      </c>
      <c r="E248" t="s">
        <v>23</v>
      </c>
      <c r="F248">
        <v>232640</v>
      </c>
      <c r="G248" t="s">
        <v>17</v>
      </c>
      <c r="H248" t="s">
        <v>43</v>
      </c>
      <c r="I248" t="s">
        <v>35</v>
      </c>
      <c r="J248">
        <v>19809</v>
      </c>
      <c r="K248" t="s">
        <v>2050</v>
      </c>
    </row>
    <row r="249" spans="1:11" x14ac:dyDescent="0.35">
      <c r="A249" t="s">
        <v>294</v>
      </c>
      <c r="B249" s="1">
        <v>45794</v>
      </c>
      <c r="C249" s="1">
        <v>45795</v>
      </c>
      <c r="D249" t="s">
        <v>19</v>
      </c>
      <c r="E249" t="s">
        <v>20</v>
      </c>
      <c r="F249">
        <v>952027</v>
      </c>
      <c r="G249" t="s">
        <v>13</v>
      </c>
      <c r="H249" t="s">
        <v>31</v>
      </c>
      <c r="I249" t="s">
        <v>18</v>
      </c>
      <c r="J249">
        <v>17101</v>
      </c>
      <c r="K249" t="s">
        <v>2050</v>
      </c>
    </row>
    <row r="250" spans="1:11" x14ac:dyDescent="0.35">
      <c r="A250" t="s">
        <v>295</v>
      </c>
      <c r="B250" s="1">
        <v>45957</v>
      </c>
      <c r="C250" s="1">
        <v>45961</v>
      </c>
      <c r="D250" t="s">
        <v>39</v>
      </c>
      <c r="E250" t="s">
        <v>12</v>
      </c>
      <c r="F250">
        <v>214617</v>
      </c>
      <c r="G250" t="s">
        <v>13</v>
      </c>
      <c r="H250" t="s">
        <v>34</v>
      </c>
      <c r="I250" t="s">
        <v>35</v>
      </c>
      <c r="J250">
        <v>23553</v>
      </c>
      <c r="K250" t="s">
        <v>2050</v>
      </c>
    </row>
    <row r="251" spans="1:11" x14ac:dyDescent="0.35">
      <c r="A251" t="s">
        <v>296</v>
      </c>
      <c r="B251" s="1">
        <v>45955</v>
      </c>
      <c r="C251" s="1">
        <v>45958</v>
      </c>
      <c r="D251" t="s">
        <v>8</v>
      </c>
      <c r="E251" t="s">
        <v>23</v>
      </c>
      <c r="F251">
        <v>637375</v>
      </c>
      <c r="G251" t="s">
        <v>28</v>
      </c>
      <c r="H251" t="s">
        <v>35</v>
      </c>
      <c r="I251" t="s">
        <v>31</v>
      </c>
      <c r="J251">
        <v>20778</v>
      </c>
      <c r="K251" t="s">
        <v>2050</v>
      </c>
    </row>
    <row r="252" spans="1:11" x14ac:dyDescent="0.35">
      <c r="A252" t="s">
        <v>297</v>
      </c>
      <c r="B252" s="1">
        <v>45949</v>
      </c>
      <c r="C252" s="1">
        <v>45950</v>
      </c>
      <c r="D252" t="s">
        <v>40</v>
      </c>
      <c r="E252" t="s">
        <v>30</v>
      </c>
      <c r="F252">
        <v>297031</v>
      </c>
      <c r="G252" t="s">
        <v>28</v>
      </c>
      <c r="H252" t="s">
        <v>18</v>
      </c>
      <c r="I252" t="s">
        <v>24</v>
      </c>
      <c r="J252">
        <v>13364</v>
      </c>
      <c r="K252" t="s">
        <v>2050</v>
      </c>
    </row>
    <row r="253" spans="1:11" x14ac:dyDescent="0.35">
      <c r="A253" t="s">
        <v>298</v>
      </c>
      <c r="B253" s="1">
        <v>45935</v>
      </c>
      <c r="C253" s="1">
        <v>45938</v>
      </c>
      <c r="D253" t="s">
        <v>39</v>
      </c>
      <c r="E253" t="s">
        <v>12</v>
      </c>
      <c r="F253">
        <v>124847</v>
      </c>
      <c r="G253" t="s">
        <v>17</v>
      </c>
      <c r="H253" t="s">
        <v>42</v>
      </c>
      <c r="I253" t="s">
        <v>11</v>
      </c>
      <c r="J253">
        <v>24752</v>
      </c>
      <c r="K253" t="s">
        <v>2051</v>
      </c>
    </row>
    <row r="254" spans="1:11" x14ac:dyDescent="0.35">
      <c r="A254" t="s">
        <v>299</v>
      </c>
      <c r="B254" s="1">
        <v>45876</v>
      </c>
      <c r="C254" s="1">
        <v>45879</v>
      </c>
      <c r="D254" t="s">
        <v>39</v>
      </c>
      <c r="E254" t="s">
        <v>12</v>
      </c>
      <c r="F254">
        <v>305423</v>
      </c>
      <c r="G254" t="s">
        <v>13</v>
      </c>
      <c r="H254" t="s">
        <v>11</v>
      </c>
      <c r="I254" t="s">
        <v>10</v>
      </c>
      <c r="J254">
        <v>25052</v>
      </c>
      <c r="K254" t="s">
        <v>2052</v>
      </c>
    </row>
    <row r="255" spans="1:11" x14ac:dyDescent="0.35">
      <c r="A255" t="s">
        <v>300</v>
      </c>
      <c r="B255" s="1">
        <v>45852</v>
      </c>
      <c r="C255" s="1">
        <v>45854</v>
      </c>
      <c r="D255" t="s">
        <v>39</v>
      </c>
      <c r="E255" t="s">
        <v>12</v>
      </c>
      <c r="F255">
        <v>359990</v>
      </c>
      <c r="G255" t="s">
        <v>9</v>
      </c>
      <c r="H255" t="s">
        <v>25</v>
      </c>
      <c r="I255" t="s">
        <v>31</v>
      </c>
      <c r="J255">
        <v>25100</v>
      </c>
      <c r="K255" t="s">
        <v>2053</v>
      </c>
    </row>
    <row r="256" spans="1:11" x14ac:dyDescent="0.35">
      <c r="A256" t="s">
        <v>301</v>
      </c>
      <c r="B256" s="1">
        <v>45781</v>
      </c>
      <c r="C256" s="1">
        <v>45784</v>
      </c>
      <c r="D256" t="s">
        <v>19</v>
      </c>
      <c r="E256" t="s">
        <v>33</v>
      </c>
      <c r="F256">
        <v>478098</v>
      </c>
      <c r="G256" t="s">
        <v>28</v>
      </c>
      <c r="H256" t="s">
        <v>31</v>
      </c>
      <c r="I256" t="s">
        <v>11</v>
      </c>
      <c r="J256">
        <v>17120</v>
      </c>
      <c r="K256" t="s">
        <v>2054</v>
      </c>
    </row>
    <row r="257" spans="1:11" x14ac:dyDescent="0.35">
      <c r="A257" t="s">
        <v>302</v>
      </c>
      <c r="B257" s="1">
        <v>45915</v>
      </c>
      <c r="C257" s="1">
        <v>45918</v>
      </c>
      <c r="D257" t="s">
        <v>8</v>
      </c>
      <c r="E257" t="s">
        <v>20</v>
      </c>
      <c r="F257">
        <v>665768</v>
      </c>
      <c r="G257" t="s">
        <v>26</v>
      </c>
      <c r="H257" t="s">
        <v>24</v>
      </c>
      <c r="I257" t="s">
        <v>31</v>
      </c>
      <c r="J257">
        <v>21227</v>
      </c>
      <c r="K257" t="s">
        <v>2053</v>
      </c>
    </row>
    <row r="258" spans="1:11" x14ac:dyDescent="0.35">
      <c r="A258" t="s">
        <v>303</v>
      </c>
      <c r="B258" s="1">
        <v>45975</v>
      </c>
      <c r="C258" s="1">
        <v>45977</v>
      </c>
      <c r="D258" t="s">
        <v>8</v>
      </c>
      <c r="E258" t="s">
        <v>16</v>
      </c>
      <c r="F258">
        <v>170592</v>
      </c>
      <c r="G258" t="s">
        <v>28</v>
      </c>
      <c r="H258" t="s">
        <v>44</v>
      </c>
      <c r="I258" t="s">
        <v>11</v>
      </c>
      <c r="J258">
        <v>20351</v>
      </c>
      <c r="K258" t="s">
        <v>2050</v>
      </c>
    </row>
    <row r="259" spans="1:11" x14ac:dyDescent="0.35">
      <c r="A259" t="s">
        <v>304</v>
      </c>
      <c r="B259" s="1">
        <v>45854</v>
      </c>
      <c r="C259" s="1">
        <v>45858</v>
      </c>
      <c r="D259" t="s">
        <v>39</v>
      </c>
      <c r="E259" t="s">
        <v>33</v>
      </c>
      <c r="F259">
        <v>654435</v>
      </c>
      <c r="G259" t="s">
        <v>28</v>
      </c>
      <c r="H259" t="s">
        <v>22</v>
      </c>
      <c r="I259" t="s">
        <v>29</v>
      </c>
      <c r="J259">
        <v>26194</v>
      </c>
      <c r="K259" t="s">
        <v>2051</v>
      </c>
    </row>
    <row r="260" spans="1:11" x14ac:dyDescent="0.35">
      <c r="A260" t="s">
        <v>305</v>
      </c>
      <c r="B260" s="1">
        <v>45887</v>
      </c>
      <c r="C260" s="1">
        <v>45891</v>
      </c>
      <c r="D260" t="s">
        <v>39</v>
      </c>
      <c r="E260" t="s">
        <v>30</v>
      </c>
      <c r="F260">
        <v>685446</v>
      </c>
      <c r="G260" t="s">
        <v>28</v>
      </c>
      <c r="H260" t="s">
        <v>43</v>
      </c>
      <c r="I260" t="s">
        <v>29</v>
      </c>
      <c r="J260">
        <v>26230</v>
      </c>
      <c r="K260" t="s">
        <v>2052</v>
      </c>
    </row>
    <row r="261" spans="1:11" x14ac:dyDescent="0.35">
      <c r="A261" t="s">
        <v>306</v>
      </c>
      <c r="B261" s="1">
        <v>45693</v>
      </c>
      <c r="C261" s="1">
        <v>45695</v>
      </c>
      <c r="D261" t="s">
        <v>19</v>
      </c>
      <c r="E261" t="s">
        <v>27</v>
      </c>
      <c r="F261">
        <v>230296</v>
      </c>
      <c r="G261" t="s">
        <v>9</v>
      </c>
      <c r="H261" t="s">
        <v>22</v>
      </c>
      <c r="I261" t="s">
        <v>31</v>
      </c>
      <c r="J261">
        <v>15628</v>
      </c>
      <c r="K261" t="s">
        <v>2053</v>
      </c>
    </row>
    <row r="262" spans="1:11" x14ac:dyDescent="0.35">
      <c r="A262" t="s">
        <v>307</v>
      </c>
      <c r="B262" s="1">
        <v>45724</v>
      </c>
      <c r="C262" s="1">
        <v>45728</v>
      </c>
      <c r="D262" t="s">
        <v>8</v>
      </c>
      <c r="E262" t="s">
        <v>27</v>
      </c>
      <c r="F262">
        <v>312196</v>
      </c>
      <c r="G262" t="s">
        <v>17</v>
      </c>
      <c r="H262" t="s">
        <v>22</v>
      </c>
      <c r="I262" t="s">
        <v>25</v>
      </c>
      <c r="J262">
        <v>19543</v>
      </c>
      <c r="K262" t="s">
        <v>2054</v>
      </c>
    </row>
    <row r="263" spans="1:11" x14ac:dyDescent="0.35">
      <c r="A263" t="s">
        <v>308</v>
      </c>
      <c r="B263" s="1">
        <v>45944</v>
      </c>
      <c r="C263" s="1">
        <v>45949</v>
      </c>
      <c r="D263" t="s">
        <v>19</v>
      </c>
      <c r="E263" t="s">
        <v>12</v>
      </c>
      <c r="F263">
        <v>187398</v>
      </c>
      <c r="G263" t="s">
        <v>13</v>
      </c>
      <c r="H263" t="s">
        <v>15</v>
      </c>
      <c r="I263" t="s">
        <v>45</v>
      </c>
      <c r="J263">
        <v>15118</v>
      </c>
      <c r="K263" t="s">
        <v>2053</v>
      </c>
    </row>
    <row r="264" spans="1:11" x14ac:dyDescent="0.35">
      <c r="A264" t="s">
        <v>309</v>
      </c>
      <c r="B264" s="1">
        <v>45708</v>
      </c>
      <c r="C264" s="1">
        <v>45709</v>
      </c>
      <c r="D264" t="s">
        <v>8</v>
      </c>
      <c r="E264" t="s">
        <v>16</v>
      </c>
      <c r="F264">
        <v>776772</v>
      </c>
      <c r="G264" t="s">
        <v>9</v>
      </c>
      <c r="H264" t="s">
        <v>10</v>
      </c>
      <c r="I264" t="s">
        <v>29</v>
      </c>
      <c r="J264">
        <v>19479</v>
      </c>
      <c r="K264" t="s">
        <v>2052</v>
      </c>
    </row>
    <row r="265" spans="1:11" x14ac:dyDescent="0.35">
      <c r="A265" t="s">
        <v>310</v>
      </c>
      <c r="B265" s="1">
        <v>45720</v>
      </c>
      <c r="C265" s="1">
        <v>45725</v>
      </c>
      <c r="D265" t="s">
        <v>19</v>
      </c>
      <c r="E265" t="s">
        <v>23</v>
      </c>
      <c r="F265">
        <v>749059</v>
      </c>
      <c r="G265" t="s">
        <v>28</v>
      </c>
      <c r="H265" t="s">
        <v>35</v>
      </c>
      <c r="I265" t="s">
        <v>18</v>
      </c>
      <c r="J265">
        <v>17049</v>
      </c>
      <c r="K265" t="s">
        <v>2052</v>
      </c>
    </row>
    <row r="266" spans="1:11" x14ac:dyDescent="0.35">
      <c r="A266" t="s">
        <v>311</v>
      </c>
      <c r="B266" s="1">
        <v>45751</v>
      </c>
      <c r="C266" s="1">
        <v>45755</v>
      </c>
      <c r="D266" t="s">
        <v>40</v>
      </c>
      <c r="E266" t="s">
        <v>30</v>
      </c>
      <c r="F266">
        <v>310323</v>
      </c>
      <c r="G266" t="s">
        <v>13</v>
      </c>
      <c r="H266" t="s">
        <v>15</v>
      </c>
      <c r="I266" t="s">
        <v>18</v>
      </c>
      <c r="J266">
        <v>13307</v>
      </c>
      <c r="K266" t="s">
        <v>2052</v>
      </c>
    </row>
    <row r="267" spans="1:11" x14ac:dyDescent="0.35">
      <c r="A267" t="s">
        <v>312</v>
      </c>
      <c r="B267" s="1">
        <v>45936</v>
      </c>
      <c r="C267" s="1">
        <v>45940</v>
      </c>
      <c r="D267" t="s">
        <v>8</v>
      </c>
      <c r="E267" t="s">
        <v>12</v>
      </c>
      <c r="F267">
        <v>888574</v>
      </c>
      <c r="G267" t="s">
        <v>26</v>
      </c>
      <c r="H267" t="s">
        <v>22</v>
      </c>
      <c r="I267" t="s">
        <v>42</v>
      </c>
      <c r="J267">
        <v>18055</v>
      </c>
      <c r="K267" t="s">
        <v>2053</v>
      </c>
    </row>
    <row r="268" spans="1:11" x14ac:dyDescent="0.35">
      <c r="A268" t="s">
        <v>313</v>
      </c>
      <c r="B268" s="1">
        <v>45984</v>
      </c>
      <c r="C268" s="1">
        <v>45986</v>
      </c>
      <c r="D268" t="s">
        <v>8</v>
      </c>
      <c r="E268" t="s">
        <v>30</v>
      </c>
      <c r="F268">
        <v>485636</v>
      </c>
      <c r="G268" t="s">
        <v>28</v>
      </c>
      <c r="H268" t="s">
        <v>31</v>
      </c>
      <c r="I268" t="s">
        <v>44</v>
      </c>
      <c r="J268">
        <v>19610</v>
      </c>
      <c r="K268" t="s">
        <v>2053</v>
      </c>
    </row>
    <row r="269" spans="1:11" x14ac:dyDescent="0.35">
      <c r="A269" t="s">
        <v>314</v>
      </c>
      <c r="B269" s="1">
        <v>45874</v>
      </c>
      <c r="C269" s="1">
        <v>45879</v>
      </c>
      <c r="D269" t="s">
        <v>19</v>
      </c>
      <c r="E269" t="s">
        <v>16</v>
      </c>
      <c r="F269">
        <v>555689</v>
      </c>
      <c r="G269" t="s">
        <v>26</v>
      </c>
      <c r="H269" t="s">
        <v>32</v>
      </c>
      <c r="I269" t="s">
        <v>29</v>
      </c>
      <c r="J269">
        <v>16329</v>
      </c>
      <c r="K269" t="s">
        <v>2053</v>
      </c>
    </row>
    <row r="270" spans="1:11" x14ac:dyDescent="0.35">
      <c r="A270" t="s">
        <v>315</v>
      </c>
      <c r="B270" s="1">
        <v>45668</v>
      </c>
      <c r="C270" s="1">
        <v>45669</v>
      </c>
      <c r="D270" t="s">
        <v>19</v>
      </c>
      <c r="E270" t="s">
        <v>23</v>
      </c>
      <c r="F270">
        <v>705586</v>
      </c>
      <c r="G270" t="s">
        <v>13</v>
      </c>
      <c r="H270" t="s">
        <v>11</v>
      </c>
      <c r="I270" t="s">
        <v>18</v>
      </c>
      <c r="J270">
        <v>16686</v>
      </c>
      <c r="K270" t="s">
        <v>2053</v>
      </c>
    </row>
    <row r="271" spans="1:11" x14ac:dyDescent="0.35">
      <c r="A271" t="s">
        <v>316</v>
      </c>
      <c r="B271" s="1">
        <v>45954</v>
      </c>
      <c r="C271" s="1">
        <v>45958</v>
      </c>
      <c r="D271" t="s">
        <v>39</v>
      </c>
      <c r="E271" t="s">
        <v>30</v>
      </c>
      <c r="F271">
        <v>711559</v>
      </c>
      <c r="G271" t="s">
        <v>17</v>
      </c>
      <c r="H271" t="s">
        <v>35</v>
      </c>
      <c r="I271" t="s">
        <v>43</v>
      </c>
      <c r="J271">
        <v>25879</v>
      </c>
      <c r="K271" t="s">
        <v>2050</v>
      </c>
    </row>
    <row r="272" spans="1:11" x14ac:dyDescent="0.35">
      <c r="A272" t="s">
        <v>317</v>
      </c>
      <c r="B272" s="1">
        <v>45679</v>
      </c>
      <c r="C272" s="1">
        <v>45681</v>
      </c>
      <c r="D272" t="s">
        <v>8</v>
      </c>
      <c r="E272" t="s">
        <v>12</v>
      </c>
      <c r="F272">
        <v>944969</v>
      </c>
      <c r="G272" t="s">
        <v>9</v>
      </c>
      <c r="H272" t="s">
        <v>14</v>
      </c>
      <c r="I272" t="s">
        <v>24</v>
      </c>
      <c r="J272">
        <v>18216</v>
      </c>
      <c r="K272" t="s">
        <v>2051</v>
      </c>
    </row>
    <row r="273" spans="1:11" x14ac:dyDescent="0.35">
      <c r="A273" t="s">
        <v>318</v>
      </c>
      <c r="B273" s="1">
        <v>45835</v>
      </c>
      <c r="C273" s="1">
        <v>45837</v>
      </c>
      <c r="D273" t="s">
        <v>19</v>
      </c>
      <c r="E273" t="s">
        <v>20</v>
      </c>
      <c r="F273">
        <v>742446</v>
      </c>
      <c r="G273" t="s">
        <v>13</v>
      </c>
      <c r="H273" t="s">
        <v>22</v>
      </c>
      <c r="I273" t="s">
        <v>45</v>
      </c>
      <c r="J273">
        <v>17270</v>
      </c>
      <c r="K273" t="s">
        <v>2052</v>
      </c>
    </row>
    <row r="274" spans="1:11" x14ac:dyDescent="0.35">
      <c r="A274" t="s">
        <v>319</v>
      </c>
      <c r="B274" s="1">
        <v>45778</v>
      </c>
      <c r="C274" s="1">
        <v>45782</v>
      </c>
      <c r="D274" t="s">
        <v>19</v>
      </c>
      <c r="E274" t="s">
        <v>38</v>
      </c>
      <c r="F274">
        <v>542013</v>
      </c>
      <c r="G274" t="s">
        <v>28</v>
      </c>
      <c r="H274" t="s">
        <v>34</v>
      </c>
      <c r="I274" t="s">
        <v>29</v>
      </c>
      <c r="J274">
        <v>15153</v>
      </c>
      <c r="K274" t="s">
        <v>2053</v>
      </c>
    </row>
    <row r="275" spans="1:11" x14ac:dyDescent="0.35">
      <c r="A275" t="s">
        <v>320</v>
      </c>
      <c r="B275" s="1">
        <v>45819</v>
      </c>
      <c r="C275" s="1">
        <v>45822</v>
      </c>
      <c r="D275" t="s">
        <v>19</v>
      </c>
      <c r="E275" t="s">
        <v>33</v>
      </c>
      <c r="F275">
        <v>382706</v>
      </c>
      <c r="G275" t="s">
        <v>13</v>
      </c>
      <c r="H275" t="s">
        <v>29</v>
      </c>
      <c r="I275" t="s">
        <v>36</v>
      </c>
      <c r="J275">
        <v>17416</v>
      </c>
      <c r="K275" t="s">
        <v>2054</v>
      </c>
    </row>
    <row r="276" spans="1:11" x14ac:dyDescent="0.35">
      <c r="A276" t="s">
        <v>321</v>
      </c>
      <c r="B276" s="1">
        <v>45671</v>
      </c>
      <c r="C276" s="1">
        <v>45674</v>
      </c>
      <c r="D276" t="s">
        <v>19</v>
      </c>
      <c r="E276" t="s">
        <v>12</v>
      </c>
      <c r="F276">
        <v>335191</v>
      </c>
      <c r="G276" t="s">
        <v>26</v>
      </c>
      <c r="H276" t="s">
        <v>15</v>
      </c>
      <c r="I276" t="s">
        <v>41</v>
      </c>
      <c r="J276">
        <v>14329</v>
      </c>
      <c r="K276" t="s">
        <v>2053</v>
      </c>
    </row>
    <row r="277" spans="1:11" x14ac:dyDescent="0.35">
      <c r="A277" t="s">
        <v>322</v>
      </c>
      <c r="B277" s="1">
        <v>45881</v>
      </c>
      <c r="C277" s="1">
        <v>45884</v>
      </c>
      <c r="D277" t="s">
        <v>39</v>
      </c>
      <c r="E277" t="s">
        <v>23</v>
      </c>
      <c r="F277">
        <v>195153</v>
      </c>
      <c r="G277" t="s">
        <v>26</v>
      </c>
      <c r="H277" t="s">
        <v>34</v>
      </c>
      <c r="I277" t="s">
        <v>43</v>
      </c>
      <c r="J277">
        <v>25900</v>
      </c>
      <c r="K277" t="s">
        <v>2050</v>
      </c>
    </row>
    <row r="278" spans="1:11" x14ac:dyDescent="0.35">
      <c r="A278" t="s">
        <v>323</v>
      </c>
      <c r="B278" s="1">
        <v>45836</v>
      </c>
      <c r="C278" s="1">
        <v>45839</v>
      </c>
      <c r="D278" t="s">
        <v>39</v>
      </c>
      <c r="E278" t="s">
        <v>38</v>
      </c>
      <c r="F278">
        <v>211663</v>
      </c>
      <c r="G278" t="s">
        <v>9</v>
      </c>
      <c r="H278" t="s">
        <v>42</v>
      </c>
      <c r="I278" t="s">
        <v>24</v>
      </c>
      <c r="J278">
        <v>25164</v>
      </c>
      <c r="K278" t="s">
        <v>2051</v>
      </c>
    </row>
    <row r="279" spans="1:11" x14ac:dyDescent="0.35">
      <c r="A279" t="s">
        <v>324</v>
      </c>
      <c r="B279" s="1">
        <v>45870</v>
      </c>
      <c r="C279" s="1">
        <v>45875</v>
      </c>
      <c r="D279" t="s">
        <v>8</v>
      </c>
      <c r="E279" t="s">
        <v>27</v>
      </c>
      <c r="F279">
        <v>650265</v>
      </c>
      <c r="G279" t="s">
        <v>13</v>
      </c>
      <c r="H279" t="s">
        <v>32</v>
      </c>
      <c r="I279" t="s">
        <v>22</v>
      </c>
      <c r="J279">
        <v>20177</v>
      </c>
      <c r="K279" t="s">
        <v>2052</v>
      </c>
    </row>
    <row r="280" spans="1:11" x14ac:dyDescent="0.35">
      <c r="A280" t="s">
        <v>325</v>
      </c>
      <c r="B280" s="1">
        <v>45695</v>
      </c>
      <c r="C280" s="1">
        <v>45696</v>
      </c>
      <c r="D280" t="s">
        <v>39</v>
      </c>
      <c r="E280" t="s">
        <v>20</v>
      </c>
      <c r="F280">
        <v>235703</v>
      </c>
      <c r="G280" t="s">
        <v>26</v>
      </c>
      <c r="H280" t="s">
        <v>41</v>
      </c>
      <c r="I280" t="s">
        <v>36</v>
      </c>
      <c r="J280">
        <v>27432</v>
      </c>
      <c r="K280" t="s">
        <v>2053</v>
      </c>
    </row>
    <row r="281" spans="1:11" x14ac:dyDescent="0.35">
      <c r="A281" t="s">
        <v>326</v>
      </c>
      <c r="B281" s="1">
        <v>45845</v>
      </c>
      <c r="C281" s="1">
        <v>45848</v>
      </c>
      <c r="D281" t="s">
        <v>8</v>
      </c>
      <c r="E281" t="s">
        <v>30</v>
      </c>
      <c r="F281">
        <v>413850</v>
      </c>
      <c r="G281" t="s">
        <v>13</v>
      </c>
      <c r="H281" t="s">
        <v>15</v>
      </c>
      <c r="I281" t="s">
        <v>41</v>
      </c>
      <c r="J281">
        <v>19053</v>
      </c>
      <c r="K281" t="s">
        <v>2054</v>
      </c>
    </row>
    <row r="282" spans="1:11" x14ac:dyDescent="0.35">
      <c r="A282" t="s">
        <v>327</v>
      </c>
      <c r="B282" s="1">
        <v>45680</v>
      </c>
      <c r="C282" s="1">
        <v>45684</v>
      </c>
      <c r="D282" t="s">
        <v>39</v>
      </c>
      <c r="E282" t="s">
        <v>16</v>
      </c>
      <c r="F282">
        <v>489660</v>
      </c>
      <c r="G282" t="s">
        <v>9</v>
      </c>
      <c r="H282" t="s">
        <v>45</v>
      </c>
      <c r="I282" t="s">
        <v>45</v>
      </c>
      <c r="J282">
        <v>24931</v>
      </c>
      <c r="K282" t="s">
        <v>2053</v>
      </c>
    </row>
    <row r="283" spans="1:11" x14ac:dyDescent="0.35">
      <c r="A283" t="s">
        <v>328</v>
      </c>
      <c r="B283" s="1">
        <v>45787</v>
      </c>
      <c r="C283" s="1">
        <v>45788</v>
      </c>
      <c r="D283" t="s">
        <v>19</v>
      </c>
      <c r="E283" t="s">
        <v>20</v>
      </c>
      <c r="F283">
        <v>789847</v>
      </c>
      <c r="G283" t="s">
        <v>13</v>
      </c>
      <c r="H283" t="s">
        <v>24</v>
      </c>
      <c r="I283" t="s">
        <v>22</v>
      </c>
      <c r="J283">
        <v>17191</v>
      </c>
      <c r="K283" t="s">
        <v>2052</v>
      </c>
    </row>
    <row r="284" spans="1:11" x14ac:dyDescent="0.35">
      <c r="A284" t="s">
        <v>329</v>
      </c>
      <c r="B284" s="1">
        <v>45942</v>
      </c>
      <c r="C284" s="1">
        <v>45943</v>
      </c>
      <c r="D284" t="s">
        <v>40</v>
      </c>
      <c r="E284" t="s">
        <v>23</v>
      </c>
      <c r="F284">
        <v>375778</v>
      </c>
      <c r="G284" t="s">
        <v>28</v>
      </c>
      <c r="H284" t="s">
        <v>14</v>
      </c>
      <c r="I284" t="s">
        <v>11</v>
      </c>
      <c r="J284">
        <v>14411</v>
      </c>
      <c r="K284" t="s">
        <v>2052</v>
      </c>
    </row>
    <row r="285" spans="1:11" x14ac:dyDescent="0.35">
      <c r="A285" t="s">
        <v>330</v>
      </c>
      <c r="B285" s="1">
        <v>45793</v>
      </c>
      <c r="C285" s="1">
        <v>45794</v>
      </c>
      <c r="D285" t="s">
        <v>8</v>
      </c>
      <c r="E285" t="s">
        <v>27</v>
      </c>
      <c r="F285">
        <v>712618</v>
      </c>
      <c r="G285" t="s">
        <v>28</v>
      </c>
      <c r="H285" t="s">
        <v>43</v>
      </c>
      <c r="I285" t="s">
        <v>34</v>
      </c>
      <c r="J285">
        <v>19606</v>
      </c>
      <c r="K285" t="s">
        <v>2052</v>
      </c>
    </row>
    <row r="286" spans="1:11" x14ac:dyDescent="0.35">
      <c r="A286" t="s">
        <v>331</v>
      </c>
      <c r="B286" s="1">
        <v>45867</v>
      </c>
      <c r="C286" s="1">
        <v>45872</v>
      </c>
      <c r="D286" t="s">
        <v>8</v>
      </c>
      <c r="E286" t="s">
        <v>33</v>
      </c>
      <c r="F286">
        <v>549596</v>
      </c>
      <c r="G286" t="s">
        <v>9</v>
      </c>
      <c r="H286" t="s">
        <v>43</v>
      </c>
      <c r="I286" t="s">
        <v>44</v>
      </c>
      <c r="J286">
        <v>20452</v>
      </c>
      <c r="K286" t="s">
        <v>2053</v>
      </c>
    </row>
    <row r="287" spans="1:11" x14ac:dyDescent="0.35">
      <c r="A287" t="s">
        <v>332</v>
      </c>
      <c r="B287" s="1">
        <v>45953</v>
      </c>
      <c r="C287" s="1">
        <v>45956</v>
      </c>
      <c r="D287" t="s">
        <v>19</v>
      </c>
      <c r="E287" t="s">
        <v>12</v>
      </c>
      <c r="F287">
        <v>636640</v>
      </c>
      <c r="G287" t="s">
        <v>9</v>
      </c>
      <c r="H287" t="s">
        <v>21</v>
      </c>
      <c r="I287" t="s">
        <v>29</v>
      </c>
      <c r="J287">
        <v>14643</v>
      </c>
      <c r="K287" t="s">
        <v>2053</v>
      </c>
    </row>
    <row r="288" spans="1:11" x14ac:dyDescent="0.35">
      <c r="A288" t="s">
        <v>333</v>
      </c>
      <c r="B288" s="1">
        <v>45750</v>
      </c>
      <c r="C288" s="1">
        <v>45752</v>
      </c>
      <c r="D288" t="s">
        <v>8</v>
      </c>
      <c r="E288" t="s">
        <v>12</v>
      </c>
      <c r="F288">
        <v>376993</v>
      </c>
      <c r="G288" t="s">
        <v>17</v>
      </c>
      <c r="H288" t="s">
        <v>21</v>
      </c>
      <c r="I288" t="s">
        <v>34</v>
      </c>
      <c r="J288">
        <v>18261</v>
      </c>
      <c r="K288" t="s">
        <v>2053</v>
      </c>
    </row>
    <row r="289" spans="1:11" x14ac:dyDescent="0.35">
      <c r="A289" t="s">
        <v>334</v>
      </c>
      <c r="B289" s="1">
        <v>45723</v>
      </c>
      <c r="C289" s="1">
        <v>45724</v>
      </c>
      <c r="D289" t="s">
        <v>39</v>
      </c>
      <c r="E289" t="s">
        <v>20</v>
      </c>
      <c r="F289">
        <v>116284</v>
      </c>
      <c r="G289" t="s">
        <v>17</v>
      </c>
      <c r="H289" t="s">
        <v>22</v>
      </c>
      <c r="I289" t="s">
        <v>25</v>
      </c>
      <c r="J289">
        <v>27455</v>
      </c>
      <c r="K289" t="s">
        <v>2053</v>
      </c>
    </row>
    <row r="290" spans="1:11" x14ac:dyDescent="0.35">
      <c r="A290" t="s">
        <v>335</v>
      </c>
      <c r="B290" s="1">
        <v>45884</v>
      </c>
      <c r="C290" s="1">
        <v>45886</v>
      </c>
      <c r="D290" t="s">
        <v>19</v>
      </c>
      <c r="E290" t="s">
        <v>27</v>
      </c>
      <c r="F290">
        <v>126175</v>
      </c>
      <c r="G290" t="s">
        <v>13</v>
      </c>
      <c r="H290" t="s">
        <v>11</v>
      </c>
      <c r="I290" t="s">
        <v>24</v>
      </c>
      <c r="J290">
        <v>16374</v>
      </c>
      <c r="K290" t="s">
        <v>2050</v>
      </c>
    </row>
    <row r="291" spans="1:11" x14ac:dyDescent="0.35">
      <c r="A291" t="s">
        <v>336</v>
      </c>
      <c r="B291" s="1">
        <v>45981</v>
      </c>
      <c r="C291" s="1">
        <v>45985</v>
      </c>
      <c r="D291" t="s">
        <v>39</v>
      </c>
      <c r="E291" t="s">
        <v>16</v>
      </c>
      <c r="F291">
        <v>100815</v>
      </c>
      <c r="G291" t="s">
        <v>17</v>
      </c>
      <c r="H291" t="s">
        <v>25</v>
      </c>
      <c r="I291" t="s">
        <v>31</v>
      </c>
      <c r="J291">
        <v>26285</v>
      </c>
      <c r="K291" t="s">
        <v>2051</v>
      </c>
    </row>
    <row r="292" spans="1:11" x14ac:dyDescent="0.35">
      <c r="A292" t="s">
        <v>337</v>
      </c>
      <c r="B292" s="1">
        <v>46014</v>
      </c>
      <c r="C292" s="1">
        <v>46015</v>
      </c>
      <c r="D292" t="s">
        <v>40</v>
      </c>
      <c r="E292" t="s">
        <v>16</v>
      </c>
      <c r="F292">
        <v>169853</v>
      </c>
      <c r="G292" t="s">
        <v>28</v>
      </c>
      <c r="H292" t="s">
        <v>32</v>
      </c>
      <c r="I292" t="s">
        <v>15</v>
      </c>
      <c r="J292">
        <v>14188</v>
      </c>
      <c r="K292" t="s">
        <v>2052</v>
      </c>
    </row>
    <row r="293" spans="1:11" x14ac:dyDescent="0.35">
      <c r="A293" t="s">
        <v>338</v>
      </c>
      <c r="B293" s="1">
        <v>45735</v>
      </c>
      <c r="C293" s="1">
        <v>45736</v>
      </c>
      <c r="D293" t="s">
        <v>39</v>
      </c>
      <c r="E293" t="s">
        <v>30</v>
      </c>
      <c r="F293">
        <v>803161</v>
      </c>
      <c r="G293" t="s">
        <v>17</v>
      </c>
      <c r="H293" t="s">
        <v>45</v>
      </c>
      <c r="I293" t="s">
        <v>14</v>
      </c>
      <c r="J293">
        <v>26248</v>
      </c>
      <c r="K293" t="s">
        <v>2053</v>
      </c>
    </row>
    <row r="294" spans="1:11" x14ac:dyDescent="0.35">
      <c r="A294" t="s">
        <v>339</v>
      </c>
      <c r="B294" s="1">
        <v>45779</v>
      </c>
      <c r="C294" s="1">
        <v>45782</v>
      </c>
      <c r="D294" t="s">
        <v>39</v>
      </c>
      <c r="E294" t="s">
        <v>30</v>
      </c>
      <c r="F294">
        <v>198662</v>
      </c>
      <c r="G294" t="s">
        <v>28</v>
      </c>
      <c r="H294" t="s">
        <v>34</v>
      </c>
      <c r="I294" t="s">
        <v>44</v>
      </c>
      <c r="J294">
        <v>26331</v>
      </c>
      <c r="K294" t="s">
        <v>2054</v>
      </c>
    </row>
    <row r="295" spans="1:11" x14ac:dyDescent="0.35">
      <c r="A295" t="s">
        <v>340</v>
      </c>
      <c r="B295" s="1">
        <v>45730</v>
      </c>
      <c r="C295" s="1">
        <v>45733</v>
      </c>
      <c r="D295" t="s">
        <v>8</v>
      </c>
      <c r="E295" t="s">
        <v>33</v>
      </c>
      <c r="F295">
        <v>597815</v>
      </c>
      <c r="G295" t="s">
        <v>17</v>
      </c>
      <c r="H295" t="s">
        <v>22</v>
      </c>
      <c r="I295" t="s">
        <v>14</v>
      </c>
      <c r="J295">
        <v>19806</v>
      </c>
      <c r="K295" t="s">
        <v>2053</v>
      </c>
    </row>
    <row r="296" spans="1:11" x14ac:dyDescent="0.35">
      <c r="A296" t="s">
        <v>341</v>
      </c>
      <c r="B296" s="1">
        <v>45702</v>
      </c>
      <c r="C296" s="1">
        <v>45704</v>
      </c>
      <c r="D296" t="s">
        <v>39</v>
      </c>
      <c r="E296" t="s">
        <v>20</v>
      </c>
      <c r="F296">
        <v>667960</v>
      </c>
      <c r="G296" t="s">
        <v>17</v>
      </c>
      <c r="H296" t="s">
        <v>10</v>
      </c>
      <c r="I296" t="s">
        <v>31</v>
      </c>
      <c r="J296">
        <v>26314</v>
      </c>
      <c r="K296" t="s">
        <v>2053</v>
      </c>
    </row>
    <row r="297" spans="1:11" x14ac:dyDescent="0.35">
      <c r="A297" t="s">
        <v>342</v>
      </c>
      <c r="B297" s="1">
        <v>45989</v>
      </c>
      <c r="C297" s="1">
        <v>45990</v>
      </c>
      <c r="D297" t="s">
        <v>19</v>
      </c>
      <c r="E297" t="s">
        <v>16</v>
      </c>
      <c r="F297">
        <v>796422</v>
      </c>
      <c r="G297" t="s">
        <v>17</v>
      </c>
      <c r="H297" t="s">
        <v>10</v>
      </c>
      <c r="I297" t="s">
        <v>29</v>
      </c>
      <c r="J297">
        <v>16641</v>
      </c>
      <c r="K297" t="s">
        <v>2054</v>
      </c>
    </row>
    <row r="298" spans="1:11" x14ac:dyDescent="0.35">
      <c r="A298" t="s">
        <v>343</v>
      </c>
      <c r="B298" s="1">
        <v>45772</v>
      </c>
      <c r="C298" s="1">
        <v>45774</v>
      </c>
      <c r="D298" t="s">
        <v>8</v>
      </c>
      <c r="E298" t="s">
        <v>23</v>
      </c>
      <c r="F298">
        <v>541991</v>
      </c>
      <c r="G298" t="s">
        <v>28</v>
      </c>
      <c r="H298" t="s">
        <v>31</v>
      </c>
      <c r="I298" t="s">
        <v>18</v>
      </c>
      <c r="J298">
        <v>20401</v>
      </c>
      <c r="K298" t="s">
        <v>2050</v>
      </c>
    </row>
    <row r="299" spans="1:11" x14ac:dyDescent="0.35">
      <c r="A299" t="s">
        <v>344</v>
      </c>
      <c r="B299" s="1">
        <v>45881</v>
      </c>
      <c r="C299" s="1">
        <v>45882</v>
      </c>
      <c r="D299" t="s">
        <v>19</v>
      </c>
      <c r="E299" t="s">
        <v>33</v>
      </c>
      <c r="F299">
        <v>517836</v>
      </c>
      <c r="G299" t="s">
        <v>26</v>
      </c>
      <c r="H299" t="s">
        <v>44</v>
      </c>
      <c r="I299" t="s">
        <v>29</v>
      </c>
      <c r="J299">
        <v>16771</v>
      </c>
      <c r="K299" t="s">
        <v>2050</v>
      </c>
    </row>
    <row r="300" spans="1:11" x14ac:dyDescent="0.35">
      <c r="A300" t="s">
        <v>345</v>
      </c>
      <c r="B300" s="1">
        <v>45865</v>
      </c>
      <c r="C300" s="1">
        <v>45868</v>
      </c>
      <c r="D300" t="s">
        <v>8</v>
      </c>
      <c r="E300" t="s">
        <v>23</v>
      </c>
      <c r="F300">
        <v>619727</v>
      </c>
      <c r="G300" t="s">
        <v>26</v>
      </c>
      <c r="H300" t="s">
        <v>22</v>
      </c>
      <c r="I300" t="s">
        <v>35</v>
      </c>
      <c r="J300">
        <v>21180</v>
      </c>
      <c r="K300" t="s">
        <v>2050</v>
      </c>
    </row>
    <row r="301" spans="1:11" x14ac:dyDescent="0.35">
      <c r="A301" t="s">
        <v>346</v>
      </c>
      <c r="B301" s="1">
        <v>45909</v>
      </c>
      <c r="C301" s="1">
        <v>45914</v>
      </c>
      <c r="D301" t="s">
        <v>39</v>
      </c>
      <c r="E301" t="s">
        <v>30</v>
      </c>
      <c r="F301">
        <v>116722</v>
      </c>
      <c r="G301" t="s">
        <v>28</v>
      </c>
      <c r="H301" t="s">
        <v>24</v>
      </c>
      <c r="I301" t="s">
        <v>34</v>
      </c>
      <c r="J301">
        <v>26077</v>
      </c>
      <c r="K301" t="s">
        <v>2052</v>
      </c>
    </row>
    <row r="302" spans="1:11" x14ac:dyDescent="0.35">
      <c r="A302" t="s">
        <v>347</v>
      </c>
      <c r="B302" s="1">
        <v>45984</v>
      </c>
      <c r="C302" s="1">
        <v>45987</v>
      </c>
      <c r="D302" t="s">
        <v>39</v>
      </c>
      <c r="E302" t="s">
        <v>30</v>
      </c>
      <c r="F302">
        <v>610999</v>
      </c>
      <c r="G302" t="s">
        <v>17</v>
      </c>
      <c r="H302" t="s">
        <v>43</v>
      </c>
      <c r="I302" t="s">
        <v>36</v>
      </c>
      <c r="J302">
        <v>25113</v>
      </c>
      <c r="K302" t="s">
        <v>2053</v>
      </c>
    </row>
    <row r="303" spans="1:11" x14ac:dyDescent="0.35">
      <c r="A303" t="s">
        <v>348</v>
      </c>
      <c r="B303" s="1">
        <v>45704</v>
      </c>
      <c r="C303" s="1">
        <v>45708</v>
      </c>
      <c r="D303" t="s">
        <v>19</v>
      </c>
      <c r="E303" t="s">
        <v>16</v>
      </c>
      <c r="F303">
        <v>957470</v>
      </c>
      <c r="G303" t="s">
        <v>28</v>
      </c>
      <c r="H303" t="s">
        <v>18</v>
      </c>
      <c r="I303" t="s">
        <v>21</v>
      </c>
      <c r="J303">
        <v>16548</v>
      </c>
      <c r="K303" t="s">
        <v>2052</v>
      </c>
    </row>
    <row r="304" spans="1:11" x14ac:dyDescent="0.35">
      <c r="A304" t="s">
        <v>349</v>
      </c>
      <c r="B304" s="1">
        <v>45873</v>
      </c>
      <c r="C304" s="1">
        <v>45874</v>
      </c>
      <c r="D304" t="s">
        <v>39</v>
      </c>
      <c r="E304" t="s">
        <v>30</v>
      </c>
      <c r="F304">
        <v>590244</v>
      </c>
      <c r="G304" t="s">
        <v>26</v>
      </c>
      <c r="H304" t="s">
        <v>36</v>
      </c>
      <c r="I304" t="s">
        <v>15</v>
      </c>
      <c r="J304">
        <v>24956</v>
      </c>
      <c r="K304" t="s">
        <v>2054</v>
      </c>
    </row>
    <row r="305" spans="1:11" x14ac:dyDescent="0.35">
      <c r="A305" t="s">
        <v>350</v>
      </c>
      <c r="B305" s="1">
        <v>45906</v>
      </c>
      <c r="C305" s="1">
        <v>45908</v>
      </c>
      <c r="D305" t="s">
        <v>39</v>
      </c>
      <c r="E305" t="s">
        <v>38</v>
      </c>
      <c r="F305">
        <v>845712</v>
      </c>
      <c r="G305" t="s">
        <v>17</v>
      </c>
      <c r="H305" t="s">
        <v>35</v>
      </c>
      <c r="I305" t="s">
        <v>11</v>
      </c>
      <c r="J305">
        <v>23382</v>
      </c>
      <c r="K305" t="s">
        <v>2054</v>
      </c>
    </row>
    <row r="306" spans="1:11" x14ac:dyDescent="0.35">
      <c r="A306" t="s">
        <v>351</v>
      </c>
      <c r="B306" s="1">
        <v>45746</v>
      </c>
      <c r="C306" s="1">
        <v>45748</v>
      </c>
      <c r="D306" t="s">
        <v>39</v>
      </c>
      <c r="E306" t="s">
        <v>27</v>
      </c>
      <c r="F306">
        <v>560394</v>
      </c>
      <c r="G306" t="s">
        <v>26</v>
      </c>
      <c r="H306" t="s">
        <v>24</v>
      </c>
      <c r="I306" t="s">
        <v>29</v>
      </c>
      <c r="J306">
        <v>25232</v>
      </c>
      <c r="K306" t="s">
        <v>2054</v>
      </c>
    </row>
    <row r="307" spans="1:11" x14ac:dyDescent="0.35">
      <c r="A307" t="s">
        <v>352</v>
      </c>
      <c r="B307" s="1">
        <v>45846</v>
      </c>
      <c r="C307" s="1">
        <v>45849</v>
      </c>
      <c r="D307" t="s">
        <v>39</v>
      </c>
      <c r="E307" t="s">
        <v>30</v>
      </c>
      <c r="F307">
        <v>174115</v>
      </c>
      <c r="G307" t="s">
        <v>26</v>
      </c>
      <c r="H307" t="s">
        <v>29</v>
      </c>
      <c r="I307" t="s">
        <v>24</v>
      </c>
      <c r="J307">
        <v>24477</v>
      </c>
      <c r="K307" t="s">
        <v>2054</v>
      </c>
    </row>
    <row r="308" spans="1:11" x14ac:dyDescent="0.35">
      <c r="A308" t="s">
        <v>353</v>
      </c>
      <c r="B308" s="1">
        <v>45887</v>
      </c>
      <c r="C308" s="1">
        <v>45890</v>
      </c>
      <c r="D308" t="s">
        <v>40</v>
      </c>
      <c r="E308" t="s">
        <v>16</v>
      </c>
      <c r="F308">
        <v>496865</v>
      </c>
      <c r="G308" t="s">
        <v>26</v>
      </c>
      <c r="H308" t="s">
        <v>32</v>
      </c>
      <c r="I308" t="s">
        <v>35</v>
      </c>
      <c r="J308">
        <v>13363</v>
      </c>
      <c r="K308" t="s">
        <v>2054</v>
      </c>
    </row>
    <row r="309" spans="1:11" x14ac:dyDescent="0.35">
      <c r="A309" t="s">
        <v>354</v>
      </c>
      <c r="B309" s="1">
        <v>45854</v>
      </c>
      <c r="C309" s="1">
        <v>45855</v>
      </c>
      <c r="D309" t="s">
        <v>40</v>
      </c>
      <c r="E309" t="s">
        <v>30</v>
      </c>
      <c r="F309">
        <v>809102</v>
      </c>
      <c r="G309" t="s">
        <v>13</v>
      </c>
      <c r="H309" t="s">
        <v>36</v>
      </c>
      <c r="I309" t="s">
        <v>10</v>
      </c>
      <c r="J309">
        <v>13988</v>
      </c>
      <c r="K309" t="s">
        <v>2054</v>
      </c>
    </row>
    <row r="310" spans="1:11" x14ac:dyDescent="0.35">
      <c r="A310" t="s">
        <v>355</v>
      </c>
      <c r="B310" s="1">
        <v>45935</v>
      </c>
      <c r="C310" s="1">
        <v>45936</v>
      </c>
      <c r="D310" t="s">
        <v>19</v>
      </c>
      <c r="E310" t="s">
        <v>30</v>
      </c>
      <c r="F310">
        <v>548153</v>
      </c>
      <c r="G310" t="s">
        <v>26</v>
      </c>
      <c r="H310" t="s">
        <v>42</v>
      </c>
      <c r="I310" t="s">
        <v>11</v>
      </c>
      <c r="J310">
        <v>15690</v>
      </c>
      <c r="K310" t="s">
        <v>2054</v>
      </c>
    </row>
    <row r="311" spans="1:11" x14ac:dyDescent="0.35">
      <c r="A311" t="s">
        <v>356</v>
      </c>
      <c r="B311" s="1">
        <v>45752</v>
      </c>
      <c r="C311" s="1">
        <v>45756</v>
      </c>
      <c r="D311" t="s">
        <v>19</v>
      </c>
      <c r="E311" t="s">
        <v>23</v>
      </c>
      <c r="F311">
        <v>402880</v>
      </c>
      <c r="G311" t="s">
        <v>17</v>
      </c>
      <c r="H311" t="s">
        <v>24</v>
      </c>
      <c r="I311" t="s">
        <v>18</v>
      </c>
      <c r="J311">
        <v>17135</v>
      </c>
      <c r="K311" t="s">
        <v>2050</v>
      </c>
    </row>
    <row r="312" spans="1:11" x14ac:dyDescent="0.35">
      <c r="A312" t="s">
        <v>357</v>
      </c>
      <c r="B312" s="1">
        <v>45665</v>
      </c>
      <c r="C312" s="1">
        <v>45669</v>
      </c>
      <c r="D312" t="s">
        <v>39</v>
      </c>
      <c r="E312" t="s">
        <v>33</v>
      </c>
      <c r="F312">
        <v>641599</v>
      </c>
      <c r="G312" t="s">
        <v>17</v>
      </c>
      <c r="H312" t="s">
        <v>15</v>
      </c>
      <c r="I312" t="s">
        <v>18</v>
      </c>
      <c r="J312">
        <v>25525</v>
      </c>
      <c r="K312" t="s">
        <v>2050</v>
      </c>
    </row>
    <row r="313" spans="1:11" x14ac:dyDescent="0.35">
      <c r="A313" t="s">
        <v>358</v>
      </c>
      <c r="B313" s="1">
        <v>45839</v>
      </c>
      <c r="C313" s="1">
        <v>45840</v>
      </c>
      <c r="D313" t="s">
        <v>8</v>
      </c>
      <c r="E313" t="s">
        <v>12</v>
      </c>
      <c r="F313">
        <v>901821</v>
      </c>
      <c r="G313" t="s">
        <v>26</v>
      </c>
      <c r="H313" t="s">
        <v>45</v>
      </c>
      <c r="I313" t="s">
        <v>32</v>
      </c>
      <c r="J313">
        <v>17853</v>
      </c>
      <c r="K313" t="s">
        <v>2050</v>
      </c>
    </row>
    <row r="314" spans="1:11" x14ac:dyDescent="0.35">
      <c r="A314" t="s">
        <v>359</v>
      </c>
      <c r="B314" s="1">
        <v>45711</v>
      </c>
      <c r="C314" s="1">
        <v>45712</v>
      </c>
      <c r="D314" t="s">
        <v>39</v>
      </c>
      <c r="E314" t="s">
        <v>20</v>
      </c>
      <c r="F314">
        <v>251770</v>
      </c>
      <c r="G314" t="s">
        <v>28</v>
      </c>
      <c r="H314" t="s">
        <v>18</v>
      </c>
      <c r="I314" t="s">
        <v>31</v>
      </c>
      <c r="J314">
        <v>27418</v>
      </c>
      <c r="K314" t="s">
        <v>2050</v>
      </c>
    </row>
    <row r="315" spans="1:11" x14ac:dyDescent="0.35">
      <c r="A315" t="s">
        <v>360</v>
      </c>
      <c r="B315" s="1">
        <v>45876</v>
      </c>
      <c r="C315" s="1">
        <v>45877</v>
      </c>
      <c r="D315" t="s">
        <v>39</v>
      </c>
      <c r="E315" t="s">
        <v>23</v>
      </c>
      <c r="F315">
        <v>733427</v>
      </c>
      <c r="G315" t="s">
        <v>28</v>
      </c>
      <c r="H315" t="s">
        <v>15</v>
      </c>
      <c r="I315" t="s">
        <v>32</v>
      </c>
      <c r="J315">
        <v>25374</v>
      </c>
      <c r="K315" t="s">
        <v>2050</v>
      </c>
    </row>
    <row r="316" spans="1:11" x14ac:dyDescent="0.35">
      <c r="A316" t="s">
        <v>361</v>
      </c>
      <c r="B316" s="1">
        <v>45766</v>
      </c>
      <c r="C316" s="1">
        <v>45767</v>
      </c>
      <c r="D316" t="s">
        <v>39</v>
      </c>
      <c r="E316" t="s">
        <v>30</v>
      </c>
      <c r="F316">
        <v>297249</v>
      </c>
      <c r="G316" t="s">
        <v>26</v>
      </c>
      <c r="H316" t="s">
        <v>45</v>
      </c>
      <c r="I316" t="s">
        <v>32</v>
      </c>
      <c r="J316">
        <v>24991</v>
      </c>
      <c r="K316" t="s">
        <v>2050</v>
      </c>
    </row>
    <row r="317" spans="1:11" x14ac:dyDescent="0.35">
      <c r="A317" t="s">
        <v>362</v>
      </c>
      <c r="B317" s="1">
        <v>45665</v>
      </c>
      <c r="C317" s="1">
        <v>45670</v>
      </c>
      <c r="D317" t="s">
        <v>19</v>
      </c>
      <c r="E317" t="s">
        <v>12</v>
      </c>
      <c r="F317">
        <v>801417</v>
      </c>
      <c r="G317" t="s">
        <v>13</v>
      </c>
      <c r="H317" t="s">
        <v>36</v>
      </c>
      <c r="I317" t="s">
        <v>21</v>
      </c>
      <c r="J317">
        <v>14412</v>
      </c>
      <c r="K317" t="s">
        <v>2050</v>
      </c>
    </row>
    <row r="318" spans="1:11" x14ac:dyDescent="0.35">
      <c r="A318" t="s">
        <v>363</v>
      </c>
      <c r="B318" s="1">
        <v>45887</v>
      </c>
      <c r="C318" s="1">
        <v>45891</v>
      </c>
      <c r="D318" t="s">
        <v>19</v>
      </c>
      <c r="E318" t="s">
        <v>27</v>
      </c>
      <c r="F318">
        <v>967229</v>
      </c>
      <c r="G318" t="s">
        <v>28</v>
      </c>
      <c r="H318" t="s">
        <v>24</v>
      </c>
      <c r="I318" t="s">
        <v>21</v>
      </c>
      <c r="J318">
        <v>15724</v>
      </c>
      <c r="K318" t="s">
        <v>2050</v>
      </c>
    </row>
    <row r="319" spans="1:11" x14ac:dyDescent="0.35">
      <c r="A319" t="s">
        <v>364</v>
      </c>
      <c r="B319" s="1">
        <v>45988</v>
      </c>
      <c r="C319" s="1">
        <v>45992</v>
      </c>
      <c r="D319" t="s">
        <v>8</v>
      </c>
      <c r="E319" t="s">
        <v>33</v>
      </c>
      <c r="F319">
        <v>672843</v>
      </c>
      <c r="G319" t="s">
        <v>17</v>
      </c>
      <c r="H319" t="s">
        <v>22</v>
      </c>
      <c r="I319" t="s">
        <v>31</v>
      </c>
      <c r="J319">
        <v>21417</v>
      </c>
      <c r="K319" t="s">
        <v>2050</v>
      </c>
    </row>
    <row r="320" spans="1:11" x14ac:dyDescent="0.35">
      <c r="A320" t="s">
        <v>365</v>
      </c>
      <c r="B320" s="1">
        <v>45940</v>
      </c>
      <c r="C320" s="1">
        <v>45943</v>
      </c>
      <c r="D320" t="s">
        <v>8</v>
      </c>
      <c r="E320" t="s">
        <v>16</v>
      </c>
      <c r="F320">
        <v>731892</v>
      </c>
      <c r="G320" t="s">
        <v>9</v>
      </c>
      <c r="H320" t="s">
        <v>11</v>
      </c>
      <c r="I320" t="s">
        <v>42</v>
      </c>
      <c r="J320">
        <v>20268</v>
      </c>
      <c r="K320" t="s">
        <v>2052</v>
      </c>
    </row>
    <row r="321" spans="1:11" x14ac:dyDescent="0.35">
      <c r="A321" t="s">
        <v>366</v>
      </c>
      <c r="B321" s="1">
        <v>45705</v>
      </c>
      <c r="C321" s="1">
        <v>45708</v>
      </c>
      <c r="D321" t="s">
        <v>40</v>
      </c>
      <c r="E321" t="s">
        <v>30</v>
      </c>
      <c r="F321">
        <v>107661</v>
      </c>
      <c r="G321" t="s">
        <v>28</v>
      </c>
      <c r="H321" t="s">
        <v>31</v>
      </c>
      <c r="I321" t="s">
        <v>24</v>
      </c>
      <c r="J321">
        <v>13533</v>
      </c>
      <c r="K321" t="s">
        <v>2052</v>
      </c>
    </row>
    <row r="322" spans="1:11" x14ac:dyDescent="0.35">
      <c r="A322" t="s">
        <v>367</v>
      </c>
      <c r="B322" s="1">
        <v>45875</v>
      </c>
      <c r="C322" s="1">
        <v>45880</v>
      </c>
      <c r="D322" t="s">
        <v>19</v>
      </c>
      <c r="E322" t="s">
        <v>20</v>
      </c>
      <c r="F322">
        <v>314660</v>
      </c>
      <c r="G322" t="s">
        <v>9</v>
      </c>
      <c r="H322" t="s">
        <v>43</v>
      </c>
      <c r="I322" t="s">
        <v>32</v>
      </c>
      <c r="J322">
        <v>17885</v>
      </c>
      <c r="K322" t="s">
        <v>2052</v>
      </c>
    </row>
    <row r="323" spans="1:11" x14ac:dyDescent="0.35">
      <c r="A323" t="s">
        <v>368</v>
      </c>
      <c r="B323" s="1">
        <v>45658</v>
      </c>
      <c r="C323" s="1">
        <v>45662</v>
      </c>
      <c r="D323" t="s">
        <v>19</v>
      </c>
      <c r="E323" t="s">
        <v>23</v>
      </c>
      <c r="F323">
        <v>600230</v>
      </c>
      <c r="G323" t="s">
        <v>26</v>
      </c>
      <c r="H323" t="s">
        <v>22</v>
      </c>
      <c r="I323" t="s">
        <v>25</v>
      </c>
      <c r="J323">
        <v>17793</v>
      </c>
      <c r="K323" t="s">
        <v>2052</v>
      </c>
    </row>
    <row r="324" spans="1:11" x14ac:dyDescent="0.35">
      <c r="A324" t="s">
        <v>369</v>
      </c>
      <c r="B324" s="1">
        <v>45786</v>
      </c>
      <c r="C324" s="1">
        <v>45787</v>
      </c>
      <c r="D324" t="s">
        <v>40</v>
      </c>
      <c r="E324" t="s">
        <v>12</v>
      </c>
      <c r="F324">
        <v>605282</v>
      </c>
      <c r="G324" t="s">
        <v>26</v>
      </c>
      <c r="H324" t="s">
        <v>35</v>
      </c>
      <c r="I324" t="s">
        <v>44</v>
      </c>
      <c r="J324">
        <v>12998</v>
      </c>
      <c r="K324" t="s">
        <v>2052</v>
      </c>
    </row>
    <row r="325" spans="1:11" x14ac:dyDescent="0.35">
      <c r="A325" t="s">
        <v>370</v>
      </c>
      <c r="B325" s="1">
        <v>45895</v>
      </c>
      <c r="C325" s="1">
        <v>45899</v>
      </c>
      <c r="D325" t="s">
        <v>19</v>
      </c>
      <c r="E325" t="s">
        <v>16</v>
      </c>
      <c r="F325">
        <v>243432</v>
      </c>
      <c r="G325" t="s">
        <v>17</v>
      </c>
      <c r="H325" t="s">
        <v>45</v>
      </c>
      <c r="I325" t="s">
        <v>42</v>
      </c>
      <c r="J325">
        <v>15450</v>
      </c>
      <c r="K325" t="s">
        <v>2052</v>
      </c>
    </row>
    <row r="326" spans="1:11" x14ac:dyDescent="0.35">
      <c r="A326" t="s">
        <v>371</v>
      </c>
      <c r="B326" s="1">
        <v>45837</v>
      </c>
      <c r="C326" s="1">
        <v>45842</v>
      </c>
      <c r="D326" t="s">
        <v>19</v>
      </c>
      <c r="E326" t="s">
        <v>27</v>
      </c>
      <c r="F326">
        <v>408996</v>
      </c>
      <c r="G326" t="s">
        <v>26</v>
      </c>
      <c r="H326" t="s">
        <v>24</v>
      </c>
      <c r="I326" t="s">
        <v>43</v>
      </c>
      <c r="J326">
        <v>16637</v>
      </c>
      <c r="K326" t="s">
        <v>2052</v>
      </c>
    </row>
    <row r="327" spans="1:11" x14ac:dyDescent="0.35">
      <c r="A327" t="s">
        <v>372</v>
      </c>
      <c r="B327" s="1">
        <v>45952</v>
      </c>
      <c r="C327" s="1">
        <v>45954</v>
      </c>
      <c r="D327" t="s">
        <v>8</v>
      </c>
      <c r="E327" t="s">
        <v>30</v>
      </c>
      <c r="F327">
        <v>721307</v>
      </c>
      <c r="G327" t="s">
        <v>17</v>
      </c>
      <c r="H327" t="s">
        <v>41</v>
      </c>
      <c r="I327" t="s">
        <v>15</v>
      </c>
      <c r="J327">
        <v>19739</v>
      </c>
      <c r="K327" t="s">
        <v>2052</v>
      </c>
    </row>
    <row r="328" spans="1:11" x14ac:dyDescent="0.35">
      <c r="A328" t="s">
        <v>373</v>
      </c>
      <c r="B328" s="1">
        <v>45821</v>
      </c>
      <c r="C328" s="1">
        <v>45826</v>
      </c>
      <c r="D328" t="s">
        <v>19</v>
      </c>
      <c r="E328" t="s">
        <v>23</v>
      </c>
      <c r="F328">
        <v>106771</v>
      </c>
      <c r="G328" t="s">
        <v>26</v>
      </c>
      <c r="H328" t="s">
        <v>32</v>
      </c>
      <c r="I328" t="s">
        <v>24</v>
      </c>
      <c r="J328">
        <v>17300</v>
      </c>
      <c r="K328" t="s">
        <v>2052</v>
      </c>
    </row>
    <row r="329" spans="1:11" x14ac:dyDescent="0.35">
      <c r="A329" t="s">
        <v>374</v>
      </c>
      <c r="B329" s="1">
        <v>45941</v>
      </c>
      <c r="C329" s="1">
        <v>45942</v>
      </c>
      <c r="D329" t="s">
        <v>8</v>
      </c>
      <c r="E329" t="s">
        <v>16</v>
      </c>
      <c r="F329">
        <v>457091</v>
      </c>
      <c r="G329" t="s">
        <v>17</v>
      </c>
      <c r="H329" t="s">
        <v>29</v>
      </c>
      <c r="I329" t="s">
        <v>34</v>
      </c>
      <c r="J329">
        <v>19756</v>
      </c>
      <c r="K329" t="s">
        <v>2052</v>
      </c>
    </row>
    <row r="330" spans="1:11" x14ac:dyDescent="0.35">
      <c r="A330" t="s">
        <v>375</v>
      </c>
      <c r="B330" s="1">
        <v>45688</v>
      </c>
      <c r="C330" s="1">
        <v>45691</v>
      </c>
      <c r="D330" t="s">
        <v>40</v>
      </c>
      <c r="E330" t="s">
        <v>30</v>
      </c>
      <c r="F330">
        <v>638288</v>
      </c>
      <c r="G330" t="s">
        <v>28</v>
      </c>
      <c r="H330" t="s">
        <v>29</v>
      </c>
      <c r="I330" t="s">
        <v>10</v>
      </c>
      <c r="J330">
        <v>14053</v>
      </c>
      <c r="K330" t="s">
        <v>2052</v>
      </c>
    </row>
    <row r="331" spans="1:11" x14ac:dyDescent="0.35">
      <c r="A331" t="s">
        <v>376</v>
      </c>
      <c r="B331" s="1">
        <v>45847</v>
      </c>
      <c r="C331" s="1">
        <v>45848</v>
      </c>
      <c r="D331" t="s">
        <v>8</v>
      </c>
      <c r="E331" t="s">
        <v>30</v>
      </c>
      <c r="F331">
        <v>193928</v>
      </c>
      <c r="G331" t="s">
        <v>9</v>
      </c>
      <c r="H331" t="s">
        <v>18</v>
      </c>
      <c r="I331" t="s">
        <v>44</v>
      </c>
      <c r="J331">
        <v>20324</v>
      </c>
      <c r="K331" t="s">
        <v>2052</v>
      </c>
    </row>
    <row r="332" spans="1:11" x14ac:dyDescent="0.35">
      <c r="A332" t="s">
        <v>377</v>
      </c>
      <c r="B332" s="1">
        <v>45810</v>
      </c>
      <c r="C332" s="1">
        <v>45812</v>
      </c>
      <c r="D332" t="s">
        <v>19</v>
      </c>
      <c r="E332" t="s">
        <v>30</v>
      </c>
      <c r="F332">
        <v>315117</v>
      </c>
      <c r="G332" t="s">
        <v>9</v>
      </c>
      <c r="H332" t="s">
        <v>10</v>
      </c>
      <c r="I332" t="s">
        <v>21</v>
      </c>
      <c r="J332">
        <v>15873</v>
      </c>
      <c r="K332" t="s">
        <v>2052</v>
      </c>
    </row>
    <row r="333" spans="1:11" x14ac:dyDescent="0.35">
      <c r="A333" t="s">
        <v>378</v>
      </c>
      <c r="B333" s="1">
        <v>45725</v>
      </c>
      <c r="C333" s="1">
        <v>45730</v>
      </c>
      <c r="D333" t="s">
        <v>40</v>
      </c>
      <c r="E333" t="s">
        <v>20</v>
      </c>
      <c r="F333">
        <v>219843</v>
      </c>
      <c r="G333" t="s">
        <v>17</v>
      </c>
      <c r="H333" t="s">
        <v>29</v>
      </c>
      <c r="I333" t="s">
        <v>31</v>
      </c>
      <c r="J333">
        <v>14836</v>
      </c>
      <c r="K333" t="s">
        <v>2052</v>
      </c>
    </row>
    <row r="334" spans="1:11" x14ac:dyDescent="0.35">
      <c r="A334" t="s">
        <v>379</v>
      </c>
      <c r="B334" s="1">
        <v>45966</v>
      </c>
      <c r="C334" s="1">
        <v>45967</v>
      </c>
      <c r="D334" t="s">
        <v>8</v>
      </c>
      <c r="E334" t="s">
        <v>20</v>
      </c>
      <c r="F334">
        <v>624248</v>
      </c>
      <c r="G334" t="s">
        <v>26</v>
      </c>
      <c r="H334" t="s">
        <v>18</v>
      </c>
      <c r="I334" t="s">
        <v>44</v>
      </c>
      <c r="J334">
        <v>21367</v>
      </c>
      <c r="K334" t="s">
        <v>2052</v>
      </c>
    </row>
    <row r="335" spans="1:11" x14ac:dyDescent="0.35">
      <c r="A335" t="s">
        <v>380</v>
      </c>
      <c r="B335" s="1">
        <v>45659</v>
      </c>
      <c r="C335" s="1">
        <v>45664</v>
      </c>
      <c r="D335" t="s">
        <v>40</v>
      </c>
      <c r="E335" t="s">
        <v>20</v>
      </c>
      <c r="F335">
        <v>121944</v>
      </c>
      <c r="G335" t="s">
        <v>13</v>
      </c>
      <c r="H335" t="s">
        <v>11</v>
      </c>
      <c r="I335" t="s">
        <v>11</v>
      </c>
      <c r="J335">
        <v>15569</v>
      </c>
      <c r="K335" t="s">
        <v>2052</v>
      </c>
    </row>
    <row r="336" spans="1:11" x14ac:dyDescent="0.35">
      <c r="A336" t="s">
        <v>381</v>
      </c>
      <c r="B336" s="1">
        <v>45760</v>
      </c>
      <c r="C336" s="1">
        <v>45764</v>
      </c>
      <c r="D336" t="s">
        <v>8</v>
      </c>
      <c r="E336" t="s">
        <v>38</v>
      </c>
      <c r="F336">
        <v>533618</v>
      </c>
      <c r="G336" t="s">
        <v>28</v>
      </c>
      <c r="H336" t="s">
        <v>41</v>
      </c>
      <c r="I336" t="s">
        <v>29</v>
      </c>
      <c r="J336">
        <v>18161</v>
      </c>
      <c r="K336" t="s">
        <v>2052</v>
      </c>
    </row>
    <row r="337" spans="1:11" x14ac:dyDescent="0.35">
      <c r="A337" t="s">
        <v>382</v>
      </c>
      <c r="B337" s="1">
        <v>45788</v>
      </c>
      <c r="C337" s="1">
        <v>45791</v>
      </c>
      <c r="D337" t="s">
        <v>8</v>
      </c>
      <c r="E337" t="s">
        <v>38</v>
      </c>
      <c r="F337">
        <v>703533</v>
      </c>
      <c r="G337" t="s">
        <v>9</v>
      </c>
      <c r="H337" t="s">
        <v>24</v>
      </c>
      <c r="I337" t="s">
        <v>34</v>
      </c>
      <c r="J337">
        <v>17895</v>
      </c>
      <c r="K337" t="s">
        <v>2052</v>
      </c>
    </row>
    <row r="338" spans="1:11" x14ac:dyDescent="0.35">
      <c r="A338" t="s">
        <v>383</v>
      </c>
      <c r="B338" s="1">
        <v>45779</v>
      </c>
      <c r="C338" s="1">
        <v>45781</v>
      </c>
      <c r="D338" t="s">
        <v>8</v>
      </c>
      <c r="E338" t="s">
        <v>27</v>
      </c>
      <c r="F338">
        <v>249631</v>
      </c>
      <c r="G338" t="s">
        <v>13</v>
      </c>
      <c r="H338" t="s">
        <v>44</v>
      </c>
      <c r="I338" t="s">
        <v>14</v>
      </c>
      <c r="J338">
        <v>20074</v>
      </c>
      <c r="K338" t="s">
        <v>2052</v>
      </c>
    </row>
    <row r="339" spans="1:11" x14ac:dyDescent="0.35">
      <c r="A339" t="s">
        <v>384</v>
      </c>
      <c r="B339" s="1">
        <v>45781</v>
      </c>
      <c r="C339" s="1">
        <v>45786</v>
      </c>
      <c r="D339" t="s">
        <v>8</v>
      </c>
      <c r="E339" t="s">
        <v>12</v>
      </c>
      <c r="F339">
        <v>903210</v>
      </c>
      <c r="G339" t="s">
        <v>9</v>
      </c>
      <c r="H339" t="s">
        <v>43</v>
      </c>
      <c r="I339" t="s">
        <v>14</v>
      </c>
      <c r="J339">
        <v>18187</v>
      </c>
      <c r="K339" t="s">
        <v>2052</v>
      </c>
    </row>
    <row r="340" spans="1:11" x14ac:dyDescent="0.35">
      <c r="A340" t="s">
        <v>385</v>
      </c>
      <c r="B340" s="1">
        <v>45672</v>
      </c>
      <c r="C340" s="1">
        <v>45675</v>
      </c>
      <c r="D340" t="s">
        <v>40</v>
      </c>
      <c r="E340" t="s">
        <v>16</v>
      </c>
      <c r="F340">
        <v>921212</v>
      </c>
      <c r="G340" t="s">
        <v>26</v>
      </c>
      <c r="H340" t="s">
        <v>34</v>
      </c>
      <c r="I340" t="s">
        <v>11</v>
      </c>
      <c r="J340">
        <v>13362</v>
      </c>
      <c r="K340" t="s">
        <v>2052</v>
      </c>
    </row>
    <row r="341" spans="1:11" x14ac:dyDescent="0.35">
      <c r="A341" t="s">
        <v>386</v>
      </c>
      <c r="B341" s="1">
        <v>45672</v>
      </c>
      <c r="C341" s="1">
        <v>45677</v>
      </c>
      <c r="D341" t="s">
        <v>39</v>
      </c>
      <c r="E341" t="s">
        <v>27</v>
      </c>
      <c r="F341">
        <v>213728</v>
      </c>
      <c r="G341" t="s">
        <v>26</v>
      </c>
      <c r="H341" t="s">
        <v>11</v>
      </c>
      <c r="I341" t="s">
        <v>10</v>
      </c>
      <c r="J341">
        <v>26187</v>
      </c>
      <c r="K341" t="s">
        <v>2051</v>
      </c>
    </row>
    <row r="342" spans="1:11" x14ac:dyDescent="0.35">
      <c r="A342" t="s">
        <v>387</v>
      </c>
      <c r="B342" s="1">
        <v>45923</v>
      </c>
      <c r="C342" s="1">
        <v>45928</v>
      </c>
      <c r="D342" t="s">
        <v>8</v>
      </c>
      <c r="E342" t="s">
        <v>12</v>
      </c>
      <c r="F342">
        <v>757762</v>
      </c>
      <c r="G342" t="s">
        <v>26</v>
      </c>
      <c r="H342" t="s">
        <v>45</v>
      </c>
      <c r="I342" t="s">
        <v>18</v>
      </c>
      <c r="J342">
        <v>18583</v>
      </c>
      <c r="K342" t="s">
        <v>2051</v>
      </c>
    </row>
    <row r="343" spans="1:11" x14ac:dyDescent="0.35">
      <c r="A343" t="s">
        <v>388</v>
      </c>
      <c r="B343" s="1">
        <v>45754</v>
      </c>
      <c r="C343" s="1">
        <v>45757</v>
      </c>
      <c r="D343" t="s">
        <v>39</v>
      </c>
      <c r="E343" t="s">
        <v>12</v>
      </c>
      <c r="F343">
        <v>505744</v>
      </c>
      <c r="G343" t="s">
        <v>28</v>
      </c>
      <c r="H343" t="s">
        <v>35</v>
      </c>
      <c r="I343" t="s">
        <v>44</v>
      </c>
      <c r="J343">
        <v>24355</v>
      </c>
      <c r="K343" t="s">
        <v>2051</v>
      </c>
    </row>
    <row r="344" spans="1:11" x14ac:dyDescent="0.35">
      <c r="A344" t="s">
        <v>389</v>
      </c>
      <c r="B344" s="1">
        <v>45733</v>
      </c>
      <c r="C344" s="1">
        <v>45736</v>
      </c>
      <c r="D344" t="s">
        <v>19</v>
      </c>
      <c r="E344" t="s">
        <v>33</v>
      </c>
      <c r="F344">
        <v>839943</v>
      </c>
      <c r="G344" t="s">
        <v>17</v>
      </c>
      <c r="H344" t="s">
        <v>11</v>
      </c>
      <c r="I344" t="s">
        <v>43</v>
      </c>
      <c r="J344">
        <v>17887</v>
      </c>
      <c r="K344" t="s">
        <v>2051</v>
      </c>
    </row>
    <row r="345" spans="1:11" x14ac:dyDescent="0.35">
      <c r="A345" t="s">
        <v>390</v>
      </c>
      <c r="B345" s="1">
        <v>45998</v>
      </c>
      <c r="C345" s="1">
        <v>46000</v>
      </c>
      <c r="D345" t="s">
        <v>40</v>
      </c>
      <c r="E345" t="s">
        <v>16</v>
      </c>
      <c r="F345">
        <v>307668</v>
      </c>
      <c r="G345" t="s">
        <v>28</v>
      </c>
      <c r="H345" t="s">
        <v>25</v>
      </c>
      <c r="I345" t="s">
        <v>11</v>
      </c>
      <c r="J345">
        <v>13621</v>
      </c>
      <c r="K345" t="s">
        <v>2051</v>
      </c>
    </row>
    <row r="346" spans="1:11" x14ac:dyDescent="0.35">
      <c r="A346" t="s">
        <v>391</v>
      </c>
      <c r="B346" s="1">
        <v>45727</v>
      </c>
      <c r="C346" s="1">
        <v>45731</v>
      </c>
      <c r="D346" t="s">
        <v>8</v>
      </c>
      <c r="E346" t="s">
        <v>23</v>
      </c>
      <c r="F346">
        <v>474053</v>
      </c>
      <c r="G346" t="s">
        <v>17</v>
      </c>
      <c r="H346" t="s">
        <v>24</v>
      </c>
      <c r="I346" t="s">
        <v>32</v>
      </c>
      <c r="J346">
        <v>20679</v>
      </c>
      <c r="K346" t="s">
        <v>2051</v>
      </c>
    </row>
    <row r="347" spans="1:11" x14ac:dyDescent="0.35">
      <c r="A347" t="s">
        <v>392</v>
      </c>
      <c r="B347" s="1">
        <v>46010</v>
      </c>
      <c r="C347" s="1">
        <v>46013</v>
      </c>
      <c r="D347" t="s">
        <v>39</v>
      </c>
      <c r="E347" t="s">
        <v>23</v>
      </c>
      <c r="F347">
        <v>130325</v>
      </c>
      <c r="G347" t="s">
        <v>9</v>
      </c>
      <c r="H347" t="s">
        <v>10</v>
      </c>
      <c r="I347" t="s">
        <v>22</v>
      </c>
      <c r="J347">
        <v>25716</v>
      </c>
      <c r="K347" t="s">
        <v>2051</v>
      </c>
    </row>
    <row r="348" spans="1:11" x14ac:dyDescent="0.35">
      <c r="A348" t="s">
        <v>393</v>
      </c>
      <c r="B348" s="1">
        <v>45880</v>
      </c>
      <c r="C348" s="1">
        <v>45883</v>
      </c>
      <c r="D348" t="s">
        <v>8</v>
      </c>
      <c r="E348" t="s">
        <v>33</v>
      </c>
      <c r="F348">
        <v>556996</v>
      </c>
      <c r="G348" t="s">
        <v>26</v>
      </c>
      <c r="H348" t="s">
        <v>15</v>
      </c>
      <c r="I348" t="s">
        <v>32</v>
      </c>
      <c r="J348">
        <v>21300</v>
      </c>
      <c r="K348" t="s">
        <v>2051</v>
      </c>
    </row>
    <row r="349" spans="1:11" x14ac:dyDescent="0.35">
      <c r="A349" t="s">
        <v>394</v>
      </c>
      <c r="B349" s="1">
        <v>45795</v>
      </c>
      <c r="C349" s="1">
        <v>45800</v>
      </c>
      <c r="D349" t="s">
        <v>8</v>
      </c>
      <c r="E349" t="s">
        <v>27</v>
      </c>
      <c r="F349">
        <v>943913</v>
      </c>
      <c r="G349" t="s">
        <v>26</v>
      </c>
      <c r="H349" t="s">
        <v>31</v>
      </c>
      <c r="I349" t="s">
        <v>29</v>
      </c>
      <c r="J349">
        <v>19252</v>
      </c>
      <c r="K349" t="s">
        <v>2051</v>
      </c>
    </row>
    <row r="350" spans="1:11" x14ac:dyDescent="0.35">
      <c r="A350" t="s">
        <v>395</v>
      </c>
      <c r="B350" s="1">
        <v>45973</v>
      </c>
      <c r="C350" s="1">
        <v>45974</v>
      </c>
      <c r="D350" t="s">
        <v>8</v>
      </c>
      <c r="E350" t="s">
        <v>30</v>
      </c>
      <c r="F350">
        <v>474280</v>
      </c>
      <c r="G350" t="s">
        <v>28</v>
      </c>
      <c r="H350" t="s">
        <v>36</v>
      </c>
      <c r="I350" t="s">
        <v>25</v>
      </c>
      <c r="J350">
        <v>19708</v>
      </c>
      <c r="K350" t="s">
        <v>2051</v>
      </c>
    </row>
    <row r="351" spans="1:11" x14ac:dyDescent="0.35">
      <c r="A351" t="s">
        <v>396</v>
      </c>
      <c r="B351" s="1">
        <v>45993</v>
      </c>
      <c r="C351" s="1">
        <v>45998</v>
      </c>
      <c r="D351" t="s">
        <v>19</v>
      </c>
      <c r="E351" t="s">
        <v>33</v>
      </c>
      <c r="F351">
        <v>945840</v>
      </c>
      <c r="G351" t="s">
        <v>17</v>
      </c>
      <c r="H351" t="s">
        <v>34</v>
      </c>
      <c r="I351" t="s">
        <v>29</v>
      </c>
      <c r="J351">
        <v>17539</v>
      </c>
      <c r="K351" t="s">
        <v>2051</v>
      </c>
    </row>
    <row r="352" spans="1:11" x14ac:dyDescent="0.35">
      <c r="A352" t="s">
        <v>397</v>
      </c>
      <c r="B352" s="1">
        <v>45665</v>
      </c>
      <c r="C352" s="1">
        <v>45668</v>
      </c>
      <c r="D352" t="s">
        <v>8</v>
      </c>
      <c r="E352" t="s">
        <v>27</v>
      </c>
      <c r="F352">
        <v>380725</v>
      </c>
      <c r="G352" t="s">
        <v>13</v>
      </c>
      <c r="H352" t="s">
        <v>15</v>
      </c>
      <c r="I352" t="s">
        <v>21</v>
      </c>
      <c r="J352">
        <v>20311</v>
      </c>
      <c r="K352" t="s">
        <v>2051</v>
      </c>
    </row>
    <row r="353" spans="1:11" x14ac:dyDescent="0.35">
      <c r="A353" t="s">
        <v>398</v>
      </c>
      <c r="B353" s="1">
        <v>46001</v>
      </c>
      <c r="C353" s="1">
        <v>46003</v>
      </c>
      <c r="D353" t="s">
        <v>39</v>
      </c>
      <c r="E353" t="s">
        <v>20</v>
      </c>
      <c r="F353">
        <v>352377</v>
      </c>
      <c r="G353" t="s">
        <v>26</v>
      </c>
      <c r="H353" t="s">
        <v>22</v>
      </c>
      <c r="I353" t="s">
        <v>31</v>
      </c>
      <c r="J353">
        <v>25416</v>
      </c>
      <c r="K353" t="s">
        <v>2051</v>
      </c>
    </row>
    <row r="354" spans="1:11" x14ac:dyDescent="0.35">
      <c r="A354" t="s">
        <v>399</v>
      </c>
      <c r="B354" s="1">
        <v>45851</v>
      </c>
      <c r="C354" s="1">
        <v>45853</v>
      </c>
      <c r="D354" t="s">
        <v>8</v>
      </c>
      <c r="E354" t="s">
        <v>23</v>
      </c>
      <c r="F354">
        <v>798505</v>
      </c>
      <c r="G354" t="s">
        <v>13</v>
      </c>
      <c r="H354" t="s">
        <v>31</v>
      </c>
      <c r="I354" t="s">
        <v>14</v>
      </c>
      <c r="J354">
        <v>19861</v>
      </c>
      <c r="K354" t="s">
        <v>2051</v>
      </c>
    </row>
    <row r="355" spans="1:11" x14ac:dyDescent="0.35">
      <c r="A355" t="s">
        <v>400</v>
      </c>
      <c r="B355" s="1">
        <v>45884</v>
      </c>
      <c r="C355" s="1">
        <v>45886</v>
      </c>
      <c r="D355" t="s">
        <v>39</v>
      </c>
      <c r="E355" t="s">
        <v>33</v>
      </c>
      <c r="F355">
        <v>918839</v>
      </c>
      <c r="G355" t="s">
        <v>9</v>
      </c>
      <c r="H355" t="s">
        <v>31</v>
      </c>
      <c r="I355" t="s">
        <v>29</v>
      </c>
      <c r="J355">
        <v>26718</v>
      </c>
      <c r="K355" t="s">
        <v>2051</v>
      </c>
    </row>
    <row r="356" spans="1:11" x14ac:dyDescent="0.35">
      <c r="A356" t="s">
        <v>401</v>
      </c>
      <c r="B356" s="1">
        <v>45869</v>
      </c>
      <c r="C356" s="1">
        <v>45873</v>
      </c>
      <c r="D356" t="s">
        <v>39</v>
      </c>
      <c r="E356" t="s">
        <v>23</v>
      </c>
      <c r="F356">
        <v>830452</v>
      </c>
      <c r="G356" t="s">
        <v>28</v>
      </c>
      <c r="H356" t="s">
        <v>35</v>
      </c>
      <c r="I356" t="s">
        <v>32</v>
      </c>
      <c r="J356">
        <v>25601</v>
      </c>
      <c r="K356" t="s">
        <v>2051</v>
      </c>
    </row>
    <row r="357" spans="1:11" x14ac:dyDescent="0.35">
      <c r="A357" t="s">
        <v>402</v>
      </c>
      <c r="B357" s="1">
        <v>45958</v>
      </c>
      <c r="C357" s="1">
        <v>45962</v>
      </c>
      <c r="D357" t="s">
        <v>40</v>
      </c>
      <c r="E357" t="s">
        <v>12</v>
      </c>
      <c r="F357">
        <v>359921</v>
      </c>
      <c r="G357" t="s">
        <v>28</v>
      </c>
      <c r="H357" t="s">
        <v>45</v>
      </c>
      <c r="I357" t="s">
        <v>22</v>
      </c>
      <c r="J357">
        <v>12629</v>
      </c>
      <c r="K357" t="s">
        <v>2051</v>
      </c>
    </row>
    <row r="358" spans="1:11" x14ac:dyDescent="0.35">
      <c r="A358" t="s">
        <v>403</v>
      </c>
      <c r="B358" s="1">
        <v>45898</v>
      </c>
      <c r="C358" s="1">
        <v>45902</v>
      </c>
      <c r="D358" t="s">
        <v>8</v>
      </c>
      <c r="E358" t="s">
        <v>20</v>
      </c>
      <c r="F358">
        <v>258295</v>
      </c>
      <c r="G358" t="s">
        <v>13</v>
      </c>
      <c r="H358" t="s">
        <v>25</v>
      </c>
      <c r="I358" t="s">
        <v>22</v>
      </c>
      <c r="J358">
        <v>21409</v>
      </c>
      <c r="K358" t="s">
        <v>2051</v>
      </c>
    </row>
    <row r="359" spans="1:11" x14ac:dyDescent="0.35">
      <c r="A359" t="s">
        <v>404</v>
      </c>
      <c r="B359" s="1">
        <v>45704</v>
      </c>
      <c r="C359" s="1">
        <v>45706</v>
      </c>
      <c r="D359" t="s">
        <v>40</v>
      </c>
      <c r="E359" t="s">
        <v>23</v>
      </c>
      <c r="F359">
        <v>879949</v>
      </c>
      <c r="G359" t="s">
        <v>17</v>
      </c>
      <c r="H359" t="s">
        <v>29</v>
      </c>
      <c r="I359" t="s">
        <v>14</v>
      </c>
      <c r="J359">
        <v>14917</v>
      </c>
      <c r="K359" t="s">
        <v>2051</v>
      </c>
    </row>
    <row r="360" spans="1:11" x14ac:dyDescent="0.35">
      <c r="A360" t="s">
        <v>405</v>
      </c>
      <c r="B360" s="1">
        <v>45984</v>
      </c>
      <c r="C360" s="1">
        <v>45987</v>
      </c>
      <c r="D360" t="s">
        <v>39</v>
      </c>
      <c r="E360" t="s">
        <v>38</v>
      </c>
      <c r="F360">
        <v>479823</v>
      </c>
      <c r="G360" t="s">
        <v>9</v>
      </c>
      <c r="H360" t="s">
        <v>15</v>
      </c>
      <c r="I360" t="s">
        <v>35</v>
      </c>
      <c r="J360">
        <v>24794</v>
      </c>
      <c r="K360" t="s">
        <v>2051</v>
      </c>
    </row>
    <row r="361" spans="1:11" x14ac:dyDescent="0.35">
      <c r="A361" t="s">
        <v>406</v>
      </c>
      <c r="B361" s="1">
        <v>45805</v>
      </c>
      <c r="C361" s="1">
        <v>45808</v>
      </c>
      <c r="D361" t="s">
        <v>40</v>
      </c>
      <c r="E361" t="s">
        <v>23</v>
      </c>
      <c r="F361">
        <v>293475</v>
      </c>
      <c r="G361" t="s">
        <v>9</v>
      </c>
      <c r="H361" t="s">
        <v>24</v>
      </c>
      <c r="I361" t="s">
        <v>25</v>
      </c>
      <c r="J361">
        <v>14992</v>
      </c>
      <c r="K361" t="s">
        <v>2051</v>
      </c>
    </row>
    <row r="362" spans="1:11" x14ac:dyDescent="0.35">
      <c r="A362" t="s">
        <v>407</v>
      </c>
      <c r="B362" s="1">
        <v>45946</v>
      </c>
      <c r="C362" s="1">
        <v>45947</v>
      </c>
      <c r="D362" t="s">
        <v>39</v>
      </c>
      <c r="E362" t="s">
        <v>27</v>
      </c>
      <c r="F362">
        <v>847838</v>
      </c>
      <c r="G362" t="s">
        <v>9</v>
      </c>
      <c r="H362" t="s">
        <v>10</v>
      </c>
      <c r="I362" t="s">
        <v>42</v>
      </c>
      <c r="J362">
        <v>24755</v>
      </c>
      <c r="K362" t="s">
        <v>2051</v>
      </c>
    </row>
    <row r="363" spans="1:11" x14ac:dyDescent="0.35">
      <c r="A363" t="s">
        <v>408</v>
      </c>
      <c r="B363" s="1">
        <v>45785</v>
      </c>
      <c r="C363" s="1">
        <v>45787</v>
      </c>
      <c r="D363" t="s">
        <v>40</v>
      </c>
      <c r="E363" t="s">
        <v>12</v>
      </c>
      <c r="F363">
        <v>348965</v>
      </c>
      <c r="G363" t="s">
        <v>13</v>
      </c>
      <c r="H363" t="s">
        <v>45</v>
      </c>
      <c r="I363" t="s">
        <v>32</v>
      </c>
      <c r="J363">
        <v>13006</v>
      </c>
      <c r="K363" t="s">
        <v>2051</v>
      </c>
    </row>
    <row r="364" spans="1:11" x14ac:dyDescent="0.35">
      <c r="A364" t="s">
        <v>409</v>
      </c>
      <c r="B364" s="1">
        <v>45863</v>
      </c>
      <c r="C364" s="1">
        <v>45868</v>
      </c>
      <c r="D364" t="s">
        <v>40</v>
      </c>
      <c r="E364" t="s">
        <v>33</v>
      </c>
      <c r="F364">
        <v>246633</v>
      </c>
      <c r="G364" t="s">
        <v>13</v>
      </c>
      <c r="H364" t="s">
        <v>35</v>
      </c>
      <c r="I364" t="s">
        <v>41</v>
      </c>
      <c r="J364">
        <v>15454</v>
      </c>
      <c r="K364" t="s">
        <v>2050</v>
      </c>
    </row>
    <row r="365" spans="1:11" x14ac:dyDescent="0.35">
      <c r="A365" t="s">
        <v>410</v>
      </c>
      <c r="B365" s="1">
        <v>45947</v>
      </c>
      <c r="C365" s="1">
        <v>45950</v>
      </c>
      <c r="D365" t="s">
        <v>39</v>
      </c>
      <c r="E365" t="s">
        <v>20</v>
      </c>
      <c r="F365">
        <v>336668</v>
      </c>
      <c r="G365" t="s">
        <v>26</v>
      </c>
      <c r="H365" t="s">
        <v>25</v>
      </c>
      <c r="I365" t="s">
        <v>41</v>
      </c>
      <c r="J365">
        <v>26440</v>
      </c>
      <c r="K365" t="s">
        <v>2051</v>
      </c>
    </row>
    <row r="366" spans="1:11" x14ac:dyDescent="0.35">
      <c r="A366" t="s">
        <v>411</v>
      </c>
      <c r="B366" s="1">
        <v>46002</v>
      </c>
      <c r="C366" s="1">
        <v>46006</v>
      </c>
      <c r="D366" t="s">
        <v>39</v>
      </c>
      <c r="E366" t="s">
        <v>23</v>
      </c>
      <c r="F366">
        <v>688079</v>
      </c>
      <c r="G366" t="s">
        <v>17</v>
      </c>
      <c r="H366" t="s">
        <v>36</v>
      </c>
      <c r="I366" t="s">
        <v>11</v>
      </c>
      <c r="J366">
        <v>26587</v>
      </c>
      <c r="K366" t="s">
        <v>2052</v>
      </c>
    </row>
    <row r="367" spans="1:11" x14ac:dyDescent="0.35">
      <c r="A367" t="s">
        <v>412</v>
      </c>
      <c r="B367" s="1">
        <v>45695</v>
      </c>
      <c r="C367" s="1">
        <v>45697</v>
      </c>
      <c r="D367" t="s">
        <v>19</v>
      </c>
      <c r="E367" t="s">
        <v>23</v>
      </c>
      <c r="F367">
        <v>950731</v>
      </c>
      <c r="G367" t="s">
        <v>9</v>
      </c>
      <c r="H367" t="s">
        <v>35</v>
      </c>
      <c r="I367" t="s">
        <v>29</v>
      </c>
      <c r="J367">
        <v>17247</v>
      </c>
      <c r="K367" t="s">
        <v>2053</v>
      </c>
    </row>
    <row r="368" spans="1:11" x14ac:dyDescent="0.35">
      <c r="A368" t="s">
        <v>413</v>
      </c>
      <c r="B368" s="1">
        <v>45869</v>
      </c>
      <c r="C368" s="1">
        <v>45872</v>
      </c>
      <c r="D368" t="s">
        <v>40</v>
      </c>
      <c r="E368" t="s">
        <v>33</v>
      </c>
      <c r="F368">
        <v>720642</v>
      </c>
      <c r="G368" t="s">
        <v>9</v>
      </c>
      <c r="H368" t="s">
        <v>43</v>
      </c>
      <c r="I368" t="s">
        <v>14</v>
      </c>
      <c r="J368">
        <v>15125</v>
      </c>
      <c r="K368" t="s">
        <v>2054</v>
      </c>
    </row>
    <row r="369" spans="1:11" x14ac:dyDescent="0.35">
      <c r="A369" t="s">
        <v>414</v>
      </c>
      <c r="B369" s="1">
        <v>45684</v>
      </c>
      <c r="C369" s="1">
        <v>45688</v>
      </c>
      <c r="D369" t="s">
        <v>39</v>
      </c>
      <c r="E369" t="s">
        <v>12</v>
      </c>
      <c r="F369">
        <v>795090</v>
      </c>
      <c r="G369" t="s">
        <v>28</v>
      </c>
      <c r="H369" t="s">
        <v>31</v>
      </c>
      <c r="I369" t="s">
        <v>29</v>
      </c>
      <c r="J369">
        <v>24088</v>
      </c>
      <c r="K369" t="s">
        <v>2053</v>
      </c>
    </row>
    <row r="370" spans="1:11" x14ac:dyDescent="0.35">
      <c r="A370" t="s">
        <v>415</v>
      </c>
      <c r="B370" s="1">
        <v>45713</v>
      </c>
      <c r="C370" s="1">
        <v>45718</v>
      </c>
      <c r="D370" t="s">
        <v>40</v>
      </c>
      <c r="E370" t="s">
        <v>27</v>
      </c>
      <c r="F370">
        <v>678614</v>
      </c>
      <c r="G370" t="s">
        <v>9</v>
      </c>
      <c r="H370" t="s">
        <v>22</v>
      </c>
      <c r="I370" t="s">
        <v>21</v>
      </c>
      <c r="J370">
        <v>13667</v>
      </c>
      <c r="K370" t="s">
        <v>2053</v>
      </c>
    </row>
    <row r="371" spans="1:11" x14ac:dyDescent="0.35">
      <c r="A371" t="s">
        <v>416</v>
      </c>
      <c r="B371" s="1">
        <v>45768</v>
      </c>
      <c r="C371" s="1">
        <v>45770</v>
      </c>
      <c r="D371" t="s">
        <v>40</v>
      </c>
      <c r="E371" t="s">
        <v>30</v>
      </c>
      <c r="F371">
        <v>985513</v>
      </c>
      <c r="G371" t="s">
        <v>13</v>
      </c>
      <c r="H371" t="s">
        <v>29</v>
      </c>
      <c r="I371" t="s">
        <v>44</v>
      </c>
      <c r="J371">
        <v>13462</v>
      </c>
      <c r="K371" t="s">
        <v>2054</v>
      </c>
    </row>
    <row r="372" spans="1:11" x14ac:dyDescent="0.35">
      <c r="A372" t="s">
        <v>417</v>
      </c>
      <c r="B372" s="1">
        <v>45723</v>
      </c>
      <c r="C372" s="1">
        <v>45728</v>
      </c>
      <c r="D372" t="s">
        <v>19</v>
      </c>
      <c r="E372" t="s">
        <v>12</v>
      </c>
      <c r="F372">
        <v>856518</v>
      </c>
      <c r="G372" t="s">
        <v>13</v>
      </c>
      <c r="H372" t="s">
        <v>45</v>
      </c>
      <c r="I372" t="s">
        <v>44</v>
      </c>
      <c r="J372">
        <v>14375</v>
      </c>
      <c r="K372" t="s">
        <v>2050</v>
      </c>
    </row>
    <row r="373" spans="1:11" x14ac:dyDescent="0.35">
      <c r="A373" t="s">
        <v>418</v>
      </c>
      <c r="B373" s="1">
        <v>45991</v>
      </c>
      <c r="C373" s="1">
        <v>45993</v>
      </c>
      <c r="D373" t="s">
        <v>39</v>
      </c>
      <c r="E373" t="s">
        <v>20</v>
      </c>
      <c r="F373">
        <v>988513</v>
      </c>
      <c r="G373" t="s">
        <v>13</v>
      </c>
      <c r="H373" t="s">
        <v>41</v>
      </c>
      <c r="I373" t="s">
        <v>32</v>
      </c>
      <c r="J373">
        <v>25476</v>
      </c>
      <c r="K373" t="s">
        <v>2050</v>
      </c>
    </row>
    <row r="374" spans="1:11" x14ac:dyDescent="0.35">
      <c r="A374" t="s">
        <v>419</v>
      </c>
      <c r="B374" s="1">
        <v>45692</v>
      </c>
      <c r="C374" s="1">
        <v>45693</v>
      </c>
      <c r="D374" t="s">
        <v>40</v>
      </c>
      <c r="E374" t="s">
        <v>23</v>
      </c>
      <c r="F374">
        <v>880239</v>
      </c>
      <c r="G374" t="s">
        <v>9</v>
      </c>
      <c r="H374" t="s">
        <v>42</v>
      </c>
      <c r="I374" t="s">
        <v>21</v>
      </c>
      <c r="J374">
        <v>15459</v>
      </c>
      <c r="K374" t="s">
        <v>2050</v>
      </c>
    </row>
    <row r="375" spans="1:11" x14ac:dyDescent="0.35">
      <c r="A375" t="s">
        <v>420</v>
      </c>
      <c r="B375" s="1">
        <v>45781</v>
      </c>
      <c r="C375" s="1">
        <v>45783</v>
      </c>
      <c r="D375" t="s">
        <v>40</v>
      </c>
      <c r="E375" t="s">
        <v>30</v>
      </c>
      <c r="F375">
        <v>411636</v>
      </c>
      <c r="G375" t="s">
        <v>28</v>
      </c>
      <c r="H375" t="s">
        <v>10</v>
      </c>
      <c r="I375" t="s">
        <v>32</v>
      </c>
      <c r="J375">
        <v>13597</v>
      </c>
      <c r="K375" t="s">
        <v>2052</v>
      </c>
    </row>
    <row r="376" spans="1:11" x14ac:dyDescent="0.35">
      <c r="A376" t="s">
        <v>421</v>
      </c>
      <c r="B376" s="1">
        <v>45921</v>
      </c>
      <c r="C376" s="1">
        <v>45923</v>
      </c>
      <c r="D376" t="s">
        <v>8</v>
      </c>
      <c r="E376" t="s">
        <v>38</v>
      </c>
      <c r="F376">
        <v>483946</v>
      </c>
      <c r="G376" t="s">
        <v>28</v>
      </c>
      <c r="H376" t="s">
        <v>32</v>
      </c>
      <c r="I376" t="s">
        <v>43</v>
      </c>
      <c r="J376">
        <v>17620</v>
      </c>
      <c r="K376" t="s">
        <v>2053</v>
      </c>
    </row>
    <row r="377" spans="1:11" x14ac:dyDescent="0.35">
      <c r="A377" t="s">
        <v>422</v>
      </c>
      <c r="B377" s="1">
        <v>45757</v>
      </c>
      <c r="C377" s="1">
        <v>45760</v>
      </c>
      <c r="D377" t="s">
        <v>19</v>
      </c>
      <c r="E377" t="s">
        <v>23</v>
      </c>
      <c r="F377">
        <v>230483</v>
      </c>
      <c r="G377" t="s">
        <v>26</v>
      </c>
      <c r="H377" t="s">
        <v>32</v>
      </c>
      <c r="I377" t="s">
        <v>15</v>
      </c>
      <c r="J377">
        <v>17482</v>
      </c>
      <c r="K377" t="s">
        <v>2052</v>
      </c>
    </row>
    <row r="378" spans="1:11" x14ac:dyDescent="0.35">
      <c r="A378" t="s">
        <v>423</v>
      </c>
      <c r="B378" s="1">
        <v>45870</v>
      </c>
      <c r="C378" s="1">
        <v>45871</v>
      </c>
      <c r="D378" t="s">
        <v>40</v>
      </c>
      <c r="E378" t="s">
        <v>33</v>
      </c>
      <c r="F378">
        <v>251709</v>
      </c>
      <c r="G378" t="s">
        <v>9</v>
      </c>
      <c r="H378" t="s">
        <v>44</v>
      </c>
      <c r="I378" t="s">
        <v>15</v>
      </c>
      <c r="J378">
        <v>14650</v>
      </c>
      <c r="K378" t="s">
        <v>2053</v>
      </c>
    </row>
    <row r="379" spans="1:11" x14ac:dyDescent="0.35">
      <c r="A379" t="s">
        <v>424</v>
      </c>
      <c r="B379" s="1">
        <v>45709</v>
      </c>
      <c r="C379" s="1">
        <v>45712</v>
      </c>
      <c r="D379" t="s">
        <v>39</v>
      </c>
      <c r="E379" t="s">
        <v>23</v>
      </c>
      <c r="F379">
        <v>342462</v>
      </c>
      <c r="G379" t="s">
        <v>17</v>
      </c>
      <c r="H379" t="s">
        <v>29</v>
      </c>
      <c r="I379" t="s">
        <v>24</v>
      </c>
      <c r="J379">
        <v>25952</v>
      </c>
      <c r="K379" t="s">
        <v>2050</v>
      </c>
    </row>
    <row r="380" spans="1:11" x14ac:dyDescent="0.35">
      <c r="A380" t="s">
        <v>425</v>
      </c>
      <c r="B380" s="1">
        <v>45856</v>
      </c>
      <c r="C380" s="1">
        <v>45861</v>
      </c>
      <c r="D380" t="s">
        <v>8</v>
      </c>
      <c r="E380" t="s">
        <v>38</v>
      </c>
      <c r="F380">
        <v>168621</v>
      </c>
      <c r="G380" t="s">
        <v>13</v>
      </c>
      <c r="H380" t="s">
        <v>42</v>
      </c>
      <c r="I380" t="s">
        <v>10</v>
      </c>
      <c r="J380">
        <v>18002</v>
      </c>
      <c r="K380" t="s">
        <v>2051</v>
      </c>
    </row>
    <row r="381" spans="1:11" x14ac:dyDescent="0.35">
      <c r="A381" t="s">
        <v>426</v>
      </c>
      <c r="B381" s="1">
        <v>46019</v>
      </c>
      <c r="C381" s="1">
        <v>46020</v>
      </c>
      <c r="D381" t="s">
        <v>40</v>
      </c>
      <c r="E381" t="s">
        <v>20</v>
      </c>
      <c r="F381">
        <v>776711</v>
      </c>
      <c r="G381" t="s">
        <v>26</v>
      </c>
      <c r="H381" t="s">
        <v>10</v>
      </c>
      <c r="I381" t="s">
        <v>15</v>
      </c>
      <c r="J381">
        <v>15267</v>
      </c>
      <c r="K381" t="s">
        <v>2053</v>
      </c>
    </row>
    <row r="382" spans="1:11" x14ac:dyDescent="0.35">
      <c r="A382" t="s">
        <v>427</v>
      </c>
      <c r="B382" s="1">
        <v>45730</v>
      </c>
      <c r="C382" s="1">
        <v>45734</v>
      </c>
      <c r="D382" t="s">
        <v>39</v>
      </c>
      <c r="E382" t="s">
        <v>20</v>
      </c>
      <c r="F382">
        <v>358816</v>
      </c>
      <c r="G382" t="s">
        <v>9</v>
      </c>
      <c r="H382" t="s">
        <v>22</v>
      </c>
      <c r="I382" t="s">
        <v>35</v>
      </c>
      <c r="J382">
        <v>25777</v>
      </c>
      <c r="K382" t="s">
        <v>2053</v>
      </c>
    </row>
    <row r="383" spans="1:11" x14ac:dyDescent="0.35">
      <c r="A383" t="s">
        <v>428</v>
      </c>
      <c r="B383" s="1">
        <v>45717</v>
      </c>
      <c r="C383" s="1">
        <v>45721</v>
      </c>
      <c r="D383" t="s">
        <v>19</v>
      </c>
      <c r="E383" t="s">
        <v>20</v>
      </c>
      <c r="F383">
        <v>870565</v>
      </c>
      <c r="G383" t="s">
        <v>13</v>
      </c>
      <c r="H383" t="s">
        <v>34</v>
      </c>
      <c r="I383" t="s">
        <v>36</v>
      </c>
      <c r="J383">
        <v>17918</v>
      </c>
      <c r="K383" t="s">
        <v>2053</v>
      </c>
    </row>
    <row r="384" spans="1:11" x14ac:dyDescent="0.35">
      <c r="A384" t="s">
        <v>429</v>
      </c>
      <c r="B384" s="1">
        <v>45707</v>
      </c>
      <c r="C384" s="1">
        <v>45709</v>
      </c>
      <c r="D384" t="s">
        <v>8</v>
      </c>
      <c r="E384" t="s">
        <v>23</v>
      </c>
      <c r="F384">
        <v>303860</v>
      </c>
      <c r="G384" t="s">
        <v>9</v>
      </c>
      <c r="H384" t="s">
        <v>35</v>
      </c>
      <c r="I384" t="s">
        <v>10</v>
      </c>
      <c r="J384">
        <v>21036</v>
      </c>
      <c r="K384" t="s">
        <v>2053</v>
      </c>
    </row>
    <row r="385" spans="1:11" x14ac:dyDescent="0.35">
      <c r="A385" t="s">
        <v>430</v>
      </c>
      <c r="B385" s="1">
        <v>45927</v>
      </c>
      <c r="C385" s="1">
        <v>45930</v>
      </c>
      <c r="D385" t="s">
        <v>39</v>
      </c>
      <c r="E385" t="s">
        <v>30</v>
      </c>
      <c r="F385">
        <v>966424</v>
      </c>
      <c r="G385" t="s">
        <v>13</v>
      </c>
      <c r="H385" t="s">
        <v>29</v>
      </c>
      <c r="I385" t="s">
        <v>42</v>
      </c>
      <c r="J385">
        <v>25289</v>
      </c>
      <c r="K385" t="s">
        <v>2053</v>
      </c>
    </row>
    <row r="386" spans="1:11" x14ac:dyDescent="0.35">
      <c r="A386" t="s">
        <v>431</v>
      </c>
      <c r="B386" s="1">
        <v>45888</v>
      </c>
      <c r="C386" s="1">
        <v>45891</v>
      </c>
      <c r="D386" t="s">
        <v>39</v>
      </c>
      <c r="E386" t="s">
        <v>12</v>
      </c>
      <c r="F386">
        <v>942247</v>
      </c>
      <c r="G386" t="s">
        <v>9</v>
      </c>
      <c r="H386" t="s">
        <v>44</v>
      </c>
      <c r="I386" t="s">
        <v>35</v>
      </c>
      <c r="J386">
        <v>24856</v>
      </c>
      <c r="K386" t="s">
        <v>2053</v>
      </c>
    </row>
    <row r="387" spans="1:11" x14ac:dyDescent="0.35">
      <c r="A387" t="s">
        <v>432</v>
      </c>
      <c r="B387" s="1">
        <v>45674</v>
      </c>
      <c r="C387" s="1">
        <v>45675</v>
      </c>
      <c r="D387" t="s">
        <v>39</v>
      </c>
      <c r="E387" t="s">
        <v>20</v>
      </c>
      <c r="F387">
        <v>617416</v>
      </c>
      <c r="G387" t="s">
        <v>13</v>
      </c>
      <c r="H387" t="s">
        <v>32</v>
      </c>
      <c r="I387" t="s">
        <v>45</v>
      </c>
      <c r="J387">
        <v>27007</v>
      </c>
      <c r="K387" t="s">
        <v>2053</v>
      </c>
    </row>
    <row r="388" spans="1:11" x14ac:dyDescent="0.35">
      <c r="A388" t="s">
        <v>433</v>
      </c>
      <c r="B388" s="1">
        <v>45924</v>
      </c>
      <c r="C388" s="1">
        <v>45925</v>
      </c>
      <c r="D388" t="s">
        <v>39</v>
      </c>
      <c r="E388" t="s">
        <v>23</v>
      </c>
      <c r="F388">
        <v>861960</v>
      </c>
      <c r="G388" t="s">
        <v>17</v>
      </c>
      <c r="H388" t="s">
        <v>29</v>
      </c>
      <c r="I388" t="s">
        <v>45</v>
      </c>
      <c r="J388">
        <v>27316</v>
      </c>
      <c r="K388" t="s">
        <v>2053</v>
      </c>
    </row>
    <row r="389" spans="1:11" x14ac:dyDescent="0.35">
      <c r="A389" t="s">
        <v>434</v>
      </c>
      <c r="B389" s="1">
        <v>45920</v>
      </c>
      <c r="C389" s="1">
        <v>45923</v>
      </c>
      <c r="D389" t="s">
        <v>40</v>
      </c>
      <c r="E389" t="s">
        <v>16</v>
      </c>
      <c r="F389">
        <v>511403</v>
      </c>
      <c r="G389" t="s">
        <v>28</v>
      </c>
      <c r="H389" t="s">
        <v>44</v>
      </c>
      <c r="I389" t="s">
        <v>21</v>
      </c>
      <c r="J389">
        <v>14024</v>
      </c>
      <c r="K389" t="s">
        <v>2053</v>
      </c>
    </row>
    <row r="390" spans="1:11" x14ac:dyDescent="0.35">
      <c r="A390" t="s">
        <v>435</v>
      </c>
      <c r="B390" s="1">
        <v>45911</v>
      </c>
      <c r="C390" s="1">
        <v>45915</v>
      </c>
      <c r="D390" t="s">
        <v>8</v>
      </c>
      <c r="E390" t="s">
        <v>33</v>
      </c>
      <c r="F390">
        <v>635506</v>
      </c>
      <c r="G390" t="s">
        <v>26</v>
      </c>
      <c r="H390" t="s">
        <v>21</v>
      </c>
      <c r="I390" t="s">
        <v>25</v>
      </c>
      <c r="J390">
        <v>20035</v>
      </c>
      <c r="K390" t="s">
        <v>2053</v>
      </c>
    </row>
    <row r="391" spans="1:11" x14ac:dyDescent="0.35">
      <c r="A391" t="s">
        <v>436</v>
      </c>
      <c r="B391" s="1">
        <v>45930</v>
      </c>
      <c r="C391" s="1">
        <v>45935</v>
      </c>
      <c r="D391" t="s">
        <v>39</v>
      </c>
      <c r="E391" t="s">
        <v>38</v>
      </c>
      <c r="F391">
        <v>778846</v>
      </c>
      <c r="G391" t="s">
        <v>9</v>
      </c>
      <c r="H391" t="s">
        <v>14</v>
      </c>
      <c r="I391" t="s">
        <v>31</v>
      </c>
      <c r="J391">
        <v>25041</v>
      </c>
      <c r="K391" t="s">
        <v>2053</v>
      </c>
    </row>
    <row r="392" spans="1:11" x14ac:dyDescent="0.35">
      <c r="A392" t="s">
        <v>437</v>
      </c>
      <c r="B392" s="1">
        <v>45764</v>
      </c>
      <c r="C392" s="1">
        <v>45767</v>
      </c>
      <c r="D392" t="s">
        <v>39</v>
      </c>
      <c r="E392" t="s">
        <v>27</v>
      </c>
      <c r="F392">
        <v>350390</v>
      </c>
      <c r="G392" t="s">
        <v>28</v>
      </c>
      <c r="H392" t="s">
        <v>29</v>
      </c>
      <c r="I392" t="s">
        <v>31</v>
      </c>
      <c r="J392">
        <v>25288</v>
      </c>
      <c r="K392" t="s">
        <v>2053</v>
      </c>
    </row>
    <row r="393" spans="1:11" x14ac:dyDescent="0.35">
      <c r="A393" t="s">
        <v>438</v>
      </c>
      <c r="B393" s="1">
        <v>45975</v>
      </c>
      <c r="C393" s="1">
        <v>45978</v>
      </c>
      <c r="D393" t="s">
        <v>19</v>
      </c>
      <c r="E393" t="s">
        <v>33</v>
      </c>
      <c r="F393">
        <v>485429</v>
      </c>
      <c r="G393" t="s">
        <v>9</v>
      </c>
      <c r="H393" t="s">
        <v>18</v>
      </c>
      <c r="I393" t="s">
        <v>44</v>
      </c>
      <c r="J393">
        <v>16838</v>
      </c>
      <c r="K393" t="s">
        <v>2053</v>
      </c>
    </row>
    <row r="394" spans="1:11" x14ac:dyDescent="0.35">
      <c r="A394" t="s">
        <v>439</v>
      </c>
      <c r="B394" s="1">
        <v>45972</v>
      </c>
      <c r="C394" s="1">
        <v>45977</v>
      </c>
      <c r="D394" t="s">
        <v>40</v>
      </c>
      <c r="E394" t="s">
        <v>23</v>
      </c>
      <c r="F394">
        <v>896615</v>
      </c>
      <c r="G394" t="s">
        <v>17</v>
      </c>
      <c r="H394" t="s">
        <v>22</v>
      </c>
      <c r="I394" t="s">
        <v>10</v>
      </c>
      <c r="J394">
        <v>14632</v>
      </c>
      <c r="K394" t="s">
        <v>2053</v>
      </c>
    </row>
    <row r="395" spans="1:11" x14ac:dyDescent="0.35">
      <c r="A395" t="s">
        <v>440</v>
      </c>
      <c r="B395" s="1">
        <v>45884</v>
      </c>
      <c r="C395" s="1">
        <v>45887</v>
      </c>
      <c r="D395" t="s">
        <v>19</v>
      </c>
      <c r="E395" t="s">
        <v>23</v>
      </c>
      <c r="F395">
        <v>334883</v>
      </c>
      <c r="G395" t="s">
        <v>28</v>
      </c>
      <c r="H395" t="s">
        <v>36</v>
      </c>
      <c r="I395" t="s">
        <v>44</v>
      </c>
      <c r="J395">
        <v>16649</v>
      </c>
      <c r="K395" t="s">
        <v>2053</v>
      </c>
    </row>
    <row r="396" spans="1:11" x14ac:dyDescent="0.35">
      <c r="A396" t="s">
        <v>441</v>
      </c>
      <c r="B396" s="1">
        <v>45684</v>
      </c>
      <c r="C396" s="1">
        <v>45689</v>
      </c>
      <c r="D396" t="s">
        <v>39</v>
      </c>
      <c r="E396" t="s">
        <v>33</v>
      </c>
      <c r="F396">
        <v>934965</v>
      </c>
      <c r="G396" t="s">
        <v>17</v>
      </c>
      <c r="H396" t="s">
        <v>32</v>
      </c>
      <c r="I396" t="s">
        <v>21</v>
      </c>
      <c r="J396">
        <v>26936</v>
      </c>
      <c r="K396" t="s">
        <v>2053</v>
      </c>
    </row>
    <row r="397" spans="1:11" x14ac:dyDescent="0.35">
      <c r="A397" t="s">
        <v>442</v>
      </c>
      <c r="B397" s="1">
        <v>45821</v>
      </c>
      <c r="C397" s="1">
        <v>45824</v>
      </c>
      <c r="D397" t="s">
        <v>8</v>
      </c>
      <c r="E397" t="s">
        <v>20</v>
      </c>
      <c r="F397">
        <v>190316</v>
      </c>
      <c r="G397" t="s">
        <v>9</v>
      </c>
      <c r="H397" t="s">
        <v>45</v>
      </c>
      <c r="I397" t="s">
        <v>15</v>
      </c>
      <c r="J397">
        <v>20740</v>
      </c>
      <c r="K397" t="s">
        <v>2050</v>
      </c>
    </row>
    <row r="398" spans="1:11" x14ac:dyDescent="0.35">
      <c r="A398" t="s">
        <v>443</v>
      </c>
      <c r="B398" s="1">
        <v>45920</v>
      </c>
      <c r="C398" s="1">
        <v>45923</v>
      </c>
      <c r="D398" t="s">
        <v>8</v>
      </c>
      <c r="E398" t="s">
        <v>16</v>
      </c>
      <c r="F398">
        <v>124881</v>
      </c>
      <c r="G398" t="s">
        <v>17</v>
      </c>
      <c r="H398" t="s">
        <v>11</v>
      </c>
      <c r="I398" t="s">
        <v>11</v>
      </c>
      <c r="J398">
        <v>19151</v>
      </c>
      <c r="K398" t="s">
        <v>2050</v>
      </c>
    </row>
    <row r="399" spans="1:11" x14ac:dyDescent="0.35">
      <c r="A399" t="s">
        <v>444</v>
      </c>
      <c r="B399" s="1">
        <v>45966</v>
      </c>
      <c r="C399" s="1">
        <v>45967</v>
      </c>
      <c r="D399" t="s">
        <v>8</v>
      </c>
      <c r="E399" t="s">
        <v>33</v>
      </c>
      <c r="F399">
        <v>592448</v>
      </c>
      <c r="G399" t="s">
        <v>17</v>
      </c>
      <c r="H399" t="s">
        <v>18</v>
      </c>
      <c r="I399" t="s">
        <v>41</v>
      </c>
      <c r="J399">
        <v>20715</v>
      </c>
      <c r="K399" t="s">
        <v>2050</v>
      </c>
    </row>
    <row r="400" spans="1:11" x14ac:dyDescent="0.35">
      <c r="A400" t="s">
        <v>445</v>
      </c>
      <c r="B400" s="1">
        <v>45694</v>
      </c>
      <c r="C400" s="1">
        <v>45699</v>
      </c>
      <c r="D400" t="s">
        <v>40</v>
      </c>
      <c r="E400" t="s">
        <v>27</v>
      </c>
      <c r="F400">
        <v>706323</v>
      </c>
      <c r="G400" t="s">
        <v>26</v>
      </c>
      <c r="H400" t="s">
        <v>24</v>
      </c>
      <c r="I400" t="s">
        <v>15</v>
      </c>
      <c r="J400">
        <v>13650</v>
      </c>
      <c r="K400" t="s">
        <v>2050</v>
      </c>
    </row>
    <row r="401" spans="1:11" x14ac:dyDescent="0.35">
      <c r="A401" t="s">
        <v>446</v>
      </c>
      <c r="B401" s="1">
        <v>45962</v>
      </c>
      <c r="C401" s="1">
        <v>45966</v>
      </c>
      <c r="D401" t="s">
        <v>39</v>
      </c>
      <c r="E401" t="s">
        <v>38</v>
      </c>
      <c r="F401">
        <v>803229</v>
      </c>
      <c r="G401" t="s">
        <v>28</v>
      </c>
      <c r="H401" t="s">
        <v>34</v>
      </c>
      <c r="I401" t="s">
        <v>11</v>
      </c>
      <c r="J401">
        <v>24463</v>
      </c>
      <c r="K401" t="s">
        <v>2051</v>
      </c>
    </row>
    <row r="402" spans="1:11" x14ac:dyDescent="0.35">
      <c r="A402" t="s">
        <v>447</v>
      </c>
      <c r="B402" s="1">
        <v>45996</v>
      </c>
      <c r="C402" s="1">
        <v>45997</v>
      </c>
      <c r="D402" t="s">
        <v>8</v>
      </c>
      <c r="E402" t="s">
        <v>23</v>
      </c>
      <c r="F402">
        <v>951200</v>
      </c>
      <c r="G402" t="s">
        <v>17</v>
      </c>
      <c r="H402" t="s">
        <v>35</v>
      </c>
      <c r="I402" t="s">
        <v>24</v>
      </c>
      <c r="J402">
        <v>20344</v>
      </c>
      <c r="K402" t="s">
        <v>2052</v>
      </c>
    </row>
    <row r="403" spans="1:11" x14ac:dyDescent="0.35">
      <c r="A403" t="s">
        <v>448</v>
      </c>
      <c r="B403" s="1">
        <v>46019</v>
      </c>
      <c r="C403" s="1">
        <v>46021</v>
      </c>
      <c r="D403" t="s">
        <v>19</v>
      </c>
      <c r="E403" t="s">
        <v>33</v>
      </c>
      <c r="F403">
        <v>373603</v>
      </c>
      <c r="G403" t="s">
        <v>28</v>
      </c>
      <c r="H403" t="s">
        <v>35</v>
      </c>
      <c r="I403" t="s">
        <v>18</v>
      </c>
      <c r="J403">
        <v>16793</v>
      </c>
      <c r="K403" t="s">
        <v>2053</v>
      </c>
    </row>
    <row r="404" spans="1:11" x14ac:dyDescent="0.35">
      <c r="A404" t="s">
        <v>449</v>
      </c>
      <c r="B404" s="1">
        <v>45684</v>
      </c>
      <c r="C404" s="1">
        <v>45686</v>
      </c>
      <c r="D404" t="s">
        <v>39</v>
      </c>
      <c r="E404" t="s">
        <v>33</v>
      </c>
      <c r="F404">
        <v>860154</v>
      </c>
      <c r="G404" t="s">
        <v>26</v>
      </c>
      <c r="H404" t="s">
        <v>22</v>
      </c>
      <c r="I404" t="s">
        <v>29</v>
      </c>
      <c r="J404">
        <v>27355</v>
      </c>
      <c r="K404" t="s">
        <v>2054</v>
      </c>
    </row>
    <row r="405" spans="1:11" x14ac:dyDescent="0.35">
      <c r="A405" t="s">
        <v>450</v>
      </c>
      <c r="B405" s="1">
        <v>45979</v>
      </c>
      <c r="C405" s="1">
        <v>45981</v>
      </c>
      <c r="D405" t="s">
        <v>39</v>
      </c>
      <c r="E405" t="s">
        <v>16</v>
      </c>
      <c r="F405">
        <v>630127</v>
      </c>
      <c r="G405" t="s">
        <v>28</v>
      </c>
      <c r="H405" t="s">
        <v>25</v>
      </c>
      <c r="I405" t="s">
        <v>43</v>
      </c>
      <c r="J405">
        <v>25314</v>
      </c>
      <c r="K405" t="s">
        <v>2053</v>
      </c>
    </row>
    <row r="406" spans="1:11" x14ac:dyDescent="0.35">
      <c r="A406" t="s">
        <v>451</v>
      </c>
      <c r="B406" s="1">
        <v>45961</v>
      </c>
      <c r="C406" s="1">
        <v>45962</v>
      </c>
      <c r="D406" t="s">
        <v>40</v>
      </c>
      <c r="E406" t="s">
        <v>30</v>
      </c>
      <c r="F406">
        <v>816896</v>
      </c>
      <c r="G406" t="s">
        <v>17</v>
      </c>
      <c r="H406" t="s">
        <v>10</v>
      </c>
      <c r="I406" t="s">
        <v>32</v>
      </c>
      <c r="J406">
        <v>13402</v>
      </c>
      <c r="K406" t="s">
        <v>2053</v>
      </c>
    </row>
    <row r="407" spans="1:11" x14ac:dyDescent="0.35">
      <c r="A407" t="s">
        <v>452</v>
      </c>
      <c r="B407" s="1">
        <v>45785</v>
      </c>
      <c r="C407" s="1">
        <v>45787</v>
      </c>
      <c r="D407" t="s">
        <v>19</v>
      </c>
      <c r="E407" t="s">
        <v>30</v>
      </c>
      <c r="F407">
        <v>611779</v>
      </c>
      <c r="G407" t="s">
        <v>13</v>
      </c>
      <c r="H407" t="s">
        <v>10</v>
      </c>
      <c r="I407" t="s">
        <v>31</v>
      </c>
      <c r="J407">
        <v>16076</v>
      </c>
      <c r="K407" t="s">
        <v>2054</v>
      </c>
    </row>
    <row r="408" spans="1:11" x14ac:dyDescent="0.35">
      <c r="A408" t="s">
        <v>453</v>
      </c>
      <c r="B408" s="1">
        <v>45755</v>
      </c>
      <c r="C408" s="1">
        <v>45759</v>
      </c>
      <c r="D408" t="s">
        <v>40</v>
      </c>
      <c r="E408" t="s">
        <v>27</v>
      </c>
      <c r="F408">
        <v>884096</v>
      </c>
      <c r="G408" t="s">
        <v>28</v>
      </c>
      <c r="H408" t="s">
        <v>31</v>
      </c>
      <c r="I408" t="s">
        <v>29</v>
      </c>
      <c r="J408">
        <v>14189</v>
      </c>
      <c r="K408" t="s">
        <v>2051</v>
      </c>
    </row>
    <row r="409" spans="1:11" x14ac:dyDescent="0.35">
      <c r="A409" t="s">
        <v>454</v>
      </c>
      <c r="B409" s="1">
        <v>45750</v>
      </c>
      <c r="C409" s="1">
        <v>45751</v>
      </c>
      <c r="D409" t="s">
        <v>19</v>
      </c>
      <c r="E409" t="s">
        <v>12</v>
      </c>
      <c r="F409">
        <v>777591</v>
      </c>
      <c r="G409" t="s">
        <v>28</v>
      </c>
      <c r="H409" t="s">
        <v>29</v>
      </c>
      <c r="I409" t="s">
        <v>11</v>
      </c>
      <c r="J409">
        <v>15347</v>
      </c>
      <c r="K409" t="s">
        <v>2051</v>
      </c>
    </row>
    <row r="410" spans="1:11" x14ac:dyDescent="0.35">
      <c r="A410" t="s">
        <v>455</v>
      </c>
      <c r="B410" s="1">
        <v>45908</v>
      </c>
      <c r="C410" s="1">
        <v>45911</v>
      </c>
      <c r="D410" t="s">
        <v>40</v>
      </c>
      <c r="E410" t="s">
        <v>27</v>
      </c>
      <c r="F410">
        <v>330963</v>
      </c>
      <c r="G410" t="s">
        <v>17</v>
      </c>
      <c r="H410" t="s">
        <v>44</v>
      </c>
      <c r="I410" t="s">
        <v>31</v>
      </c>
      <c r="J410">
        <v>14184</v>
      </c>
      <c r="K410" t="s">
        <v>2050</v>
      </c>
    </row>
    <row r="411" spans="1:11" x14ac:dyDescent="0.35">
      <c r="A411" t="s">
        <v>456</v>
      </c>
      <c r="B411" s="1">
        <v>45807</v>
      </c>
      <c r="C411" s="1">
        <v>45810</v>
      </c>
      <c r="D411" t="s">
        <v>40</v>
      </c>
      <c r="E411" t="s">
        <v>30</v>
      </c>
      <c r="F411">
        <v>308404</v>
      </c>
      <c r="G411" t="s">
        <v>28</v>
      </c>
      <c r="H411" t="s">
        <v>22</v>
      </c>
      <c r="I411" t="s">
        <v>11</v>
      </c>
      <c r="J411">
        <v>14101</v>
      </c>
      <c r="K411" t="s">
        <v>2051</v>
      </c>
    </row>
    <row r="412" spans="1:11" x14ac:dyDescent="0.35">
      <c r="A412" t="s">
        <v>457</v>
      </c>
      <c r="B412" s="1">
        <v>45959</v>
      </c>
      <c r="C412" s="1">
        <v>45962</v>
      </c>
      <c r="D412" t="s">
        <v>19</v>
      </c>
      <c r="E412" t="s">
        <v>23</v>
      </c>
      <c r="F412">
        <v>129950</v>
      </c>
      <c r="G412" t="s">
        <v>26</v>
      </c>
      <c r="H412" t="s">
        <v>14</v>
      </c>
      <c r="I412" t="s">
        <v>34</v>
      </c>
      <c r="J412">
        <v>16563</v>
      </c>
      <c r="K412" t="s">
        <v>2052</v>
      </c>
    </row>
    <row r="413" spans="1:11" x14ac:dyDescent="0.35">
      <c r="A413" t="s">
        <v>458</v>
      </c>
      <c r="B413" s="1">
        <v>45965</v>
      </c>
      <c r="C413" s="1">
        <v>45967</v>
      </c>
      <c r="D413" t="s">
        <v>8</v>
      </c>
      <c r="E413" t="s">
        <v>27</v>
      </c>
      <c r="F413">
        <v>630825</v>
      </c>
      <c r="G413" t="s">
        <v>28</v>
      </c>
      <c r="H413" t="s">
        <v>10</v>
      </c>
      <c r="I413" t="s">
        <v>25</v>
      </c>
      <c r="J413">
        <v>19636</v>
      </c>
      <c r="K413" t="s">
        <v>2053</v>
      </c>
    </row>
    <row r="414" spans="1:11" x14ac:dyDescent="0.35">
      <c r="A414" t="s">
        <v>459</v>
      </c>
      <c r="B414" s="1">
        <v>45889</v>
      </c>
      <c r="C414" s="1">
        <v>45890</v>
      </c>
      <c r="D414" t="s">
        <v>40</v>
      </c>
      <c r="E414" t="s">
        <v>20</v>
      </c>
      <c r="F414">
        <v>171884</v>
      </c>
      <c r="G414" t="s">
        <v>28</v>
      </c>
      <c r="H414" t="s">
        <v>43</v>
      </c>
      <c r="I414" t="s">
        <v>29</v>
      </c>
      <c r="J414">
        <v>14789</v>
      </c>
      <c r="K414" t="s">
        <v>2054</v>
      </c>
    </row>
    <row r="415" spans="1:11" x14ac:dyDescent="0.35">
      <c r="A415" t="s">
        <v>460</v>
      </c>
      <c r="B415" s="1">
        <v>46007</v>
      </c>
      <c r="C415" s="1">
        <v>46010</v>
      </c>
      <c r="D415" t="s">
        <v>39</v>
      </c>
      <c r="E415" t="s">
        <v>30</v>
      </c>
      <c r="F415">
        <v>992367</v>
      </c>
      <c r="G415" t="s">
        <v>13</v>
      </c>
      <c r="H415" t="s">
        <v>22</v>
      </c>
      <c r="I415" t="s">
        <v>36</v>
      </c>
      <c r="J415">
        <v>26158</v>
      </c>
      <c r="K415" t="s">
        <v>2053</v>
      </c>
    </row>
    <row r="416" spans="1:11" x14ac:dyDescent="0.35">
      <c r="A416" t="s">
        <v>461</v>
      </c>
      <c r="B416" s="1">
        <v>45781</v>
      </c>
      <c r="C416" s="1">
        <v>45783</v>
      </c>
      <c r="D416" t="s">
        <v>39</v>
      </c>
      <c r="E416" t="s">
        <v>23</v>
      </c>
      <c r="F416">
        <v>147246</v>
      </c>
      <c r="G416" t="s">
        <v>17</v>
      </c>
      <c r="H416" t="s">
        <v>11</v>
      </c>
      <c r="I416" t="s">
        <v>29</v>
      </c>
      <c r="J416">
        <v>26694</v>
      </c>
      <c r="K416" t="s">
        <v>2053</v>
      </c>
    </row>
    <row r="417" spans="1:11" x14ac:dyDescent="0.35">
      <c r="A417" t="s">
        <v>462</v>
      </c>
      <c r="B417" s="1">
        <v>45938</v>
      </c>
      <c r="C417" s="1">
        <v>45941</v>
      </c>
      <c r="D417" t="s">
        <v>39</v>
      </c>
      <c r="E417" t="s">
        <v>38</v>
      </c>
      <c r="F417">
        <v>917292</v>
      </c>
      <c r="G417" t="s">
        <v>13</v>
      </c>
      <c r="H417" t="s">
        <v>41</v>
      </c>
      <c r="I417" t="s">
        <v>10</v>
      </c>
      <c r="J417">
        <v>23152</v>
      </c>
      <c r="K417" t="s">
        <v>2054</v>
      </c>
    </row>
    <row r="418" spans="1:11" x14ac:dyDescent="0.35">
      <c r="A418" t="s">
        <v>463</v>
      </c>
      <c r="B418" s="1">
        <v>46000</v>
      </c>
      <c r="C418" s="1">
        <v>46005</v>
      </c>
      <c r="D418" t="s">
        <v>8</v>
      </c>
      <c r="E418" t="s">
        <v>16</v>
      </c>
      <c r="F418">
        <v>946153</v>
      </c>
      <c r="G418" t="s">
        <v>9</v>
      </c>
      <c r="H418" t="s">
        <v>11</v>
      </c>
      <c r="I418" t="s">
        <v>15</v>
      </c>
      <c r="J418">
        <v>20271</v>
      </c>
      <c r="K418" t="s">
        <v>2050</v>
      </c>
    </row>
    <row r="419" spans="1:11" x14ac:dyDescent="0.35">
      <c r="A419" t="s">
        <v>464</v>
      </c>
      <c r="B419" s="1">
        <v>45714</v>
      </c>
      <c r="C419" s="1">
        <v>45718</v>
      </c>
      <c r="D419" t="s">
        <v>19</v>
      </c>
      <c r="E419" t="s">
        <v>27</v>
      </c>
      <c r="F419">
        <v>559819</v>
      </c>
      <c r="G419" t="s">
        <v>13</v>
      </c>
      <c r="H419" t="s">
        <v>32</v>
      </c>
      <c r="I419" t="s">
        <v>15</v>
      </c>
      <c r="J419">
        <v>16478</v>
      </c>
      <c r="K419" t="s">
        <v>2050</v>
      </c>
    </row>
    <row r="420" spans="1:11" x14ac:dyDescent="0.35">
      <c r="A420" t="s">
        <v>465</v>
      </c>
      <c r="B420" s="1">
        <v>45776</v>
      </c>
      <c r="C420" s="1">
        <v>45779</v>
      </c>
      <c r="D420" t="s">
        <v>40</v>
      </c>
      <c r="E420" t="s">
        <v>23</v>
      </c>
      <c r="F420">
        <v>905689</v>
      </c>
      <c r="G420" t="s">
        <v>9</v>
      </c>
      <c r="H420" t="s">
        <v>25</v>
      </c>
      <c r="I420" t="s">
        <v>11</v>
      </c>
      <c r="J420">
        <v>15499</v>
      </c>
      <c r="K420" t="s">
        <v>2050</v>
      </c>
    </row>
    <row r="421" spans="1:11" x14ac:dyDescent="0.35">
      <c r="A421" t="s">
        <v>466</v>
      </c>
      <c r="B421" s="1">
        <v>45667</v>
      </c>
      <c r="C421" s="1">
        <v>45672</v>
      </c>
      <c r="D421" t="s">
        <v>8</v>
      </c>
      <c r="E421" t="s">
        <v>23</v>
      </c>
      <c r="F421">
        <v>241971</v>
      </c>
      <c r="G421" t="s">
        <v>28</v>
      </c>
      <c r="H421" t="s">
        <v>31</v>
      </c>
      <c r="I421" t="s">
        <v>34</v>
      </c>
      <c r="J421">
        <v>20410</v>
      </c>
      <c r="K421" t="s">
        <v>2052</v>
      </c>
    </row>
    <row r="422" spans="1:11" x14ac:dyDescent="0.35">
      <c r="A422" t="s">
        <v>467</v>
      </c>
      <c r="B422" s="1">
        <v>45717</v>
      </c>
      <c r="C422" s="1">
        <v>45721</v>
      </c>
      <c r="D422" t="s">
        <v>40</v>
      </c>
      <c r="E422" t="s">
        <v>33</v>
      </c>
      <c r="F422">
        <v>449057</v>
      </c>
      <c r="G422" t="s">
        <v>28</v>
      </c>
      <c r="H422" t="s">
        <v>32</v>
      </c>
      <c r="I422" t="s">
        <v>34</v>
      </c>
      <c r="J422">
        <v>14740</v>
      </c>
      <c r="K422" t="s">
        <v>2053</v>
      </c>
    </row>
    <row r="423" spans="1:11" x14ac:dyDescent="0.35">
      <c r="A423" t="s">
        <v>468</v>
      </c>
      <c r="B423" s="1">
        <v>45677</v>
      </c>
      <c r="C423" s="1">
        <v>45679</v>
      </c>
      <c r="D423" t="s">
        <v>39</v>
      </c>
      <c r="E423" t="s">
        <v>16</v>
      </c>
      <c r="F423">
        <v>352604</v>
      </c>
      <c r="G423" t="s">
        <v>26</v>
      </c>
      <c r="H423" t="s">
        <v>41</v>
      </c>
      <c r="I423" t="s">
        <v>14</v>
      </c>
      <c r="J423">
        <v>24285</v>
      </c>
      <c r="K423" t="s">
        <v>2052</v>
      </c>
    </row>
    <row r="424" spans="1:11" x14ac:dyDescent="0.35">
      <c r="A424" t="s">
        <v>469</v>
      </c>
      <c r="B424" s="1">
        <v>45751</v>
      </c>
      <c r="C424" s="1">
        <v>45754</v>
      </c>
      <c r="D424" t="s">
        <v>39</v>
      </c>
      <c r="E424" t="s">
        <v>12</v>
      </c>
      <c r="F424">
        <v>375504</v>
      </c>
      <c r="G424" t="s">
        <v>17</v>
      </c>
      <c r="H424" t="s">
        <v>36</v>
      </c>
      <c r="I424" t="s">
        <v>24</v>
      </c>
      <c r="J424">
        <v>24970</v>
      </c>
      <c r="K424" t="s">
        <v>2053</v>
      </c>
    </row>
    <row r="425" spans="1:11" x14ac:dyDescent="0.35">
      <c r="A425" t="s">
        <v>470</v>
      </c>
      <c r="B425" s="1">
        <v>46004</v>
      </c>
      <c r="C425" s="1">
        <v>46009</v>
      </c>
      <c r="D425" t="s">
        <v>8</v>
      </c>
      <c r="E425" t="s">
        <v>12</v>
      </c>
      <c r="F425">
        <v>102891</v>
      </c>
      <c r="G425" t="s">
        <v>28</v>
      </c>
      <c r="H425" t="s">
        <v>43</v>
      </c>
      <c r="I425" t="s">
        <v>24</v>
      </c>
      <c r="J425">
        <v>19051</v>
      </c>
      <c r="K425" t="s">
        <v>2050</v>
      </c>
    </row>
    <row r="426" spans="1:11" x14ac:dyDescent="0.35">
      <c r="A426" t="s">
        <v>471</v>
      </c>
      <c r="B426" s="1">
        <v>45769</v>
      </c>
      <c r="C426" s="1">
        <v>45773</v>
      </c>
      <c r="D426" t="s">
        <v>8</v>
      </c>
      <c r="E426" t="s">
        <v>38</v>
      </c>
      <c r="F426">
        <v>191739</v>
      </c>
      <c r="G426" t="s">
        <v>9</v>
      </c>
      <c r="H426" t="s">
        <v>29</v>
      </c>
      <c r="I426" t="s">
        <v>14</v>
      </c>
      <c r="J426">
        <v>18239</v>
      </c>
      <c r="K426" t="s">
        <v>2051</v>
      </c>
    </row>
    <row r="427" spans="1:11" x14ac:dyDescent="0.35">
      <c r="A427" t="s">
        <v>472</v>
      </c>
      <c r="B427" s="1">
        <v>45989</v>
      </c>
      <c r="C427" s="1">
        <v>45994</v>
      </c>
      <c r="D427" t="s">
        <v>39</v>
      </c>
      <c r="E427" t="s">
        <v>20</v>
      </c>
      <c r="F427">
        <v>622013</v>
      </c>
      <c r="G427" t="s">
        <v>26</v>
      </c>
      <c r="H427" t="s">
        <v>21</v>
      </c>
      <c r="I427" t="s">
        <v>35</v>
      </c>
      <c r="J427">
        <v>27581</v>
      </c>
      <c r="K427" t="s">
        <v>2052</v>
      </c>
    </row>
    <row r="428" spans="1:11" x14ac:dyDescent="0.35">
      <c r="A428" t="s">
        <v>473</v>
      </c>
      <c r="B428" s="1">
        <v>45749</v>
      </c>
      <c r="C428" s="1">
        <v>45750</v>
      </c>
      <c r="D428" t="s">
        <v>19</v>
      </c>
      <c r="E428" t="s">
        <v>27</v>
      </c>
      <c r="F428">
        <v>602972</v>
      </c>
      <c r="G428" t="s">
        <v>9</v>
      </c>
      <c r="H428" t="s">
        <v>44</v>
      </c>
      <c r="I428" t="s">
        <v>24</v>
      </c>
      <c r="J428">
        <v>16596</v>
      </c>
      <c r="K428" t="s">
        <v>2053</v>
      </c>
    </row>
    <row r="429" spans="1:11" x14ac:dyDescent="0.35">
      <c r="A429" t="s">
        <v>474</v>
      </c>
      <c r="B429" s="1">
        <v>45827</v>
      </c>
      <c r="C429" s="1">
        <v>45830</v>
      </c>
      <c r="D429" t="s">
        <v>8</v>
      </c>
      <c r="E429" t="s">
        <v>23</v>
      </c>
      <c r="F429">
        <v>984200</v>
      </c>
      <c r="G429" t="s">
        <v>26</v>
      </c>
      <c r="H429" t="s">
        <v>44</v>
      </c>
      <c r="I429" t="s">
        <v>42</v>
      </c>
      <c r="J429">
        <v>20432</v>
      </c>
      <c r="K429" t="s">
        <v>2054</v>
      </c>
    </row>
    <row r="430" spans="1:11" x14ac:dyDescent="0.35">
      <c r="A430" t="s">
        <v>475</v>
      </c>
      <c r="B430" s="1">
        <v>45839</v>
      </c>
      <c r="C430" s="1">
        <v>45843</v>
      </c>
      <c r="D430" t="s">
        <v>40</v>
      </c>
      <c r="E430" t="s">
        <v>12</v>
      </c>
      <c r="F430">
        <v>523990</v>
      </c>
      <c r="G430" t="s">
        <v>17</v>
      </c>
      <c r="H430" t="s">
        <v>34</v>
      </c>
      <c r="I430" t="s">
        <v>14</v>
      </c>
      <c r="J430">
        <v>13095</v>
      </c>
      <c r="K430" t="s">
        <v>2053</v>
      </c>
    </row>
    <row r="431" spans="1:11" x14ac:dyDescent="0.35">
      <c r="A431" t="s">
        <v>476</v>
      </c>
      <c r="B431" s="1">
        <v>45804</v>
      </c>
      <c r="C431" s="1">
        <v>45808</v>
      </c>
      <c r="D431" t="s">
        <v>40</v>
      </c>
      <c r="E431" t="s">
        <v>33</v>
      </c>
      <c r="F431">
        <v>879404</v>
      </c>
      <c r="G431" t="s">
        <v>13</v>
      </c>
      <c r="H431" t="s">
        <v>42</v>
      </c>
      <c r="I431" t="s">
        <v>21</v>
      </c>
      <c r="J431">
        <v>15195</v>
      </c>
      <c r="K431" t="s">
        <v>2053</v>
      </c>
    </row>
    <row r="432" spans="1:11" x14ac:dyDescent="0.35">
      <c r="A432" t="s">
        <v>477</v>
      </c>
      <c r="B432" s="1">
        <v>45887</v>
      </c>
      <c r="C432" s="1">
        <v>45892</v>
      </c>
      <c r="D432" t="s">
        <v>39</v>
      </c>
      <c r="E432" t="s">
        <v>27</v>
      </c>
      <c r="F432">
        <v>356078</v>
      </c>
      <c r="G432" t="s">
        <v>13</v>
      </c>
      <c r="H432" t="s">
        <v>32</v>
      </c>
      <c r="I432" t="s">
        <v>44</v>
      </c>
      <c r="J432">
        <v>25377</v>
      </c>
      <c r="K432" t="s">
        <v>2054</v>
      </c>
    </row>
    <row r="433" spans="1:11" x14ac:dyDescent="0.35">
      <c r="A433" t="s">
        <v>478</v>
      </c>
      <c r="B433" s="1">
        <v>45680</v>
      </c>
      <c r="C433" s="1">
        <v>45681</v>
      </c>
      <c r="D433" t="s">
        <v>8</v>
      </c>
      <c r="E433" t="s">
        <v>16</v>
      </c>
      <c r="F433">
        <v>654751</v>
      </c>
      <c r="G433" t="s">
        <v>13</v>
      </c>
      <c r="H433" t="s">
        <v>14</v>
      </c>
      <c r="I433" t="s">
        <v>43</v>
      </c>
      <c r="J433">
        <v>20017</v>
      </c>
      <c r="K433" t="s">
        <v>2050</v>
      </c>
    </row>
    <row r="434" spans="1:11" x14ac:dyDescent="0.35">
      <c r="A434" t="s">
        <v>479</v>
      </c>
      <c r="B434" s="1">
        <v>45824</v>
      </c>
      <c r="C434" s="1">
        <v>45827</v>
      </c>
      <c r="D434" t="s">
        <v>19</v>
      </c>
      <c r="E434" t="s">
        <v>16</v>
      </c>
      <c r="F434">
        <v>361451</v>
      </c>
      <c r="G434" t="s">
        <v>13</v>
      </c>
      <c r="H434" t="s">
        <v>34</v>
      </c>
      <c r="I434" t="s">
        <v>24</v>
      </c>
      <c r="J434">
        <v>16537</v>
      </c>
      <c r="K434" t="s">
        <v>2050</v>
      </c>
    </row>
    <row r="435" spans="1:11" x14ac:dyDescent="0.35">
      <c r="A435" t="s">
        <v>480</v>
      </c>
      <c r="B435" s="1">
        <v>45773</v>
      </c>
      <c r="C435" s="1">
        <v>45776</v>
      </c>
      <c r="D435" t="s">
        <v>8</v>
      </c>
      <c r="E435" t="s">
        <v>27</v>
      </c>
      <c r="F435">
        <v>983228</v>
      </c>
      <c r="G435" t="s">
        <v>9</v>
      </c>
      <c r="H435" t="s">
        <v>29</v>
      </c>
      <c r="I435" t="s">
        <v>11</v>
      </c>
      <c r="J435">
        <v>18757</v>
      </c>
      <c r="K435" t="s">
        <v>2050</v>
      </c>
    </row>
    <row r="436" spans="1:11" x14ac:dyDescent="0.35">
      <c r="A436" t="s">
        <v>481</v>
      </c>
      <c r="B436" s="1">
        <v>45747</v>
      </c>
      <c r="C436" s="1">
        <v>45750</v>
      </c>
      <c r="D436" t="s">
        <v>40</v>
      </c>
      <c r="E436" t="s">
        <v>38</v>
      </c>
      <c r="F436">
        <v>258775</v>
      </c>
      <c r="G436" t="s">
        <v>26</v>
      </c>
      <c r="H436" t="s">
        <v>29</v>
      </c>
      <c r="I436" t="s">
        <v>36</v>
      </c>
      <c r="J436">
        <v>12181</v>
      </c>
      <c r="K436" t="s">
        <v>2052</v>
      </c>
    </row>
    <row r="437" spans="1:11" x14ac:dyDescent="0.35">
      <c r="A437" t="s">
        <v>482</v>
      </c>
      <c r="B437" s="1">
        <v>45929</v>
      </c>
      <c r="C437" s="1">
        <v>45934</v>
      </c>
      <c r="D437" t="s">
        <v>40</v>
      </c>
      <c r="E437" t="s">
        <v>33</v>
      </c>
      <c r="F437">
        <v>808945</v>
      </c>
      <c r="G437" t="s">
        <v>28</v>
      </c>
      <c r="H437" t="s">
        <v>34</v>
      </c>
      <c r="I437" t="s">
        <v>36</v>
      </c>
      <c r="J437">
        <v>15274</v>
      </c>
      <c r="K437" t="s">
        <v>2053</v>
      </c>
    </row>
    <row r="438" spans="1:11" x14ac:dyDescent="0.35">
      <c r="A438" t="s">
        <v>483</v>
      </c>
      <c r="B438" s="1">
        <v>45848</v>
      </c>
      <c r="C438" s="1">
        <v>45852</v>
      </c>
      <c r="D438" t="s">
        <v>40</v>
      </c>
      <c r="E438" t="s">
        <v>20</v>
      </c>
      <c r="F438">
        <v>582077</v>
      </c>
      <c r="G438" t="s">
        <v>17</v>
      </c>
      <c r="H438" t="s">
        <v>22</v>
      </c>
      <c r="I438" t="s">
        <v>25</v>
      </c>
      <c r="J438">
        <v>15382</v>
      </c>
      <c r="K438" t="s">
        <v>2052</v>
      </c>
    </row>
    <row r="439" spans="1:11" x14ac:dyDescent="0.35">
      <c r="A439" t="s">
        <v>484</v>
      </c>
      <c r="B439" s="1">
        <v>45992</v>
      </c>
      <c r="C439" s="1">
        <v>45993</v>
      </c>
      <c r="D439" t="s">
        <v>40</v>
      </c>
      <c r="E439" t="s">
        <v>20</v>
      </c>
      <c r="F439">
        <v>604186</v>
      </c>
      <c r="G439" t="s">
        <v>26</v>
      </c>
      <c r="H439" t="s">
        <v>11</v>
      </c>
      <c r="I439" t="s">
        <v>32</v>
      </c>
      <c r="J439">
        <v>14310</v>
      </c>
      <c r="K439" t="s">
        <v>2053</v>
      </c>
    </row>
    <row r="440" spans="1:11" x14ac:dyDescent="0.35">
      <c r="A440" t="s">
        <v>485</v>
      </c>
      <c r="B440" s="1">
        <v>45760</v>
      </c>
      <c r="C440" s="1">
        <v>45761</v>
      </c>
      <c r="D440" t="s">
        <v>8</v>
      </c>
      <c r="E440" t="s">
        <v>38</v>
      </c>
      <c r="F440">
        <v>597635</v>
      </c>
      <c r="G440" t="s">
        <v>17</v>
      </c>
      <c r="H440" t="s">
        <v>18</v>
      </c>
      <c r="I440" t="s">
        <v>18</v>
      </c>
      <c r="J440">
        <v>18099</v>
      </c>
      <c r="K440" t="s">
        <v>2054</v>
      </c>
    </row>
    <row r="441" spans="1:11" x14ac:dyDescent="0.35">
      <c r="A441" t="s">
        <v>486</v>
      </c>
      <c r="B441" s="1">
        <v>45785</v>
      </c>
      <c r="C441" s="1">
        <v>45790</v>
      </c>
      <c r="D441" t="s">
        <v>8</v>
      </c>
      <c r="E441" t="s">
        <v>20</v>
      </c>
      <c r="F441">
        <v>845701</v>
      </c>
      <c r="G441" t="s">
        <v>28</v>
      </c>
      <c r="H441" t="s">
        <v>44</v>
      </c>
      <c r="I441" t="s">
        <v>29</v>
      </c>
      <c r="J441">
        <v>20312</v>
      </c>
      <c r="K441" t="s">
        <v>2054</v>
      </c>
    </row>
    <row r="442" spans="1:11" x14ac:dyDescent="0.35">
      <c r="A442" t="s">
        <v>487</v>
      </c>
      <c r="B442" s="1">
        <v>45799</v>
      </c>
      <c r="C442" s="1">
        <v>45803</v>
      </c>
      <c r="D442" t="s">
        <v>8</v>
      </c>
      <c r="E442" t="s">
        <v>38</v>
      </c>
      <c r="F442">
        <v>655928</v>
      </c>
      <c r="G442" t="s">
        <v>28</v>
      </c>
      <c r="H442" t="s">
        <v>10</v>
      </c>
      <c r="I442" t="s">
        <v>32</v>
      </c>
      <c r="J442">
        <v>17994</v>
      </c>
      <c r="K442" t="s">
        <v>2054</v>
      </c>
    </row>
    <row r="443" spans="1:11" x14ac:dyDescent="0.35">
      <c r="A443" t="s">
        <v>488</v>
      </c>
      <c r="B443" s="1">
        <v>45816</v>
      </c>
      <c r="C443" s="1">
        <v>45819</v>
      </c>
      <c r="D443" t="s">
        <v>40</v>
      </c>
      <c r="E443" t="s">
        <v>33</v>
      </c>
      <c r="F443">
        <v>331177</v>
      </c>
      <c r="G443" t="s">
        <v>26</v>
      </c>
      <c r="H443" t="s">
        <v>42</v>
      </c>
      <c r="I443" t="s">
        <v>32</v>
      </c>
      <c r="J443">
        <v>15176</v>
      </c>
      <c r="K443" t="s">
        <v>2054</v>
      </c>
    </row>
    <row r="444" spans="1:11" x14ac:dyDescent="0.35">
      <c r="A444" t="s">
        <v>489</v>
      </c>
      <c r="B444" s="1">
        <v>46022</v>
      </c>
      <c r="C444" s="1">
        <v>46023</v>
      </c>
      <c r="D444" t="s">
        <v>40</v>
      </c>
      <c r="E444" t="s">
        <v>33</v>
      </c>
      <c r="F444">
        <v>238901</v>
      </c>
      <c r="G444" t="s">
        <v>9</v>
      </c>
      <c r="H444" t="s">
        <v>22</v>
      </c>
      <c r="I444" t="s">
        <v>41</v>
      </c>
      <c r="J444">
        <v>15462</v>
      </c>
      <c r="K444" t="s">
        <v>2052</v>
      </c>
    </row>
    <row r="445" spans="1:11" x14ac:dyDescent="0.35">
      <c r="A445" t="s">
        <v>490</v>
      </c>
      <c r="B445" s="1">
        <v>45949</v>
      </c>
      <c r="C445" s="1">
        <v>45950</v>
      </c>
      <c r="D445" t="s">
        <v>40</v>
      </c>
      <c r="E445" t="s">
        <v>20</v>
      </c>
      <c r="F445">
        <v>565127</v>
      </c>
      <c r="G445" t="s">
        <v>13</v>
      </c>
      <c r="H445" t="s">
        <v>34</v>
      </c>
      <c r="I445" t="s">
        <v>22</v>
      </c>
      <c r="J445">
        <v>15165</v>
      </c>
      <c r="K445" t="s">
        <v>2052</v>
      </c>
    </row>
    <row r="446" spans="1:11" x14ac:dyDescent="0.35">
      <c r="A446" t="s">
        <v>491</v>
      </c>
      <c r="B446" s="1">
        <v>45812</v>
      </c>
      <c r="C446" s="1">
        <v>45816</v>
      </c>
      <c r="D446" t="s">
        <v>19</v>
      </c>
      <c r="E446" t="s">
        <v>27</v>
      </c>
      <c r="F446">
        <v>722179</v>
      </c>
      <c r="G446" t="s">
        <v>17</v>
      </c>
      <c r="H446" t="s">
        <v>29</v>
      </c>
      <c r="I446" t="s">
        <v>41</v>
      </c>
      <c r="J446">
        <v>16723</v>
      </c>
      <c r="K446" t="s">
        <v>2052</v>
      </c>
    </row>
    <row r="447" spans="1:11" x14ac:dyDescent="0.35">
      <c r="A447" t="s">
        <v>492</v>
      </c>
      <c r="B447" s="1">
        <v>45728</v>
      </c>
      <c r="C447" s="1">
        <v>45733</v>
      </c>
      <c r="D447" t="s">
        <v>39</v>
      </c>
      <c r="E447" t="s">
        <v>23</v>
      </c>
      <c r="F447">
        <v>463339</v>
      </c>
      <c r="G447" t="s">
        <v>13</v>
      </c>
      <c r="H447" t="s">
        <v>43</v>
      </c>
      <c r="I447" t="s">
        <v>42</v>
      </c>
      <c r="J447">
        <v>26709</v>
      </c>
      <c r="K447" t="s">
        <v>2053</v>
      </c>
    </row>
    <row r="448" spans="1:11" x14ac:dyDescent="0.35">
      <c r="A448" t="s">
        <v>493</v>
      </c>
      <c r="B448" s="1">
        <v>45808</v>
      </c>
      <c r="C448" s="1">
        <v>45810</v>
      </c>
      <c r="D448" t="s">
        <v>19</v>
      </c>
      <c r="E448" t="s">
        <v>27</v>
      </c>
      <c r="F448">
        <v>711839</v>
      </c>
      <c r="G448" t="s">
        <v>17</v>
      </c>
      <c r="H448" t="s">
        <v>24</v>
      </c>
      <c r="I448" t="s">
        <v>29</v>
      </c>
      <c r="J448">
        <v>15657</v>
      </c>
      <c r="K448" t="s">
        <v>2053</v>
      </c>
    </row>
    <row r="449" spans="1:11" x14ac:dyDescent="0.35">
      <c r="A449" t="s">
        <v>494</v>
      </c>
      <c r="B449" s="1">
        <v>46021</v>
      </c>
      <c r="C449" s="1">
        <v>46024</v>
      </c>
      <c r="D449" t="s">
        <v>8</v>
      </c>
      <c r="E449" t="s">
        <v>30</v>
      </c>
      <c r="F449">
        <v>462948</v>
      </c>
      <c r="G449" t="s">
        <v>17</v>
      </c>
      <c r="H449" t="s">
        <v>21</v>
      </c>
      <c r="I449" t="s">
        <v>18</v>
      </c>
      <c r="J449">
        <v>19615</v>
      </c>
      <c r="K449" t="s">
        <v>2053</v>
      </c>
    </row>
    <row r="450" spans="1:11" x14ac:dyDescent="0.35">
      <c r="A450" t="s">
        <v>495</v>
      </c>
      <c r="B450" s="1">
        <v>45774</v>
      </c>
      <c r="C450" s="1">
        <v>45779</v>
      </c>
      <c r="D450" t="s">
        <v>19</v>
      </c>
      <c r="E450" t="s">
        <v>30</v>
      </c>
      <c r="F450">
        <v>756450</v>
      </c>
      <c r="G450" t="s">
        <v>26</v>
      </c>
      <c r="H450" t="s">
        <v>36</v>
      </c>
      <c r="I450" t="s">
        <v>22</v>
      </c>
      <c r="J450">
        <v>16756</v>
      </c>
      <c r="K450" t="s">
        <v>2050</v>
      </c>
    </row>
    <row r="451" spans="1:11" x14ac:dyDescent="0.35">
      <c r="A451" t="s">
        <v>496</v>
      </c>
      <c r="B451" s="1">
        <v>45882</v>
      </c>
      <c r="C451" s="1">
        <v>45885</v>
      </c>
      <c r="D451" t="s">
        <v>39</v>
      </c>
      <c r="E451" t="s">
        <v>12</v>
      </c>
      <c r="F451">
        <v>761100</v>
      </c>
      <c r="G451" t="s">
        <v>9</v>
      </c>
      <c r="H451" t="s">
        <v>42</v>
      </c>
      <c r="I451" t="s">
        <v>21</v>
      </c>
      <c r="J451">
        <v>24696</v>
      </c>
      <c r="K451" t="s">
        <v>2050</v>
      </c>
    </row>
    <row r="452" spans="1:11" x14ac:dyDescent="0.35">
      <c r="A452" t="s">
        <v>497</v>
      </c>
      <c r="B452" s="1">
        <v>45782</v>
      </c>
      <c r="C452" s="1">
        <v>45786</v>
      </c>
      <c r="D452" t="s">
        <v>8</v>
      </c>
      <c r="E452" t="s">
        <v>33</v>
      </c>
      <c r="F452">
        <v>219782</v>
      </c>
      <c r="G452" t="s">
        <v>9</v>
      </c>
      <c r="H452" t="s">
        <v>44</v>
      </c>
      <c r="I452" t="s">
        <v>35</v>
      </c>
      <c r="J452">
        <v>21166</v>
      </c>
      <c r="K452" t="s">
        <v>2050</v>
      </c>
    </row>
    <row r="453" spans="1:11" x14ac:dyDescent="0.35">
      <c r="A453" t="s">
        <v>498</v>
      </c>
      <c r="B453" s="1">
        <v>45866</v>
      </c>
      <c r="C453" s="1">
        <v>45868</v>
      </c>
      <c r="D453" t="s">
        <v>8</v>
      </c>
      <c r="E453" t="s">
        <v>12</v>
      </c>
      <c r="F453">
        <v>585432</v>
      </c>
      <c r="G453" t="s">
        <v>9</v>
      </c>
      <c r="H453" t="s">
        <v>45</v>
      </c>
      <c r="I453" t="s">
        <v>35</v>
      </c>
      <c r="J453">
        <v>17650</v>
      </c>
      <c r="K453" t="s">
        <v>2050</v>
      </c>
    </row>
    <row r="454" spans="1:11" x14ac:dyDescent="0.35">
      <c r="A454" t="s">
        <v>499</v>
      </c>
      <c r="B454" s="1">
        <v>45963</v>
      </c>
      <c r="C454" s="1">
        <v>45965</v>
      </c>
      <c r="D454" t="s">
        <v>40</v>
      </c>
      <c r="E454" t="s">
        <v>12</v>
      </c>
      <c r="F454">
        <v>776094</v>
      </c>
      <c r="G454" t="s">
        <v>17</v>
      </c>
      <c r="H454" t="s">
        <v>29</v>
      </c>
      <c r="I454" t="s">
        <v>34</v>
      </c>
      <c r="J454">
        <v>12839</v>
      </c>
      <c r="K454" t="s">
        <v>2050</v>
      </c>
    </row>
    <row r="455" spans="1:11" x14ac:dyDescent="0.35">
      <c r="A455" t="s">
        <v>500</v>
      </c>
      <c r="B455" s="1">
        <v>45902</v>
      </c>
      <c r="C455" s="1">
        <v>45903</v>
      </c>
      <c r="D455" t="s">
        <v>8</v>
      </c>
      <c r="E455" t="s">
        <v>27</v>
      </c>
      <c r="F455">
        <v>225951</v>
      </c>
      <c r="G455" t="s">
        <v>26</v>
      </c>
      <c r="H455" t="s">
        <v>22</v>
      </c>
      <c r="I455" t="s">
        <v>10</v>
      </c>
      <c r="J455">
        <v>19004</v>
      </c>
      <c r="K455" t="s">
        <v>2051</v>
      </c>
    </row>
    <row r="456" spans="1:11" x14ac:dyDescent="0.35">
      <c r="A456" t="s">
        <v>501</v>
      </c>
      <c r="B456" s="1">
        <v>45785</v>
      </c>
      <c r="C456" s="1">
        <v>45786</v>
      </c>
      <c r="D456" t="s">
        <v>8</v>
      </c>
      <c r="E456" t="s">
        <v>30</v>
      </c>
      <c r="F456">
        <v>794406</v>
      </c>
      <c r="G456" t="s">
        <v>13</v>
      </c>
      <c r="H456" t="s">
        <v>42</v>
      </c>
      <c r="I456" t="s">
        <v>43</v>
      </c>
      <c r="J456">
        <v>19423</v>
      </c>
      <c r="K456" t="s">
        <v>2052</v>
      </c>
    </row>
    <row r="457" spans="1:11" x14ac:dyDescent="0.35">
      <c r="A457" t="s">
        <v>502</v>
      </c>
      <c r="B457" s="1">
        <v>45885</v>
      </c>
      <c r="C457" s="1">
        <v>45886</v>
      </c>
      <c r="D457" t="s">
        <v>8</v>
      </c>
      <c r="E457" t="s">
        <v>33</v>
      </c>
      <c r="F457">
        <v>905242</v>
      </c>
      <c r="G457" t="s">
        <v>26</v>
      </c>
      <c r="H457" t="s">
        <v>41</v>
      </c>
      <c r="I457" t="s">
        <v>15</v>
      </c>
      <c r="J457">
        <v>21593</v>
      </c>
      <c r="K457" t="s">
        <v>2053</v>
      </c>
    </row>
    <row r="458" spans="1:11" x14ac:dyDescent="0.35">
      <c r="A458" t="s">
        <v>503</v>
      </c>
      <c r="B458" s="1">
        <v>45723</v>
      </c>
      <c r="C458" s="1">
        <v>45724</v>
      </c>
      <c r="D458" t="s">
        <v>39</v>
      </c>
      <c r="E458" t="s">
        <v>12</v>
      </c>
      <c r="F458">
        <v>770204</v>
      </c>
      <c r="G458" t="s">
        <v>13</v>
      </c>
      <c r="H458" t="s">
        <v>22</v>
      </c>
      <c r="I458" t="s">
        <v>36</v>
      </c>
      <c r="J458">
        <v>23935</v>
      </c>
      <c r="K458" t="s">
        <v>2054</v>
      </c>
    </row>
    <row r="459" spans="1:11" x14ac:dyDescent="0.35">
      <c r="A459" t="s">
        <v>504</v>
      </c>
      <c r="B459" s="1">
        <v>45891</v>
      </c>
      <c r="C459" s="1">
        <v>45894</v>
      </c>
      <c r="D459" t="s">
        <v>8</v>
      </c>
      <c r="E459" t="s">
        <v>30</v>
      </c>
      <c r="F459">
        <v>252041</v>
      </c>
      <c r="G459" t="s">
        <v>13</v>
      </c>
      <c r="H459" t="s">
        <v>41</v>
      </c>
      <c r="I459" t="s">
        <v>24</v>
      </c>
      <c r="J459">
        <v>19045</v>
      </c>
      <c r="K459" t="s">
        <v>2053</v>
      </c>
    </row>
    <row r="460" spans="1:11" x14ac:dyDescent="0.35">
      <c r="A460" t="s">
        <v>505</v>
      </c>
      <c r="B460" s="1">
        <v>45863</v>
      </c>
      <c r="C460" s="1">
        <v>45867</v>
      </c>
      <c r="D460" t="s">
        <v>39</v>
      </c>
      <c r="E460" t="s">
        <v>12</v>
      </c>
      <c r="F460">
        <v>104390</v>
      </c>
      <c r="G460" t="s">
        <v>13</v>
      </c>
      <c r="H460" t="s">
        <v>42</v>
      </c>
      <c r="I460" t="s">
        <v>10</v>
      </c>
      <c r="J460">
        <v>23209</v>
      </c>
      <c r="K460" t="s">
        <v>2050</v>
      </c>
    </row>
    <row r="461" spans="1:11" x14ac:dyDescent="0.35">
      <c r="A461" t="s">
        <v>506</v>
      </c>
      <c r="B461" s="1">
        <v>45753</v>
      </c>
      <c r="C461" s="1">
        <v>45755</v>
      </c>
      <c r="D461" t="s">
        <v>40</v>
      </c>
      <c r="E461" t="s">
        <v>12</v>
      </c>
      <c r="F461">
        <v>365836</v>
      </c>
      <c r="G461" t="s">
        <v>17</v>
      </c>
      <c r="H461" t="s">
        <v>34</v>
      </c>
      <c r="I461" t="s">
        <v>45</v>
      </c>
      <c r="J461">
        <v>12760</v>
      </c>
      <c r="K461" t="s">
        <v>2051</v>
      </c>
    </row>
    <row r="462" spans="1:11" x14ac:dyDescent="0.35">
      <c r="A462" t="s">
        <v>507</v>
      </c>
      <c r="B462" s="1">
        <v>45787</v>
      </c>
      <c r="C462" s="1">
        <v>45789</v>
      </c>
      <c r="D462" t="s">
        <v>8</v>
      </c>
      <c r="E462" t="s">
        <v>38</v>
      </c>
      <c r="F462">
        <v>702120</v>
      </c>
      <c r="G462" t="s">
        <v>28</v>
      </c>
      <c r="H462" t="s">
        <v>11</v>
      </c>
      <c r="I462" t="s">
        <v>10</v>
      </c>
      <c r="J462">
        <v>18556</v>
      </c>
      <c r="K462" t="s">
        <v>2052</v>
      </c>
    </row>
    <row r="463" spans="1:11" x14ac:dyDescent="0.35">
      <c r="A463" t="s">
        <v>508</v>
      </c>
      <c r="B463" s="1">
        <v>45866</v>
      </c>
      <c r="C463" s="1">
        <v>45869</v>
      </c>
      <c r="D463" t="s">
        <v>8</v>
      </c>
      <c r="E463" t="s">
        <v>20</v>
      </c>
      <c r="F463">
        <v>432341</v>
      </c>
      <c r="G463" t="s">
        <v>9</v>
      </c>
      <c r="H463" t="s">
        <v>44</v>
      </c>
      <c r="I463" t="s">
        <v>34</v>
      </c>
      <c r="J463">
        <v>21571</v>
      </c>
      <c r="K463" t="s">
        <v>2053</v>
      </c>
    </row>
    <row r="464" spans="1:11" x14ac:dyDescent="0.35">
      <c r="A464" t="s">
        <v>509</v>
      </c>
      <c r="B464" s="1">
        <v>45912</v>
      </c>
      <c r="C464" s="1">
        <v>45916</v>
      </c>
      <c r="D464" t="s">
        <v>19</v>
      </c>
      <c r="E464" t="s">
        <v>12</v>
      </c>
      <c r="F464">
        <v>704774</v>
      </c>
      <c r="G464" t="s">
        <v>28</v>
      </c>
      <c r="H464" t="s">
        <v>44</v>
      </c>
      <c r="I464" t="s">
        <v>14</v>
      </c>
      <c r="J464">
        <v>14407</v>
      </c>
      <c r="K464" t="s">
        <v>2054</v>
      </c>
    </row>
    <row r="465" spans="1:11" x14ac:dyDescent="0.35">
      <c r="A465" t="s">
        <v>510</v>
      </c>
      <c r="B465" s="1">
        <v>45965</v>
      </c>
      <c r="C465" s="1">
        <v>45970</v>
      </c>
      <c r="D465" t="s">
        <v>40</v>
      </c>
      <c r="E465" t="s">
        <v>20</v>
      </c>
      <c r="F465">
        <v>692816</v>
      </c>
      <c r="G465" t="s">
        <v>28</v>
      </c>
      <c r="H465" t="s">
        <v>14</v>
      </c>
      <c r="I465" t="s">
        <v>43</v>
      </c>
      <c r="J465">
        <v>14866</v>
      </c>
      <c r="K465" t="s">
        <v>2053</v>
      </c>
    </row>
    <row r="466" spans="1:11" x14ac:dyDescent="0.35">
      <c r="A466" t="s">
        <v>511</v>
      </c>
      <c r="B466" s="1">
        <v>45675</v>
      </c>
      <c r="C466" s="1">
        <v>45676</v>
      </c>
      <c r="D466" t="s">
        <v>19</v>
      </c>
      <c r="E466" t="s">
        <v>23</v>
      </c>
      <c r="F466">
        <v>292226</v>
      </c>
      <c r="G466" t="s">
        <v>28</v>
      </c>
      <c r="H466" t="s">
        <v>18</v>
      </c>
      <c r="I466" t="s">
        <v>42</v>
      </c>
      <c r="J466">
        <v>16695</v>
      </c>
      <c r="K466" t="s">
        <v>2052</v>
      </c>
    </row>
    <row r="467" spans="1:11" x14ac:dyDescent="0.35">
      <c r="A467" t="s">
        <v>512</v>
      </c>
      <c r="B467" s="1">
        <v>45799</v>
      </c>
      <c r="C467" s="1">
        <v>45801</v>
      </c>
      <c r="D467" t="s">
        <v>40</v>
      </c>
      <c r="E467" t="s">
        <v>23</v>
      </c>
      <c r="F467">
        <v>650289</v>
      </c>
      <c r="G467" t="s">
        <v>17</v>
      </c>
      <c r="H467" t="s">
        <v>34</v>
      </c>
      <c r="I467" t="s">
        <v>45</v>
      </c>
      <c r="J467">
        <v>15003</v>
      </c>
      <c r="K467" t="s">
        <v>2052</v>
      </c>
    </row>
    <row r="468" spans="1:11" x14ac:dyDescent="0.35">
      <c r="A468" t="s">
        <v>513</v>
      </c>
      <c r="B468" s="1">
        <v>45755</v>
      </c>
      <c r="C468" s="1">
        <v>45756</v>
      </c>
      <c r="D468" t="s">
        <v>8</v>
      </c>
      <c r="E468" t="s">
        <v>16</v>
      </c>
      <c r="F468">
        <v>331015</v>
      </c>
      <c r="G468" t="s">
        <v>26</v>
      </c>
      <c r="H468" t="s">
        <v>32</v>
      </c>
      <c r="I468" t="s">
        <v>14</v>
      </c>
      <c r="J468">
        <v>20398</v>
      </c>
      <c r="K468" t="s">
        <v>2052</v>
      </c>
    </row>
    <row r="469" spans="1:11" x14ac:dyDescent="0.35">
      <c r="A469" t="s">
        <v>514</v>
      </c>
      <c r="B469" s="1">
        <v>45686</v>
      </c>
      <c r="C469" s="1">
        <v>45688</v>
      </c>
      <c r="D469" t="s">
        <v>40</v>
      </c>
      <c r="E469" t="s">
        <v>38</v>
      </c>
      <c r="F469">
        <v>680805</v>
      </c>
      <c r="G469" t="s">
        <v>26</v>
      </c>
      <c r="H469" t="s">
        <v>24</v>
      </c>
      <c r="I469" t="s">
        <v>36</v>
      </c>
      <c r="J469">
        <v>12805</v>
      </c>
      <c r="K469" t="s">
        <v>2053</v>
      </c>
    </row>
    <row r="470" spans="1:11" x14ac:dyDescent="0.35">
      <c r="A470" t="s">
        <v>515</v>
      </c>
      <c r="B470" s="1">
        <v>45713</v>
      </c>
      <c r="C470" s="1">
        <v>45715</v>
      </c>
      <c r="D470" t="s">
        <v>39</v>
      </c>
      <c r="E470" t="s">
        <v>16</v>
      </c>
      <c r="F470">
        <v>975484</v>
      </c>
      <c r="G470" t="s">
        <v>28</v>
      </c>
      <c r="H470" t="s">
        <v>21</v>
      </c>
      <c r="I470" t="s">
        <v>15</v>
      </c>
      <c r="J470">
        <v>25738</v>
      </c>
      <c r="K470" t="s">
        <v>2053</v>
      </c>
    </row>
    <row r="471" spans="1:11" x14ac:dyDescent="0.35">
      <c r="A471" t="s">
        <v>516</v>
      </c>
      <c r="B471" s="1">
        <v>45738</v>
      </c>
      <c r="C471" s="1">
        <v>45741</v>
      </c>
      <c r="D471" t="s">
        <v>40</v>
      </c>
      <c r="E471" t="s">
        <v>23</v>
      </c>
      <c r="F471">
        <v>113480</v>
      </c>
      <c r="G471" t="s">
        <v>28</v>
      </c>
      <c r="H471" t="s">
        <v>35</v>
      </c>
      <c r="I471" t="s">
        <v>10</v>
      </c>
      <c r="J471">
        <v>14557</v>
      </c>
      <c r="K471" t="s">
        <v>2053</v>
      </c>
    </row>
    <row r="472" spans="1:11" x14ac:dyDescent="0.35">
      <c r="A472" t="s">
        <v>517</v>
      </c>
      <c r="B472" s="1">
        <v>45963</v>
      </c>
      <c r="C472" s="1">
        <v>45965</v>
      </c>
      <c r="D472" t="s">
        <v>40</v>
      </c>
      <c r="E472" t="s">
        <v>38</v>
      </c>
      <c r="F472">
        <v>630707</v>
      </c>
      <c r="G472" t="s">
        <v>26</v>
      </c>
      <c r="H472" t="s">
        <v>32</v>
      </c>
      <c r="I472" t="s">
        <v>45</v>
      </c>
      <c r="J472">
        <v>12853</v>
      </c>
      <c r="K472" t="s">
        <v>2053</v>
      </c>
    </row>
    <row r="473" spans="1:11" x14ac:dyDescent="0.35">
      <c r="A473" t="s">
        <v>518</v>
      </c>
      <c r="B473" s="1">
        <v>45837</v>
      </c>
      <c r="C473" s="1">
        <v>45841</v>
      </c>
      <c r="D473" t="s">
        <v>39</v>
      </c>
      <c r="E473" t="s">
        <v>16</v>
      </c>
      <c r="F473">
        <v>359535</v>
      </c>
      <c r="G473" t="s">
        <v>17</v>
      </c>
      <c r="H473" t="s">
        <v>36</v>
      </c>
      <c r="I473" t="s">
        <v>14</v>
      </c>
      <c r="J473">
        <v>25434</v>
      </c>
      <c r="K473" t="s">
        <v>2050</v>
      </c>
    </row>
    <row r="474" spans="1:11" x14ac:dyDescent="0.35">
      <c r="A474" t="s">
        <v>519</v>
      </c>
      <c r="B474" s="1">
        <v>45993</v>
      </c>
      <c r="C474" s="1">
        <v>45994</v>
      </c>
      <c r="D474" t="s">
        <v>40</v>
      </c>
      <c r="E474" t="s">
        <v>38</v>
      </c>
      <c r="F474">
        <v>149124</v>
      </c>
      <c r="G474" t="s">
        <v>26</v>
      </c>
      <c r="H474" t="s">
        <v>43</v>
      </c>
      <c r="I474" t="s">
        <v>15</v>
      </c>
      <c r="J474">
        <v>12394</v>
      </c>
      <c r="K474" t="s">
        <v>2051</v>
      </c>
    </row>
    <row r="475" spans="1:11" x14ac:dyDescent="0.35">
      <c r="A475" t="s">
        <v>520</v>
      </c>
      <c r="B475" s="1">
        <v>45770</v>
      </c>
      <c r="C475" s="1">
        <v>45774</v>
      </c>
      <c r="D475" t="s">
        <v>39</v>
      </c>
      <c r="E475" t="s">
        <v>27</v>
      </c>
      <c r="F475">
        <v>149499</v>
      </c>
      <c r="G475" t="s">
        <v>9</v>
      </c>
      <c r="H475" t="s">
        <v>18</v>
      </c>
      <c r="I475" t="s">
        <v>14</v>
      </c>
      <c r="J475">
        <v>25505</v>
      </c>
      <c r="K475" t="s">
        <v>2052</v>
      </c>
    </row>
    <row r="476" spans="1:11" x14ac:dyDescent="0.35">
      <c r="A476" t="s">
        <v>521</v>
      </c>
      <c r="B476" s="1">
        <v>45874</v>
      </c>
      <c r="C476" s="1">
        <v>45879</v>
      </c>
      <c r="D476" t="s">
        <v>8</v>
      </c>
      <c r="E476" t="s">
        <v>20</v>
      </c>
      <c r="F476">
        <v>676247</v>
      </c>
      <c r="G476" t="s">
        <v>9</v>
      </c>
      <c r="H476" t="s">
        <v>22</v>
      </c>
      <c r="I476" t="s">
        <v>45</v>
      </c>
      <c r="J476">
        <v>20354</v>
      </c>
      <c r="K476" t="s">
        <v>2053</v>
      </c>
    </row>
    <row r="477" spans="1:11" x14ac:dyDescent="0.35">
      <c r="A477" t="s">
        <v>522</v>
      </c>
      <c r="B477" s="1">
        <v>45738</v>
      </c>
      <c r="C477" s="1">
        <v>45742</v>
      </c>
      <c r="D477" t="s">
        <v>19</v>
      </c>
      <c r="E477" t="s">
        <v>30</v>
      </c>
      <c r="F477">
        <v>513116</v>
      </c>
      <c r="G477" t="s">
        <v>28</v>
      </c>
      <c r="H477" t="s">
        <v>32</v>
      </c>
      <c r="I477" t="s">
        <v>21</v>
      </c>
      <c r="J477">
        <v>15823</v>
      </c>
      <c r="K477" t="s">
        <v>2054</v>
      </c>
    </row>
    <row r="478" spans="1:11" x14ac:dyDescent="0.35">
      <c r="A478" t="s">
        <v>523</v>
      </c>
      <c r="B478" s="1">
        <v>45774</v>
      </c>
      <c r="C478" s="1">
        <v>45778</v>
      </c>
      <c r="D478" t="s">
        <v>40</v>
      </c>
      <c r="E478" t="s">
        <v>23</v>
      </c>
      <c r="F478">
        <v>185136</v>
      </c>
      <c r="G478" t="s">
        <v>13</v>
      </c>
      <c r="H478" t="s">
        <v>14</v>
      </c>
      <c r="I478" t="s">
        <v>31</v>
      </c>
      <c r="J478">
        <v>14524</v>
      </c>
      <c r="K478" t="s">
        <v>2053</v>
      </c>
    </row>
    <row r="479" spans="1:11" x14ac:dyDescent="0.35">
      <c r="A479" t="s">
        <v>524</v>
      </c>
      <c r="B479" s="1">
        <v>45684</v>
      </c>
      <c r="C479" s="1">
        <v>45687</v>
      </c>
      <c r="D479" t="s">
        <v>8</v>
      </c>
      <c r="E479" t="s">
        <v>16</v>
      </c>
      <c r="F479">
        <v>142623</v>
      </c>
      <c r="G479" t="s">
        <v>28</v>
      </c>
      <c r="H479" t="s">
        <v>32</v>
      </c>
      <c r="I479" t="s">
        <v>24</v>
      </c>
      <c r="J479">
        <v>20215</v>
      </c>
      <c r="K479" t="s">
        <v>2050</v>
      </c>
    </row>
    <row r="480" spans="1:11" x14ac:dyDescent="0.35">
      <c r="A480" t="s">
        <v>525</v>
      </c>
      <c r="B480" s="1">
        <v>45803</v>
      </c>
      <c r="C480" s="1">
        <v>45804</v>
      </c>
      <c r="D480" t="s">
        <v>39</v>
      </c>
      <c r="E480" t="s">
        <v>33</v>
      </c>
      <c r="F480">
        <v>487030</v>
      </c>
      <c r="G480" t="s">
        <v>9</v>
      </c>
      <c r="H480" t="s">
        <v>35</v>
      </c>
      <c r="I480" t="s">
        <v>43</v>
      </c>
      <c r="J480">
        <v>25809</v>
      </c>
      <c r="K480" t="s">
        <v>2051</v>
      </c>
    </row>
    <row r="481" spans="1:11" x14ac:dyDescent="0.35">
      <c r="A481" t="s">
        <v>526</v>
      </c>
      <c r="B481" s="1">
        <v>45785</v>
      </c>
      <c r="C481" s="1">
        <v>45787</v>
      </c>
      <c r="D481" t="s">
        <v>8</v>
      </c>
      <c r="E481" t="s">
        <v>12</v>
      </c>
      <c r="F481">
        <v>566187</v>
      </c>
      <c r="G481" t="s">
        <v>17</v>
      </c>
      <c r="H481" t="s">
        <v>25</v>
      </c>
      <c r="I481" t="s">
        <v>22</v>
      </c>
      <c r="J481">
        <v>18980</v>
      </c>
      <c r="K481" t="s">
        <v>2052</v>
      </c>
    </row>
    <row r="482" spans="1:11" x14ac:dyDescent="0.35">
      <c r="A482" t="s">
        <v>527</v>
      </c>
      <c r="B482" s="1">
        <v>45745</v>
      </c>
      <c r="C482" s="1">
        <v>45746</v>
      </c>
      <c r="D482" t="s">
        <v>39</v>
      </c>
      <c r="E482" t="s">
        <v>38</v>
      </c>
      <c r="F482">
        <v>929085</v>
      </c>
      <c r="G482" t="s">
        <v>13</v>
      </c>
      <c r="H482" t="s">
        <v>41</v>
      </c>
      <c r="I482" t="s">
        <v>41</v>
      </c>
      <c r="J482">
        <v>24250</v>
      </c>
      <c r="K482" t="s">
        <v>2053</v>
      </c>
    </row>
    <row r="483" spans="1:11" x14ac:dyDescent="0.35">
      <c r="A483" t="s">
        <v>528</v>
      </c>
      <c r="B483" s="1">
        <v>45896</v>
      </c>
      <c r="C483" s="1">
        <v>45897</v>
      </c>
      <c r="D483" t="s">
        <v>40</v>
      </c>
      <c r="E483" t="s">
        <v>16</v>
      </c>
      <c r="F483">
        <v>999470</v>
      </c>
      <c r="G483" t="s">
        <v>9</v>
      </c>
      <c r="H483" t="s">
        <v>29</v>
      </c>
      <c r="I483" t="s">
        <v>22</v>
      </c>
      <c r="J483">
        <v>13709</v>
      </c>
      <c r="K483" t="s">
        <v>2054</v>
      </c>
    </row>
    <row r="484" spans="1:11" x14ac:dyDescent="0.35">
      <c r="A484" t="s">
        <v>529</v>
      </c>
      <c r="B484" s="1">
        <v>45856</v>
      </c>
      <c r="C484" s="1">
        <v>45860</v>
      </c>
      <c r="D484" t="s">
        <v>19</v>
      </c>
      <c r="E484" t="s">
        <v>30</v>
      </c>
      <c r="F484">
        <v>766375</v>
      </c>
      <c r="G484" t="s">
        <v>9</v>
      </c>
      <c r="H484" t="s">
        <v>41</v>
      </c>
      <c r="I484" t="s">
        <v>31</v>
      </c>
      <c r="J484">
        <v>16062</v>
      </c>
      <c r="K484" t="s">
        <v>2053</v>
      </c>
    </row>
    <row r="485" spans="1:11" x14ac:dyDescent="0.35">
      <c r="A485" t="s">
        <v>530</v>
      </c>
      <c r="B485" s="1">
        <v>45815</v>
      </c>
      <c r="C485" s="1">
        <v>45816</v>
      </c>
      <c r="D485" t="s">
        <v>40</v>
      </c>
      <c r="E485" t="s">
        <v>23</v>
      </c>
      <c r="F485">
        <v>398063</v>
      </c>
      <c r="G485" t="s">
        <v>17</v>
      </c>
      <c r="H485" t="s">
        <v>35</v>
      </c>
      <c r="I485" t="s">
        <v>18</v>
      </c>
      <c r="J485">
        <v>15020</v>
      </c>
      <c r="K485" t="s">
        <v>2052</v>
      </c>
    </row>
    <row r="486" spans="1:11" x14ac:dyDescent="0.35">
      <c r="A486" t="s">
        <v>531</v>
      </c>
      <c r="B486" s="1">
        <v>45784</v>
      </c>
      <c r="C486" s="1">
        <v>45787</v>
      </c>
      <c r="D486" t="s">
        <v>40</v>
      </c>
      <c r="E486" t="s">
        <v>16</v>
      </c>
      <c r="F486">
        <v>788432</v>
      </c>
      <c r="G486" t="s">
        <v>26</v>
      </c>
      <c r="H486" t="s">
        <v>25</v>
      </c>
      <c r="I486" t="s">
        <v>45</v>
      </c>
      <c r="J486">
        <v>14280</v>
      </c>
      <c r="K486" t="s">
        <v>2052</v>
      </c>
    </row>
    <row r="487" spans="1:11" x14ac:dyDescent="0.35">
      <c r="A487" t="s">
        <v>532</v>
      </c>
      <c r="B487" s="1">
        <v>45973</v>
      </c>
      <c r="C487" s="1">
        <v>45978</v>
      </c>
      <c r="D487" t="s">
        <v>40</v>
      </c>
      <c r="E487" t="s">
        <v>16</v>
      </c>
      <c r="F487">
        <v>768820</v>
      </c>
      <c r="G487" t="s">
        <v>9</v>
      </c>
      <c r="H487" t="s">
        <v>42</v>
      </c>
      <c r="I487" t="s">
        <v>29</v>
      </c>
      <c r="J487">
        <v>13812</v>
      </c>
      <c r="K487" t="s">
        <v>2052</v>
      </c>
    </row>
    <row r="488" spans="1:11" x14ac:dyDescent="0.35">
      <c r="A488" t="s">
        <v>533</v>
      </c>
      <c r="B488" s="1">
        <v>45836</v>
      </c>
      <c r="C488" s="1">
        <v>45838</v>
      </c>
      <c r="D488" t="s">
        <v>19</v>
      </c>
      <c r="E488" t="s">
        <v>20</v>
      </c>
      <c r="F488">
        <v>221121</v>
      </c>
      <c r="G488" t="s">
        <v>17</v>
      </c>
      <c r="H488" t="s">
        <v>24</v>
      </c>
      <c r="I488" t="s">
        <v>15</v>
      </c>
      <c r="J488">
        <v>16880</v>
      </c>
      <c r="K488" t="s">
        <v>2053</v>
      </c>
    </row>
    <row r="489" spans="1:11" x14ac:dyDescent="0.35">
      <c r="A489" t="s">
        <v>534</v>
      </c>
      <c r="B489" s="1">
        <v>45984</v>
      </c>
      <c r="C489" s="1">
        <v>45989</v>
      </c>
      <c r="D489" t="s">
        <v>39</v>
      </c>
      <c r="E489" t="s">
        <v>16</v>
      </c>
      <c r="F489">
        <v>725478</v>
      </c>
      <c r="G489" t="s">
        <v>26</v>
      </c>
      <c r="H489" t="s">
        <v>45</v>
      </c>
      <c r="I489" t="s">
        <v>34</v>
      </c>
      <c r="J489">
        <v>24973</v>
      </c>
      <c r="K489" t="s">
        <v>2053</v>
      </c>
    </row>
    <row r="490" spans="1:11" x14ac:dyDescent="0.35">
      <c r="A490" t="s">
        <v>535</v>
      </c>
      <c r="B490" s="1">
        <v>45828</v>
      </c>
      <c r="C490" s="1">
        <v>45829</v>
      </c>
      <c r="D490" t="s">
        <v>40</v>
      </c>
      <c r="E490" t="s">
        <v>16</v>
      </c>
      <c r="F490">
        <v>445164</v>
      </c>
      <c r="G490" t="s">
        <v>9</v>
      </c>
      <c r="H490" t="s">
        <v>31</v>
      </c>
      <c r="I490" t="s">
        <v>10</v>
      </c>
      <c r="J490">
        <v>13354</v>
      </c>
      <c r="K490" t="s">
        <v>2053</v>
      </c>
    </row>
    <row r="491" spans="1:11" x14ac:dyDescent="0.35">
      <c r="A491" t="s">
        <v>536</v>
      </c>
      <c r="B491" s="1">
        <v>45792</v>
      </c>
      <c r="C491" s="1">
        <v>45794</v>
      </c>
      <c r="D491" t="s">
        <v>8</v>
      </c>
      <c r="E491" t="s">
        <v>27</v>
      </c>
      <c r="F491">
        <v>902105</v>
      </c>
      <c r="G491" t="s">
        <v>9</v>
      </c>
      <c r="H491" t="s">
        <v>41</v>
      </c>
      <c r="I491" t="s">
        <v>18</v>
      </c>
      <c r="J491">
        <v>19003</v>
      </c>
      <c r="K491" t="s">
        <v>2053</v>
      </c>
    </row>
    <row r="492" spans="1:11" x14ac:dyDescent="0.35">
      <c r="A492" t="s">
        <v>537</v>
      </c>
      <c r="B492" s="1">
        <v>45766</v>
      </c>
      <c r="C492" s="1">
        <v>45768</v>
      </c>
      <c r="D492" t="s">
        <v>39</v>
      </c>
      <c r="E492" t="s">
        <v>12</v>
      </c>
      <c r="F492">
        <v>867972</v>
      </c>
      <c r="G492" t="s">
        <v>9</v>
      </c>
      <c r="H492" t="s">
        <v>25</v>
      </c>
      <c r="I492" t="s">
        <v>14</v>
      </c>
      <c r="J492">
        <v>24983</v>
      </c>
      <c r="K492" t="s">
        <v>2050</v>
      </c>
    </row>
    <row r="493" spans="1:11" x14ac:dyDescent="0.35">
      <c r="A493" t="s">
        <v>538</v>
      </c>
      <c r="B493" s="1">
        <v>46012</v>
      </c>
      <c r="C493" s="1">
        <v>46016</v>
      </c>
      <c r="D493" t="s">
        <v>39</v>
      </c>
      <c r="E493" t="s">
        <v>20</v>
      </c>
      <c r="F493">
        <v>729089</v>
      </c>
      <c r="G493" t="s">
        <v>26</v>
      </c>
      <c r="H493" t="s">
        <v>41</v>
      </c>
      <c r="I493" t="s">
        <v>41</v>
      </c>
      <c r="J493">
        <v>25905</v>
      </c>
      <c r="K493" t="s">
        <v>2051</v>
      </c>
    </row>
    <row r="494" spans="1:11" x14ac:dyDescent="0.35">
      <c r="A494" t="s">
        <v>539</v>
      </c>
      <c r="B494" s="1">
        <v>45947</v>
      </c>
      <c r="C494" s="1">
        <v>45948</v>
      </c>
      <c r="D494" t="s">
        <v>40</v>
      </c>
      <c r="E494" t="s">
        <v>16</v>
      </c>
      <c r="F494">
        <v>368736</v>
      </c>
      <c r="G494" t="s">
        <v>9</v>
      </c>
      <c r="H494" t="s">
        <v>24</v>
      </c>
      <c r="I494" t="s">
        <v>18</v>
      </c>
      <c r="J494">
        <v>13637</v>
      </c>
      <c r="K494" t="s">
        <v>2052</v>
      </c>
    </row>
    <row r="495" spans="1:11" x14ac:dyDescent="0.35">
      <c r="A495" t="s">
        <v>540</v>
      </c>
      <c r="B495" s="1">
        <v>45691</v>
      </c>
      <c r="C495" s="1">
        <v>45695</v>
      </c>
      <c r="D495" t="s">
        <v>19</v>
      </c>
      <c r="E495" t="s">
        <v>20</v>
      </c>
      <c r="F495">
        <v>587482</v>
      </c>
      <c r="G495" t="s">
        <v>13</v>
      </c>
      <c r="H495" t="s">
        <v>31</v>
      </c>
      <c r="I495" t="s">
        <v>42</v>
      </c>
      <c r="J495">
        <v>17603</v>
      </c>
      <c r="K495" t="s">
        <v>2053</v>
      </c>
    </row>
    <row r="496" spans="1:11" x14ac:dyDescent="0.35">
      <c r="A496" t="s">
        <v>541</v>
      </c>
      <c r="B496" s="1">
        <v>45901</v>
      </c>
      <c r="C496" s="1">
        <v>45905</v>
      </c>
      <c r="D496" t="s">
        <v>39</v>
      </c>
      <c r="E496" t="s">
        <v>12</v>
      </c>
      <c r="F496">
        <v>258880</v>
      </c>
      <c r="G496" t="s">
        <v>28</v>
      </c>
      <c r="H496" t="s">
        <v>34</v>
      </c>
      <c r="I496" t="s">
        <v>11</v>
      </c>
      <c r="J496">
        <v>23452</v>
      </c>
      <c r="K496" t="s">
        <v>2054</v>
      </c>
    </row>
    <row r="497" spans="1:11" x14ac:dyDescent="0.35">
      <c r="A497" t="s">
        <v>542</v>
      </c>
      <c r="B497" s="1">
        <v>45786</v>
      </c>
      <c r="C497" s="1">
        <v>45789</v>
      </c>
      <c r="D497" t="s">
        <v>39</v>
      </c>
      <c r="E497" t="s">
        <v>23</v>
      </c>
      <c r="F497">
        <v>789721</v>
      </c>
      <c r="G497" t="s">
        <v>9</v>
      </c>
      <c r="H497" t="s">
        <v>43</v>
      </c>
      <c r="I497" t="s">
        <v>41</v>
      </c>
      <c r="J497">
        <v>26172</v>
      </c>
      <c r="K497" t="s">
        <v>2053</v>
      </c>
    </row>
    <row r="498" spans="1:11" x14ac:dyDescent="0.35">
      <c r="A498" t="s">
        <v>543</v>
      </c>
      <c r="B498" s="1">
        <v>45876</v>
      </c>
      <c r="C498" s="1">
        <v>45877</v>
      </c>
      <c r="D498" t="s">
        <v>39</v>
      </c>
      <c r="E498" t="s">
        <v>12</v>
      </c>
      <c r="F498">
        <v>141785</v>
      </c>
      <c r="G498" t="s">
        <v>26</v>
      </c>
      <c r="H498" t="s">
        <v>43</v>
      </c>
      <c r="I498" t="s">
        <v>18</v>
      </c>
      <c r="J498">
        <v>23466</v>
      </c>
      <c r="K498" t="s">
        <v>2053</v>
      </c>
    </row>
    <row r="499" spans="1:11" x14ac:dyDescent="0.35">
      <c r="A499" t="s">
        <v>544</v>
      </c>
      <c r="B499" s="1">
        <v>45936</v>
      </c>
      <c r="C499" s="1">
        <v>45940</v>
      </c>
      <c r="D499" t="s">
        <v>39</v>
      </c>
      <c r="E499" t="s">
        <v>33</v>
      </c>
      <c r="F499">
        <v>597417</v>
      </c>
      <c r="G499" t="s">
        <v>13</v>
      </c>
      <c r="H499" t="s">
        <v>21</v>
      </c>
      <c r="I499" t="s">
        <v>15</v>
      </c>
      <c r="J499">
        <v>26433</v>
      </c>
      <c r="K499" t="s">
        <v>2054</v>
      </c>
    </row>
    <row r="500" spans="1:11" x14ac:dyDescent="0.35">
      <c r="A500" t="s">
        <v>545</v>
      </c>
      <c r="B500" s="1">
        <v>45816</v>
      </c>
      <c r="C500" s="1">
        <v>45818</v>
      </c>
      <c r="D500" t="s">
        <v>39</v>
      </c>
      <c r="E500" t="s">
        <v>20</v>
      </c>
      <c r="F500">
        <v>388701</v>
      </c>
      <c r="G500" t="s">
        <v>9</v>
      </c>
      <c r="H500" t="s">
        <v>35</v>
      </c>
      <c r="I500" t="s">
        <v>32</v>
      </c>
      <c r="J500">
        <v>25527</v>
      </c>
      <c r="K500" t="s">
        <v>2050</v>
      </c>
    </row>
    <row r="501" spans="1:11" x14ac:dyDescent="0.35">
      <c r="A501" t="s">
        <v>546</v>
      </c>
      <c r="B501" s="1">
        <v>45795</v>
      </c>
      <c r="C501" s="1">
        <v>45796</v>
      </c>
      <c r="D501" t="s">
        <v>19</v>
      </c>
      <c r="E501" t="s">
        <v>23</v>
      </c>
      <c r="F501">
        <v>937593</v>
      </c>
      <c r="G501" t="s">
        <v>9</v>
      </c>
      <c r="H501" t="s">
        <v>43</v>
      </c>
      <c r="I501" t="s">
        <v>41</v>
      </c>
      <c r="J501">
        <v>16641</v>
      </c>
      <c r="K501" t="s">
        <v>2050</v>
      </c>
    </row>
    <row r="502" spans="1:11" x14ac:dyDescent="0.35">
      <c r="A502" t="s">
        <v>547</v>
      </c>
      <c r="B502" s="1">
        <v>45783</v>
      </c>
      <c r="C502" s="1">
        <v>45786</v>
      </c>
      <c r="D502" t="s">
        <v>8</v>
      </c>
      <c r="E502" t="s">
        <v>38</v>
      </c>
      <c r="F502">
        <v>261924</v>
      </c>
      <c r="G502" t="s">
        <v>17</v>
      </c>
      <c r="H502" t="s">
        <v>21</v>
      </c>
      <c r="I502" t="s">
        <v>25</v>
      </c>
      <c r="J502">
        <v>17850</v>
      </c>
      <c r="K502" t="s">
        <v>2050</v>
      </c>
    </row>
    <row r="503" spans="1:11" x14ac:dyDescent="0.35">
      <c r="A503" t="s">
        <v>548</v>
      </c>
      <c r="B503" s="1">
        <v>45685</v>
      </c>
      <c r="C503" s="1">
        <v>45687</v>
      </c>
      <c r="D503" t="s">
        <v>40</v>
      </c>
      <c r="E503" t="s">
        <v>38</v>
      </c>
      <c r="F503">
        <v>790180</v>
      </c>
      <c r="G503" t="s">
        <v>13</v>
      </c>
      <c r="H503" t="s">
        <v>11</v>
      </c>
      <c r="I503" t="s">
        <v>18</v>
      </c>
      <c r="J503">
        <v>12127</v>
      </c>
      <c r="K503" t="s">
        <v>2052</v>
      </c>
    </row>
    <row r="504" spans="1:11" x14ac:dyDescent="0.35">
      <c r="A504" t="s">
        <v>549</v>
      </c>
      <c r="B504" s="1">
        <v>45744</v>
      </c>
      <c r="C504" s="1">
        <v>45746</v>
      </c>
      <c r="D504" t="s">
        <v>40</v>
      </c>
      <c r="E504" t="s">
        <v>33</v>
      </c>
      <c r="F504">
        <v>615475</v>
      </c>
      <c r="G504" t="s">
        <v>9</v>
      </c>
      <c r="H504" t="s">
        <v>24</v>
      </c>
      <c r="I504" t="s">
        <v>29</v>
      </c>
      <c r="J504">
        <v>15530</v>
      </c>
      <c r="K504" t="s">
        <v>2053</v>
      </c>
    </row>
    <row r="505" spans="1:11" x14ac:dyDescent="0.35">
      <c r="A505" t="s">
        <v>550</v>
      </c>
      <c r="B505" s="1">
        <v>45660</v>
      </c>
      <c r="C505" s="1">
        <v>45661</v>
      </c>
      <c r="D505" t="s">
        <v>40</v>
      </c>
      <c r="E505" t="s">
        <v>20</v>
      </c>
      <c r="F505">
        <v>363999</v>
      </c>
      <c r="G505" t="s">
        <v>9</v>
      </c>
      <c r="H505" t="s">
        <v>41</v>
      </c>
      <c r="I505" t="s">
        <v>42</v>
      </c>
      <c r="J505">
        <v>14976</v>
      </c>
      <c r="K505" t="s">
        <v>2052</v>
      </c>
    </row>
    <row r="506" spans="1:11" x14ac:dyDescent="0.35">
      <c r="A506" t="s">
        <v>551</v>
      </c>
      <c r="B506" s="1">
        <v>45909</v>
      </c>
      <c r="C506" s="1">
        <v>45913</v>
      </c>
      <c r="D506" t="s">
        <v>8</v>
      </c>
      <c r="E506" t="s">
        <v>38</v>
      </c>
      <c r="F506">
        <v>765532</v>
      </c>
      <c r="G506" t="s">
        <v>28</v>
      </c>
      <c r="H506" t="s">
        <v>41</v>
      </c>
      <c r="I506" t="s">
        <v>15</v>
      </c>
      <c r="J506">
        <v>19007</v>
      </c>
      <c r="K506" t="s">
        <v>2054</v>
      </c>
    </row>
    <row r="507" spans="1:11" x14ac:dyDescent="0.35">
      <c r="A507" t="s">
        <v>552</v>
      </c>
      <c r="B507" s="1">
        <v>45862</v>
      </c>
      <c r="C507" s="1">
        <v>45865</v>
      </c>
      <c r="D507" t="s">
        <v>39</v>
      </c>
      <c r="E507" t="s">
        <v>12</v>
      </c>
      <c r="F507">
        <v>250190</v>
      </c>
      <c r="G507" t="s">
        <v>26</v>
      </c>
      <c r="H507" t="s">
        <v>44</v>
      </c>
      <c r="I507" t="s">
        <v>32</v>
      </c>
      <c r="J507">
        <v>23193</v>
      </c>
      <c r="K507" t="s">
        <v>2054</v>
      </c>
    </row>
    <row r="508" spans="1:11" x14ac:dyDescent="0.35">
      <c r="A508" t="s">
        <v>553</v>
      </c>
      <c r="B508" s="1">
        <v>45696</v>
      </c>
      <c r="C508" s="1">
        <v>45697</v>
      </c>
      <c r="D508" t="s">
        <v>40</v>
      </c>
      <c r="E508" t="s">
        <v>20</v>
      </c>
      <c r="F508">
        <v>401885</v>
      </c>
      <c r="G508" t="s">
        <v>28</v>
      </c>
      <c r="H508" t="s">
        <v>43</v>
      </c>
      <c r="I508" t="s">
        <v>44</v>
      </c>
      <c r="J508">
        <v>15065</v>
      </c>
      <c r="K508" t="s">
        <v>2054</v>
      </c>
    </row>
    <row r="509" spans="1:11" x14ac:dyDescent="0.35">
      <c r="A509" t="s">
        <v>554</v>
      </c>
      <c r="B509" s="1">
        <v>45817</v>
      </c>
      <c r="C509" s="1">
        <v>45821</v>
      </c>
      <c r="D509" t="s">
        <v>8</v>
      </c>
      <c r="E509" t="s">
        <v>30</v>
      </c>
      <c r="F509">
        <v>968891</v>
      </c>
      <c r="G509" t="s">
        <v>9</v>
      </c>
      <c r="H509" t="s">
        <v>21</v>
      </c>
      <c r="I509" t="s">
        <v>44</v>
      </c>
      <c r="J509">
        <v>18979</v>
      </c>
      <c r="K509" t="s">
        <v>2054</v>
      </c>
    </row>
    <row r="510" spans="1:11" x14ac:dyDescent="0.35">
      <c r="A510" t="s">
        <v>555</v>
      </c>
      <c r="B510" s="1">
        <v>45785</v>
      </c>
      <c r="C510" s="1">
        <v>45786</v>
      </c>
      <c r="D510" t="s">
        <v>39</v>
      </c>
      <c r="E510" t="s">
        <v>27</v>
      </c>
      <c r="F510">
        <v>444483</v>
      </c>
      <c r="G510" t="s">
        <v>17</v>
      </c>
      <c r="H510" t="s">
        <v>22</v>
      </c>
      <c r="I510" t="s">
        <v>14</v>
      </c>
      <c r="J510">
        <v>25560</v>
      </c>
      <c r="K510" t="s">
        <v>2054</v>
      </c>
    </row>
    <row r="511" spans="1:11" x14ac:dyDescent="0.35">
      <c r="A511" t="s">
        <v>556</v>
      </c>
      <c r="B511" s="1">
        <v>46018</v>
      </c>
      <c r="C511" s="1">
        <v>46020</v>
      </c>
      <c r="D511" t="s">
        <v>39</v>
      </c>
      <c r="E511" t="s">
        <v>12</v>
      </c>
      <c r="F511">
        <v>682361</v>
      </c>
      <c r="G511" t="s">
        <v>17</v>
      </c>
      <c r="H511" t="s">
        <v>41</v>
      </c>
      <c r="I511" t="s">
        <v>11</v>
      </c>
      <c r="J511">
        <v>24620</v>
      </c>
      <c r="K511" t="s">
        <v>2054</v>
      </c>
    </row>
    <row r="512" spans="1:11" x14ac:dyDescent="0.35">
      <c r="A512" t="s">
        <v>557</v>
      </c>
      <c r="B512" s="1">
        <v>45856</v>
      </c>
      <c r="C512" s="1">
        <v>45857</v>
      </c>
      <c r="D512" t="s">
        <v>19</v>
      </c>
      <c r="E512" t="s">
        <v>20</v>
      </c>
      <c r="F512">
        <v>831646</v>
      </c>
      <c r="G512" t="s">
        <v>13</v>
      </c>
      <c r="H512" t="s">
        <v>14</v>
      </c>
      <c r="I512" t="s">
        <v>21</v>
      </c>
      <c r="J512">
        <v>17548</v>
      </c>
      <c r="K512" t="s">
        <v>2054</v>
      </c>
    </row>
    <row r="513" spans="1:11" x14ac:dyDescent="0.35">
      <c r="A513" t="s">
        <v>558</v>
      </c>
      <c r="B513" s="1">
        <v>45670</v>
      </c>
      <c r="C513" s="1">
        <v>45675</v>
      </c>
      <c r="D513" t="s">
        <v>19</v>
      </c>
      <c r="E513" t="s">
        <v>27</v>
      </c>
      <c r="F513">
        <v>554799</v>
      </c>
      <c r="G513" t="s">
        <v>28</v>
      </c>
      <c r="H513" t="s">
        <v>41</v>
      </c>
      <c r="I513" t="s">
        <v>36</v>
      </c>
      <c r="J513">
        <v>15729</v>
      </c>
      <c r="K513" t="s">
        <v>2050</v>
      </c>
    </row>
    <row r="514" spans="1:11" x14ac:dyDescent="0.35">
      <c r="A514" t="s">
        <v>559</v>
      </c>
      <c r="B514" s="1">
        <v>45907</v>
      </c>
      <c r="C514" s="1">
        <v>45912</v>
      </c>
      <c r="D514" t="s">
        <v>40</v>
      </c>
      <c r="E514" t="s">
        <v>33</v>
      </c>
      <c r="F514">
        <v>381957</v>
      </c>
      <c r="G514" t="s">
        <v>13</v>
      </c>
      <c r="H514" t="s">
        <v>14</v>
      </c>
      <c r="I514" t="s">
        <v>31</v>
      </c>
      <c r="J514">
        <v>15549</v>
      </c>
      <c r="K514" t="s">
        <v>2051</v>
      </c>
    </row>
    <row r="515" spans="1:11" x14ac:dyDescent="0.35">
      <c r="A515" t="s">
        <v>560</v>
      </c>
      <c r="B515" s="1">
        <v>45837</v>
      </c>
      <c r="C515" s="1">
        <v>45839</v>
      </c>
      <c r="D515" t="s">
        <v>40</v>
      </c>
      <c r="E515" t="s">
        <v>30</v>
      </c>
      <c r="F515">
        <v>221092</v>
      </c>
      <c r="G515" t="s">
        <v>26</v>
      </c>
      <c r="H515" t="s">
        <v>32</v>
      </c>
      <c r="I515" t="s">
        <v>36</v>
      </c>
      <c r="J515">
        <v>13932</v>
      </c>
      <c r="K515" t="s">
        <v>2050</v>
      </c>
    </row>
    <row r="516" spans="1:11" x14ac:dyDescent="0.35">
      <c r="A516" t="s">
        <v>561</v>
      </c>
      <c r="B516" s="1">
        <v>45926</v>
      </c>
      <c r="C516" s="1">
        <v>45931</v>
      </c>
      <c r="D516" t="s">
        <v>39</v>
      </c>
      <c r="E516" t="s">
        <v>38</v>
      </c>
      <c r="F516">
        <v>574529</v>
      </c>
      <c r="G516" t="s">
        <v>28</v>
      </c>
      <c r="H516" t="s">
        <v>42</v>
      </c>
      <c r="I516" t="s">
        <v>32</v>
      </c>
      <c r="J516">
        <v>23937</v>
      </c>
      <c r="K516" t="s">
        <v>2051</v>
      </c>
    </row>
    <row r="517" spans="1:11" x14ac:dyDescent="0.35">
      <c r="A517" t="s">
        <v>562</v>
      </c>
      <c r="B517" s="1">
        <v>45921</v>
      </c>
      <c r="C517" s="1">
        <v>45926</v>
      </c>
      <c r="D517" t="s">
        <v>40</v>
      </c>
      <c r="E517" t="s">
        <v>38</v>
      </c>
      <c r="F517">
        <v>325246</v>
      </c>
      <c r="G517" t="s">
        <v>26</v>
      </c>
      <c r="H517" t="s">
        <v>32</v>
      </c>
      <c r="I517" t="s">
        <v>31</v>
      </c>
      <c r="J517">
        <v>12851</v>
      </c>
      <c r="K517" t="s">
        <v>2052</v>
      </c>
    </row>
    <row r="518" spans="1:11" x14ac:dyDescent="0.35">
      <c r="A518" t="s">
        <v>563</v>
      </c>
      <c r="B518" s="1">
        <v>45762</v>
      </c>
      <c r="C518" s="1">
        <v>45763</v>
      </c>
      <c r="D518" t="s">
        <v>8</v>
      </c>
      <c r="E518" t="s">
        <v>27</v>
      </c>
      <c r="F518">
        <v>143441</v>
      </c>
      <c r="G518" t="s">
        <v>13</v>
      </c>
      <c r="H518" t="s">
        <v>34</v>
      </c>
      <c r="I518" t="s">
        <v>43</v>
      </c>
      <c r="J518">
        <v>19407</v>
      </c>
      <c r="K518" t="s">
        <v>2053</v>
      </c>
    </row>
    <row r="519" spans="1:11" x14ac:dyDescent="0.35">
      <c r="A519" t="s">
        <v>564</v>
      </c>
      <c r="B519" s="1">
        <v>45873</v>
      </c>
      <c r="C519" s="1">
        <v>45874</v>
      </c>
      <c r="D519" t="s">
        <v>19</v>
      </c>
      <c r="E519" t="s">
        <v>33</v>
      </c>
      <c r="F519">
        <v>637479</v>
      </c>
      <c r="G519" t="s">
        <v>9</v>
      </c>
      <c r="H519" t="s">
        <v>44</v>
      </c>
      <c r="I519" t="s">
        <v>31</v>
      </c>
      <c r="J519">
        <v>17570</v>
      </c>
      <c r="K519" t="s">
        <v>2054</v>
      </c>
    </row>
    <row r="520" spans="1:11" x14ac:dyDescent="0.35">
      <c r="A520" t="s">
        <v>565</v>
      </c>
      <c r="B520" s="1">
        <v>45930</v>
      </c>
      <c r="C520" s="1">
        <v>45934</v>
      </c>
      <c r="D520" t="s">
        <v>39</v>
      </c>
      <c r="E520" t="s">
        <v>38</v>
      </c>
      <c r="F520">
        <v>785702</v>
      </c>
      <c r="G520" t="s">
        <v>9</v>
      </c>
      <c r="H520" t="s">
        <v>42</v>
      </c>
      <c r="I520" t="s">
        <v>34</v>
      </c>
      <c r="J520">
        <v>24852</v>
      </c>
      <c r="K520" t="s">
        <v>2053</v>
      </c>
    </row>
    <row r="521" spans="1:11" x14ac:dyDescent="0.35">
      <c r="A521" t="s">
        <v>566</v>
      </c>
      <c r="B521" s="1">
        <v>45955</v>
      </c>
      <c r="C521" s="1">
        <v>45960</v>
      </c>
      <c r="D521" t="s">
        <v>40</v>
      </c>
      <c r="E521" t="s">
        <v>12</v>
      </c>
      <c r="F521">
        <v>901269</v>
      </c>
      <c r="G521" t="s">
        <v>9</v>
      </c>
      <c r="H521" t="s">
        <v>29</v>
      </c>
      <c r="I521" t="s">
        <v>11</v>
      </c>
      <c r="J521">
        <v>13111</v>
      </c>
      <c r="K521" t="s">
        <v>2053</v>
      </c>
    </row>
    <row r="522" spans="1:11" x14ac:dyDescent="0.35">
      <c r="A522" t="s">
        <v>567</v>
      </c>
      <c r="B522" s="1">
        <v>45814</v>
      </c>
      <c r="C522" s="1">
        <v>45816</v>
      </c>
      <c r="D522" t="s">
        <v>39</v>
      </c>
      <c r="E522" t="s">
        <v>27</v>
      </c>
      <c r="F522">
        <v>668988</v>
      </c>
      <c r="G522" t="s">
        <v>17</v>
      </c>
      <c r="H522" t="s">
        <v>41</v>
      </c>
      <c r="I522" t="s">
        <v>44</v>
      </c>
      <c r="J522">
        <v>24930</v>
      </c>
      <c r="K522" t="s">
        <v>2054</v>
      </c>
    </row>
    <row r="523" spans="1:11" x14ac:dyDescent="0.35">
      <c r="A523" t="s">
        <v>568</v>
      </c>
      <c r="B523" s="1">
        <v>45737</v>
      </c>
      <c r="C523" s="1">
        <v>45738</v>
      </c>
      <c r="D523" t="s">
        <v>19</v>
      </c>
      <c r="E523" t="s">
        <v>20</v>
      </c>
      <c r="F523">
        <v>564338</v>
      </c>
      <c r="G523" t="s">
        <v>9</v>
      </c>
      <c r="H523" t="s">
        <v>35</v>
      </c>
      <c r="I523" t="s">
        <v>10</v>
      </c>
      <c r="J523">
        <v>17368</v>
      </c>
      <c r="K523" t="s">
        <v>2050</v>
      </c>
    </row>
    <row r="524" spans="1:11" x14ac:dyDescent="0.35">
      <c r="A524" t="s">
        <v>569</v>
      </c>
      <c r="B524" s="1">
        <v>45906</v>
      </c>
      <c r="C524" s="1">
        <v>45909</v>
      </c>
      <c r="D524" t="s">
        <v>39</v>
      </c>
      <c r="E524" t="s">
        <v>33</v>
      </c>
      <c r="F524">
        <v>574454</v>
      </c>
      <c r="G524" t="s">
        <v>9</v>
      </c>
      <c r="H524" t="s">
        <v>24</v>
      </c>
      <c r="I524" t="s">
        <v>31</v>
      </c>
      <c r="J524">
        <v>25565</v>
      </c>
      <c r="K524" t="s">
        <v>2050</v>
      </c>
    </row>
    <row r="525" spans="1:11" x14ac:dyDescent="0.35">
      <c r="A525" t="s">
        <v>570</v>
      </c>
      <c r="B525" s="1">
        <v>45932</v>
      </c>
      <c r="C525" s="1">
        <v>45937</v>
      </c>
      <c r="D525" t="s">
        <v>19</v>
      </c>
      <c r="E525" t="s">
        <v>12</v>
      </c>
      <c r="F525">
        <v>819264</v>
      </c>
      <c r="G525" t="s">
        <v>17</v>
      </c>
      <c r="H525" t="s">
        <v>42</v>
      </c>
      <c r="I525" t="s">
        <v>35</v>
      </c>
      <c r="J525">
        <v>15509</v>
      </c>
      <c r="K525" t="s">
        <v>2050</v>
      </c>
    </row>
    <row r="526" spans="1:11" x14ac:dyDescent="0.35">
      <c r="A526" t="s">
        <v>571</v>
      </c>
      <c r="B526" s="1">
        <v>45991</v>
      </c>
      <c r="C526" s="1">
        <v>45996</v>
      </c>
      <c r="D526" t="s">
        <v>19</v>
      </c>
      <c r="E526" t="s">
        <v>16</v>
      </c>
      <c r="F526">
        <v>244764</v>
      </c>
      <c r="G526" t="s">
        <v>17</v>
      </c>
      <c r="H526" t="s">
        <v>44</v>
      </c>
      <c r="I526" t="s">
        <v>45</v>
      </c>
      <c r="J526">
        <v>15489</v>
      </c>
      <c r="K526" t="s">
        <v>2052</v>
      </c>
    </row>
    <row r="527" spans="1:11" x14ac:dyDescent="0.35">
      <c r="A527" t="s">
        <v>572</v>
      </c>
      <c r="B527" s="1">
        <v>45704</v>
      </c>
      <c r="C527" s="1">
        <v>45707</v>
      </c>
      <c r="D527" t="s">
        <v>8</v>
      </c>
      <c r="E527" t="s">
        <v>20</v>
      </c>
      <c r="F527">
        <v>560541</v>
      </c>
      <c r="G527" t="s">
        <v>17</v>
      </c>
      <c r="H527" t="s">
        <v>18</v>
      </c>
      <c r="I527" t="s">
        <v>32</v>
      </c>
      <c r="J527">
        <v>20951</v>
      </c>
      <c r="K527" t="s">
        <v>2053</v>
      </c>
    </row>
    <row r="528" spans="1:11" x14ac:dyDescent="0.35">
      <c r="A528" t="s">
        <v>573</v>
      </c>
      <c r="B528" s="1">
        <v>45703</v>
      </c>
      <c r="C528" s="1">
        <v>45707</v>
      </c>
      <c r="D528" t="s">
        <v>39</v>
      </c>
      <c r="E528" t="s">
        <v>33</v>
      </c>
      <c r="F528">
        <v>185328</v>
      </c>
      <c r="G528" t="s">
        <v>17</v>
      </c>
      <c r="H528" t="s">
        <v>24</v>
      </c>
      <c r="I528" t="s">
        <v>45</v>
      </c>
      <c r="J528">
        <v>26300</v>
      </c>
      <c r="K528" t="s">
        <v>2052</v>
      </c>
    </row>
    <row r="529" spans="1:11" x14ac:dyDescent="0.35">
      <c r="A529" t="s">
        <v>574</v>
      </c>
      <c r="B529" s="1">
        <v>46019</v>
      </c>
      <c r="C529" s="1">
        <v>46023</v>
      </c>
      <c r="D529" t="s">
        <v>19</v>
      </c>
      <c r="E529" t="s">
        <v>27</v>
      </c>
      <c r="F529">
        <v>521169</v>
      </c>
      <c r="G529" t="s">
        <v>9</v>
      </c>
      <c r="H529" t="s">
        <v>29</v>
      </c>
      <c r="I529" t="s">
        <v>32</v>
      </c>
      <c r="J529">
        <v>15542</v>
      </c>
      <c r="K529" t="s">
        <v>2053</v>
      </c>
    </row>
    <row r="530" spans="1:11" x14ac:dyDescent="0.35">
      <c r="A530" t="s">
        <v>575</v>
      </c>
      <c r="B530" s="1">
        <v>45985</v>
      </c>
      <c r="C530" s="1">
        <v>45990</v>
      </c>
      <c r="D530" t="s">
        <v>19</v>
      </c>
      <c r="E530" t="s">
        <v>33</v>
      </c>
      <c r="F530">
        <v>477457</v>
      </c>
      <c r="G530" t="s">
        <v>17</v>
      </c>
      <c r="H530" t="s">
        <v>14</v>
      </c>
      <c r="I530" t="s">
        <v>22</v>
      </c>
      <c r="J530">
        <v>17667</v>
      </c>
      <c r="K530" t="s">
        <v>2050</v>
      </c>
    </row>
    <row r="531" spans="1:11" x14ac:dyDescent="0.35">
      <c r="A531" t="s">
        <v>576</v>
      </c>
      <c r="B531" s="1">
        <v>46014</v>
      </c>
      <c r="C531" s="1">
        <v>46019</v>
      </c>
      <c r="D531" t="s">
        <v>19</v>
      </c>
      <c r="E531" t="s">
        <v>38</v>
      </c>
      <c r="F531">
        <v>941266</v>
      </c>
      <c r="G531" t="s">
        <v>26</v>
      </c>
      <c r="H531" t="s">
        <v>15</v>
      </c>
      <c r="I531" t="s">
        <v>34</v>
      </c>
      <c r="J531">
        <v>15563</v>
      </c>
      <c r="K531" t="s">
        <v>2051</v>
      </c>
    </row>
    <row r="532" spans="1:11" x14ac:dyDescent="0.35">
      <c r="A532" t="s">
        <v>577</v>
      </c>
      <c r="B532" s="1">
        <v>45859</v>
      </c>
      <c r="C532" s="1">
        <v>45860</v>
      </c>
      <c r="D532" t="s">
        <v>8</v>
      </c>
      <c r="E532" t="s">
        <v>16</v>
      </c>
      <c r="F532">
        <v>585311</v>
      </c>
      <c r="G532" t="s">
        <v>13</v>
      </c>
      <c r="H532" t="s">
        <v>36</v>
      </c>
      <c r="I532" t="s">
        <v>32</v>
      </c>
      <c r="J532">
        <v>19353</v>
      </c>
      <c r="K532" t="s">
        <v>2052</v>
      </c>
    </row>
    <row r="533" spans="1:11" x14ac:dyDescent="0.35">
      <c r="A533" t="s">
        <v>578</v>
      </c>
      <c r="B533" s="1">
        <v>45957</v>
      </c>
      <c r="C533" s="1">
        <v>45961</v>
      </c>
      <c r="D533" t="s">
        <v>19</v>
      </c>
      <c r="E533" t="s">
        <v>20</v>
      </c>
      <c r="F533">
        <v>171169</v>
      </c>
      <c r="G533" t="s">
        <v>28</v>
      </c>
      <c r="H533" t="s">
        <v>43</v>
      </c>
      <c r="I533" t="s">
        <v>35</v>
      </c>
      <c r="J533">
        <v>16665</v>
      </c>
      <c r="K533" t="s">
        <v>2053</v>
      </c>
    </row>
    <row r="534" spans="1:11" x14ac:dyDescent="0.35">
      <c r="A534" t="s">
        <v>579</v>
      </c>
      <c r="B534" s="1">
        <v>45927</v>
      </c>
      <c r="C534" s="1">
        <v>45930</v>
      </c>
      <c r="D534" t="s">
        <v>40</v>
      </c>
      <c r="E534" t="s">
        <v>16</v>
      </c>
      <c r="F534">
        <v>263701</v>
      </c>
      <c r="G534" t="s">
        <v>13</v>
      </c>
      <c r="H534" t="s">
        <v>21</v>
      </c>
      <c r="I534" t="s">
        <v>34</v>
      </c>
      <c r="J534">
        <v>14012</v>
      </c>
      <c r="K534" t="s">
        <v>2054</v>
      </c>
    </row>
    <row r="535" spans="1:11" x14ac:dyDescent="0.35">
      <c r="A535" t="s">
        <v>580</v>
      </c>
      <c r="B535" s="1">
        <v>45929</v>
      </c>
      <c r="C535" s="1">
        <v>45932</v>
      </c>
      <c r="D535" t="s">
        <v>40</v>
      </c>
      <c r="E535" t="s">
        <v>30</v>
      </c>
      <c r="F535">
        <v>691249</v>
      </c>
      <c r="G535" t="s">
        <v>28</v>
      </c>
      <c r="H535" t="s">
        <v>41</v>
      </c>
      <c r="I535" t="s">
        <v>24</v>
      </c>
      <c r="J535">
        <v>13790</v>
      </c>
      <c r="K535" t="s">
        <v>2053</v>
      </c>
    </row>
    <row r="536" spans="1:11" x14ac:dyDescent="0.35">
      <c r="A536" t="s">
        <v>581</v>
      </c>
      <c r="B536" s="1">
        <v>45732</v>
      </c>
      <c r="C536" s="1">
        <v>45735</v>
      </c>
      <c r="D536" t="s">
        <v>39</v>
      </c>
      <c r="E536" t="s">
        <v>20</v>
      </c>
      <c r="F536">
        <v>623903</v>
      </c>
      <c r="G536" t="s">
        <v>9</v>
      </c>
      <c r="H536" t="s">
        <v>35</v>
      </c>
      <c r="I536" t="s">
        <v>14</v>
      </c>
      <c r="J536">
        <v>27218</v>
      </c>
      <c r="K536" t="s">
        <v>2053</v>
      </c>
    </row>
    <row r="537" spans="1:11" x14ac:dyDescent="0.35">
      <c r="A537" t="s">
        <v>582</v>
      </c>
      <c r="B537" s="1">
        <v>45661</v>
      </c>
      <c r="C537" s="1">
        <v>45665</v>
      </c>
      <c r="D537" t="s">
        <v>40</v>
      </c>
      <c r="E537" t="s">
        <v>23</v>
      </c>
      <c r="F537">
        <v>142523</v>
      </c>
      <c r="G537" t="s">
        <v>17</v>
      </c>
      <c r="H537" t="s">
        <v>11</v>
      </c>
      <c r="I537" t="s">
        <v>22</v>
      </c>
      <c r="J537">
        <v>15579</v>
      </c>
      <c r="K537" t="s">
        <v>2054</v>
      </c>
    </row>
    <row r="538" spans="1:11" x14ac:dyDescent="0.35">
      <c r="A538" t="s">
        <v>583</v>
      </c>
      <c r="B538" s="1">
        <v>45852</v>
      </c>
      <c r="C538" s="1">
        <v>45853</v>
      </c>
      <c r="D538" t="s">
        <v>8</v>
      </c>
      <c r="E538" t="s">
        <v>23</v>
      </c>
      <c r="F538">
        <v>985592</v>
      </c>
      <c r="G538" t="s">
        <v>13</v>
      </c>
      <c r="H538" t="s">
        <v>11</v>
      </c>
      <c r="I538" t="s">
        <v>25</v>
      </c>
      <c r="J538">
        <v>20328</v>
      </c>
      <c r="K538" t="s">
        <v>2050</v>
      </c>
    </row>
    <row r="539" spans="1:11" x14ac:dyDescent="0.35">
      <c r="A539" t="s">
        <v>584</v>
      </c>
      <c r="B539" s="1">
        <v>46016</v>
      </c>
      <c r="C539" s="1">
        <v>46021</v>
      </c>
      <c r="D539" t="s">
        <v>39</v>
      </c>
      <c r="E539" t="s">
        <v>16</v>
      </c>
      <c r="F539">
        <v>374803</v>
      </c>
      <c r="G539" t="s">
        <v>17</v>
      </c>
      <c r="H539" t="s">
        <v>15</v>
      </c>
      <c r="I539" t="s">
        <v>11</v>
      </c>
      <c r="J539">
        <v>25367</v>
      </c>
      <c r="K539" t="s">
        <v>2050</v>
      </c>
    </row>
    <row r="540" spans="1:11" x14ac:dyDescent="0.35">
      <c r="A540" t="s">
        <v>585</v>
      </c>
      <c r="B540" s="1">
        <v>45672</v>
      </c>
      <c r="C540" s="1">
        <v>45675</v>
      </c>
      <c r="D540" t="s">
        <v>19</v>
      </c>
      <c r="E540" t="s">
        <v>23</v>
      </c>
      <c r="F540">
        <v>453172</v>
      </c>
      <c r="G540" t="s">
        <v>9</v>
      </c>
      <c r="H540" t="s">
        <v>25</v>
      </c>
      <c r="I540" t="s">
        <v>36</v>
      </c>
      <c r="J540">
        <v>17122</v>
      </c>
      <c r="K540" t="s">
        <v>2050</v>
      </c>
    </row>
    <row r="541" spans="1:11" x14ac:dyDescent="0.35">
      <c r="A541" t="s">
        <v>586</v>
      </c>
      <c r="B541" s="1">
        <v>45681</v>
      </c>
      <c r="C541" s="1">
        <v>45682</v>
      </c>
      <c r="D541" t="s">
        <v>8</v>
      </c>
      <c r="E541" t="s">
        <v>16</v>
      </c>
      <c r="F541">
        <v>790967</v>
      </c>
      <c r="G541" t="s">
        <v>28</v>
      </c>
      <c r="H541" t="s">
        <v>41</v>
      </c>
      <c r="I541" t="s">
        <v>14</v>
      </c>
      <c r="J541">
        <v>19154</v>
      </c>
      <c r="K541" t="s">
        <v>2052</v>
      </c>
    </row>
    <row r="542" spans="1:11" x14ac:dyDescent="0.35">
      <c r="A542" t="s">
        <v>587</v>
      </c>
      <c r="B542" s="1">
        <v>45702</v>
      </c>
      <c r="C542" s="1">
        <v>45703</v>
      </c>
      <c r="D542" t="s">
        <v>39</v>
      </c>
      <c r="E542" t="s">
        <v>12</v>
      </c>
      <c r="F542">
        <v>536706</v>
      </c>
      <c r="G542" t="s">
        <v>17</v>
      </c>
      <c r="H542" t="s">
        <v>45</v>
      </c>
      <c r="I542" t="s">
        <v>22</v>
      </c>
      <c r="J542">
        <v>23518</v>
      </c>
      <c r="K542" t="s">
        <v>2053</v>
      </c>
    </row>
    <row r="543" spans="1:11" x14ac:dyDescent="0.35">
      <c r="A543" t="s">
        <v>588</v>
      </c>
      <c r="B543" s="1">
        <v>45936</v>
      </c>
      <c r="C543" s="1">
        <v>45937</v>
      </c>
      <c r="D543" t="s">
        <v>19</v>
      </c>
      <c r="E543" t="s">
        <v>38</v>
      </c>
      <c r="F543">
        <v>492324</v>
      </c>
      <c r="G543" t="s">
        <v>13</v>
      </c>
      <c r="H543" t="s">
        <v>21</v>
      </c>
      <c r="I543" t="s">
        <v>25</v>
      </c>
      <c r="J543">
        <v>14671</v>
      </c>
      <c r="K543" t="s">
        <v>2052</v>
      </c>
    </row>
    <row r="544" spans="1:11" x14ac:dyDescent="0.35">
      <c r="A544" t="s">
        <v>589</v>
      </c>
      <c r="B544" s="1">
        <v>45971</v>
      </c>
      <c r="C544" s="1">
        <v>45976</v>
      </c>
      <c r="D544" t="s">
        <v>39</v>
      </c>
      <c r="E544" t="s">
        <v>30</v>
      </c>
      <c r="F544">
        <v>151203</v>
      </c>
      <c r="G544" t="s">
        <v>13</v>
      </c>
      <c r="H544" t="s">
        <v>25</v>
      </c>
      <c r="I544" t="s">
        <v>14</v>
      </c>
      <c r="J544">
        <v>25233</v>
      </c>
      <c r="K544" t="s">
        <v>2053</v>
      </c>
    </row>
    <row r="545" spans="1:11" x14ac:dyDescent="0.35">
      <c r="A545" t="s">
        <v>590</v>
      </c>
      <c r="B545" s="1">
        <v>45889</v>
      </c>
      <c r="C545" s="1">
        <v>45890</v>
      </c>
      <c r="D545" t="s">
        <v>40</v>
      </c>
      <c r="E545" t="s">
        <v>20</v>
      </c>
      <c r="F545">
        <v>397777</v>
      </c>
      <c r="G545" t="s">
        <v>13</v>
      </c>
      <c r="H545" t="s">
        <v>22</v>
      </c>
      <c r="I545" t="s">
        <v>36</v>
      </c>
      <c r="J545">
        <v>15546</v>
      </c>
      <c r="K545" t="s">
        <v>2054</v>
      </c>
    </row>
    <row r="546" spans="1:11" x14ac:dyDescent="0.35">
      <c r="A546" t="s">
        <v>591</v>
      </c>
      <c r="B546" s="1">
        <v>45850</v>
      </c>
      <c r="C546" s="1">
        <v>45854</v>
      </c>
      <c r="D546" t="s">
        <v>39</v>
      </c>
      <c r="E546" t="s">
        <v>33</v>
      </c>
      <c r="F546">
        <v>631057</v>
      </c>
      <c r="G546" t="s">
        <v>28</v>
      </c>
      <c r="H546" t="s">
        <v>21</v>
      </c>
      <c r="I546" t="s">
        <v>44</v>
      </c>
      <c r="J546">
        <v>26401</v>
      </c>
      <c r="K546" t="s">
        <v>2054</v>
      </c>
    </row>
    <row r="547" spans="1:11" x14ac:dyDescent="0.35">
      <c r="A547" t="s">
        <v>592</v>
      </c>
      <c r="B547" s="1">
        <v>45696</v>
      </c>
      <c r="C547" s="1">
        <v>45701</v>
      </c>
      <c r="D547" t="s">
        <v>19</v>
      </c>
      <c r="E547" t="s">
        <v>27</v>
      </c>
      <c r="F547">
        <v>731987</v>
      </c>
      <c r="G547" t="s">
        <v>17</v>
      </c>
      <c r="H547" t="s">
        <v>35</v>
      </c>
      <c r="I547" t="s">
        <v>35</v>
      </c>
      <c r="J547">
        <v>15886</v>
      </c>
      <c r="K547" t="s">
        <v>2054</v>
      </c>
    </row>
    <row r="548" spans="1:11" x14ac:dyDescent="0.35">
      <c r="A548" t="s">
        <v>593</v>
      </c>
      <c r="B548" s="1">
        <v>45805</v>
      </c>
      <c r="C548" s="1">
        <v>45806</v>
      </c>
      <c r="D548" t="s">
        <v>39</v>
      </c>
      <c r="E548" t="s">
        <v>23</v>
      </c>
      <c r="F548">
        <v>216198</v>
      </c>
      <c r="G548" t="s">
        <v>17</v>
      </c>
      <c r="H548" t="s">
        <v>34</v>
      </c>
      <c r="I548" t="s">
        <v>44</v>
      </c>
      <c r="J548">
        <v>27373</v>
      </c>
      <c r="K548" t="s">
        <v>2054</v>
      </c>
    </row>
    <row r="549" spans="1:11" x14ac:dyDescent="0.35">
      <c r="A549" t="s">
        <v>594</v>
      </c>
      <c r="B549" s="1">
        <v>46002</v>
      </c>
      <c r="C549" s="1">
        <v>46003</v>
      </c>
      <c r="D549" t="s">
        <v>39</v>
      </c>
      <c r="E549" t="s">
        <v>16</v>
      </c>
      <c r="F549">
        <v>946756</v>
      </c>
      <c r="G549" t="s">
        <v>28</v>
      </c>
      <c r="H549" t="s">
        <v>42</v>
      </c>
      <c r="I549" t="s">
        <v>21</v>
      </c>
      <c r="J549">
        <v>24613</v>
      </c>
      <c r="K549" t="s">
        <v>2052</v>
      </c>
    </row>
    <row r="550" spans="1:11" x14ac:dyDescent="0.35">
      <c r="A550" t="s">
        <v>595</v>
      </c>
      <c r="B550" s="1">
        <v>45665</v>
      </c>
      <c r="C550" s="1">
        <v>45666</v>
      </c>
      <c r="D550" t="s">
        <v>8</v>
      </c>
      <c r="E550" t="s">
        <v>38</v>
      </c>
      <c r="F550">
        <v>954975</v>
      </c>
      <c r="G550" t="s">
        <v>17</v>
      </c>
      <c r="H550" t="s">
        <v>45</v>
      </c>
      <c r="I550" t="s">
        <v>44</v>
      </c>
      <c r="J550">
        <v>19039</v>
      </c>
      <c r="K550" t="s">
        <v>2052</v>
      </c>
    </row>
    <row r="551" spans="1:11" x14ac:dyDescent="0.35">
      <c r="A551" t="s">
        <v>596</v>
      </c>
      <c r="B551" s="1">
        <v>45708</v>
      </c>
      <c r="C551" s="1">
        <v>45709</v>
      </c>
      <c r="D551" t="s">
        <v>39</v>
      </c>
      <c r="E551" t="s">
        <v>16</v>
      </c>
      <c r="F551">
        <v>764459</v>
      </c>
      <c r="G551" t="s">
        <v>9</v>
      </c>
      <c r="H551" t="s">
        <v>18</v>
      </c>
      <c r="I551" t="s">
        <v>34</v>
      </c>
      <c r="J551">
        <v>25662</v>
      </c>
      <c r="K551" t="s">
        <v>2052</v>
      </c>
    </row>
    <row r="552" spans="1:11" x14ac:dyDescent="0.35">
      <c r="A552" t="s">
        <v>597</v>
      </c>
      <c r="B552" s="1">
        <v>45780</v>
      </c>
      <c r="C552" s="1">
        <v>45784</v>
      </c>
      <c r="D552" t="s">
        <v>19</v>
      </c>
      <c r="E552" t="s">
        <v>16</v>
      </c>
      <c r="F552">
        <v>327913</v>
      </c>
      <c r="G552" t="s">
        <v>13</v>
      </c>
      <c r="H552" t="s">
        <v>42</v>
      </c>
      <c r="I552" t="s">
        <v>18</v>
      </c>
      <c r="J552">
        <v>16202</v>
      </c>
      <c r="K552" t="s">
        <v>2053</v>
      </c>
    </row>
    <row r="553" spans="1:11" x14ac:dyDescent="0.35">
      <c r="A553" t="s">
        <v>598</v>
      </c>
      <c r="B553" s="1">
        <v>45849</v>
      </c>
      <c r="C553" s="1">
        <v>45850</v>
      </c>
      <c r="D553" t="s">
        <v>19</v>
      </c>
      <c r="E553" t="s">
        <v>23</v>
      </c>
      <c r="F553">
        <v>310426</v>
      </c>
      <c r="G553" t="s">
        <v>28</v>
      </c>
      <c r="H553" t="s">
        <v>21</v>
      </c>
      <c r="I553" t="s">
        <v>11</v>
      </c>
      <c r="J553">
        <v>17167</v>
      </c>
      <c r="K553" t="s">
        <v>2053</v>
      </c>
    </row>
    <row r="554" spans="1:11" x14ac:dyDescent="0.35">
      <c r="A554" t="s">
        <v>599</v>
      </c>
      <c r="B554" s="1">
        <v>45742</v>
      </c>
      <c r="C554" s="1">
        <v>45743</v>
      </c>
      <c r="D554" t="s">
        <v>40</v>
      </c>
      <c r="E554" t="s">
        <v>33</v>
      </c>
      <c r="F554">
        <v>943345</v>
      </c>
      <c r="G554" t="s">
        <v>17</v>
      </c>
      <c r="H554" t="s">
        <v>31</v>
      </c>
      <c r="I554" t="s">
        <v>44</v>
      </c>
      <c r="J554">
        <v>15530</v>
      </c>
      <c r="K554" t="s">
        <v>2053</v>
      </c>
    </row>
    <row r="555" spans="1:11" x14ac:dyDescent="0.35">
      <c r="A555" t="s">
        <v>600</v>
      </c>
      <c r="B555" s="1">
        <v>45857</v>
      </c>
      <c r="C555" s="1">
        <v>45860</v>
      </c>
      <c r="D555" t="s">
        <v>40</v>
      </c>
      <c r="E555" t="s">
        <v>20</v>
      </c>
      <c r="F555">
        <v>237899</v>
      </c>
      <c r="G555" t="s">
        <v>13</v>
      </c>
      <c r="H555" t="s">
        <v>42</v>
      </c>
      <c r="I555" t="s">
        <v>45</v>
      </c>
      <c r="J555">
        <v>15136</v>
      </c>
      <c r="K555" t="s">
        <v>2050</v>
      </c>
    </row>
    <row r="556" spans="1:11" x14ac:dyDescent="0.35">
      <c r="A556" t="s">
        <v>601</v>
      </c>
      <c r="B556" s="1">
        <v>45863</v>
      </c>
      <c r="C556" s="1">
        <v>45868</v>
      </c>
      <c r="D556" t="s">
        <v>40</v>
      </c>
      <c r="E556" t="s">
        <v>27</v>
      </c>
      <c r="F556">
        <v>780064</v>
      </c>
      <c r="G556" t="s">
        <v>28</v>
      </c>
      <c r="H556" t="s">
        <v>41</v>
      </c>
      <c r="I556" t="s">
        <v>11</v>
      </c>
      <c r="J556">
        <v>14317</v>
      </c>
      <c r="K556" t="s">
        <v>2050</v>
      </c>
    </row>
    <row r="557" spans="1:11" x14ac:dyDescent="0.35">
      <c r="A557" t="s">
        <v>602</v>
      </c>
      <c r="B557" s="1">
        <v>45717</v>
      </c>
      <c r="C557" s="1">
        <v>45720</v>
      </c>
      <c r="D557" t="s">
        <v>8</v>
      </c>
      <c r="E557" t="s">
        <v>23</v>
      </c>
      <c r="F557">
        <v>503495</v>
      </c>
      <c r="G557" t="s">
        <v>28</v>
      </c>
      <c r="H557" t="s">
        <v>32</v>
      </c>
      <c r="I557" t="s">
        <v>35</v>
      </c>
      <c r="J557">
        <v>19924</v>
      </c>
      <c r="K557" t="s">
        <v>2050</v>
      </c>
    </row>
    <row r="558" spans="1:11" x14ac:dyDescent="0.35">
      <c r="A558" t="s">
        <v>603</v>
      </c>
      <c r="B558" s="1">
        <v>45875</v>
      </c>
      <c r="C558" s="1">
        <v>45876</v>
      </c>
      <c r="D558" t="s">
        <v>40</v>
      </c>
      <c r="E558" t="s">
        <v>20</v>
      </c>
      <c r="F558">
        <v>556271</v>
      </c>
      <c r="G558" t="s">
        <v>26</v>
      </c>
      <c r="H558" t="s">
        <v>36</v>
      </c>
      <c r="I558" t="s">
        <v>31</v>
      </c>
      <c r="J558">
        <v>15382</v>
      </c>
      <c r="K558" t="s">
        <v>2050</v>
      </c>
    </row>
    <row r="559" spans="1:11" x14ac:dyDescent="0.35">
      <c r="A559" t="s">
        <v>604</v>
      </c>
      <c r="B559" s="1">
        <v>45952</v>
      </c>
      <c r="C559" s="1">
        <v>45956</v>
      </c>
      <c r="D559" t="s">
        <v>8</v>
      </c>
      <c r="E559" t="s">
        <v>20</v>
      </c>
      <c r="F559">
        <v>153673</v>
      </c>
      <c r="G559" t="s">
        <v>17</v>
      </c>
      <c r="H559" t="s">
        <v>25</v>
      </c>
      <c r="I559" t="s">
        <v>42</v>
      </c>
      <c r="J559">
        <v>21100</v>
      </c>
      <c r="K559" t="s">
        <v>2050</v>
      </c>
    </row>
    <row r="560" spans="1:11" x14ac:dyDescent="0.35">
      <c r="A560" t="s">
        <v>605</v>
      </c>
      <c r="B560" s="1">
        <v>45708</v>
      </c>
      <c r="C560" s="1">
        <v>45709</v>
      </c>
      <c r="D560" t="s">
        <v>40</v>
      </c>
      <c r="E560" t="s">
        <v>30</v>
      </c>
      <c r="F560">
        <v>912613</v>
      </c>
      <c r="G560" t="s">
        <v>13</v>
      </c>
      <c r="H560" t="s">
        <v>29</v>
      </c>
      <c r="I560" t="s">
        <v>29</v>
      </c>
      <c r="J560">
        <v>13476</v>
      </c>
      <c r="K560" t="s">
        <v>2051</v>
      </c>
    </row>
    <row r="561" spans="1:11" x14ac:dyDescent="0.35">
      <c r="A561" t="s">
        <v>606</v>
      </c>
      <c r="B561" s="1">
        <v>45685</v>
      </c>
      <c r="C561" s="1">
        <v>45688</v>
      </c>
      <c r="D561" t="s">
        <v>39</v>
      </c>
      <c r="E561" t="s">
        <v>12</v>
      </c>
      <c r="F561">
        <v>352205</v>
      </c>
      <c r="G561" t="s">
        <v>17</v>
      </c>
      <c r="H561" t="s">
        <v>31</v>
      </c>
      <c r="I561" t="s">
        <v>35</v>
      </c>
      <c r="J561">
        <v>23570</v>
      </c>
      <c r="K561" t="s">
        <v>2052</v>
      </c>
    </row>
    <row r="562" spans="1:11" x14ac:dyDescent="0.35">
      <c r="A562" t="s">
        <v>607</v>
      </c>
      <c r="B562" s="1">
        <v>45861</v>
      </c>
      <c r="C562" s="1">
        <v>45866</v>
      </c>
      <c r="D562" t="s">
        <v>39</v>
      </c>
      <c r="E562" t="s">
        <v>38</v>
      </c>
      <c r="F562">
        <v>638148</v>
      </c>
      <c r="G562" t="s">
        <v>9</v>
      </c>
      <c r="H562" t="s">
        <v>34</v>
      </c>
      <c r="I562" t="s">
        <v>45</v>
      </c>
      <c r="J562">
        <v>23999</v>
      </c>
      <c r="K562" t="s">
        <v>2053</v>
      </c>
    </row>
    <row r="563" spans="1:11" x14ac:dyDescent="0.35">
      <c r="A563" t="s">
        <v>608</v>
      </c>
      <c r="B563" s="1">
        <v>45668</v>
      </c>
      <c r="C563" s="1">
        <v>45672</v>
      </c>
      <c r="D563" t="s">
        <v>39</v>
      </c>
      <c r="E563" t="s">
        <v>33</v>
      </c>
      <c r="F563">
        <v>438021</v>
      </c>
      <c r="G563" t="s">
        <v>17</v>
      </c>
      <c r="H563" t="s">
        <v>35</v>
      </c>
      <c r="I563" t="s">
        <v>44</v>
      </c>
      <c r="J563">
        <v>25858</v>
      </c>
      <c r="K563" t="s">
        <v>2054</v>
      </c>
    </row>
    <row r="564" spans="1:11" x14ac:dyDescent="0.35">
      <c r="A564" t="s">
        <v>609</v>
      </c>
      <c r="B564" s="1">
        <v>46022</v>
      </c>
      <c r="C564" s="1">
        <v>46025</v>
      </c>
      <c r="D564" t="s">
        <v>8</v>
      </c>
      <c r="E564" t="s">
        <v>12</v>
      </c>
      <c r="F564">
        <v>759524</v>
      </c>
      <c r="G564" t="s">
        <v>17</v>
      </c>
      <c r="H564" t="s">
        <v>43</v>
      </c>
      <c r="I564" t="s">
        <v>21</v>
      </c>
      <c r="J564">
        <v>18401</v>
      </c>
      <c r="K564" t="s">
        <v>2053</v>
      </c>
    </row>
    <row r="565" spans="1:11" x14ac:dyDescent="0.35">
      <c r="A565" t="s">
        <v>610</v>
      </c>
      <c r="B565" s="1">
        <v>45873</v>
      </c>
      <c r="C565" s="1">
        <v>45875</v>
      </c>
      <c r="D565" t="s">
        <v>8</v>
      </c>
      <c r="E565" t="s">
        <v>16</v>
      </c>
      <c r="F565">
        <v>487683</v>
      </c>
      <c r="G565" t="s">
        <v>28</v>
      </c>
      <c r="H565" t="s">
        <v>45</v>
      </c>
      <c r="I565" t="s">
        <v>34</v>
      </c>
      <c r="J565">
        <v>19675</v>
      </c>
      <c r="K565" t="s">
        <v>2050</v>
      </c>
    </row>
    <row r="566" spans="1:11" x14ac:dyDescent="0.35">
      <c r="A566" t="s">
        <v>611</v>
      </c>
      <c r="B566" s="1">
        <v>45970</v>
      </c>
      <c r="C566" s="1">
        <v>45973</v>
      </c>
      <c r="D566" t="s">
        <v>8</v>
      </c>
      <c r="E566" t="s">
        <v>12</v>
      </c>
      <c r="F566">
        <v>460445</v>
      </c>
      <c r="G566" t="s">
        <v>13</v>
      </c>
      <c r="H566" t="s">
        <v>35</v>
      </c>
      <c r="I566" t="s">
        <v>15</v>
      </c>
      <c r="J566">
        <v>18419</v>
      </c>
      <c r="K566" t="s">
        <v>2051</v>
      </c>
    </row>
    <row r="567" spans="1:11" x14ac:dyDescent="0.35">
      <c r="A567" t="s">
        <v>612</v>
      </c>
      <c r="B567" s="1">
        <v>45741</v>
      </c>
      <c r="C567" s="1">
        <v>45745</v>
      </c>
      <c r="D567" t="s">
        <v>40</v>
      </c>
      <c r="E567" t="s">
        <v>30</v>
      </c>
      <c r="F567">
        <v>659913</v>
      </c>
      <c r="G567" t="s">
        <v>13</v>
      </c>
      <c r="H567" t="s">
        <v>14</v>
      </c>
      <c r="I567" t="s">
        <v>42</v>
      </c>
      <c r="J567">
        <v>13750</v>
      </c>
      <c r="K567" t="s">
        <v>2052</v>
      </c>
    </row>
    <row r="568" spans="1:11" x14ac:dyDescent="0.35">
      <c r="A568" t="s">
        <v>613</v>
      </c>
      <c r="B568" s="1">
        <v>45682</v>
      </c>
      <c r="C568" s="1">
        <v>45687</v>
      </c>
      <c r="D568" t="s">
        <v>19</v>
      </c>
      <c r="E568" t="s">
        <v>30</v>
      </c>
      <c r="F568">
        <v>370105</v>
      </c>
      <c r="G568" t="s">
        <v>13</v>
      </c>
      <c r="H568" t="s">
        <v>44</v>
      </c>
      <c r="I568" t="s">
        <v>45</v>
      </c>
      <c r="J568">
        <v>16782</v>
      </c>
      <c r="K568" t="s">
        <v>2053</v>
      </c>
    </row>
    <row r="569" spans="1:11" x14ac:dyDescent="0.35">
      <c r="A569" t="s">
        <v>614</v>
      </c>
      <c r="B569" s="1">
        <v>45880</v>
      </c>
      <c r="C569" s="1">
        <v>45881</v>
      </c>
      <c r="D569" t="s">
        <v>19</v>
      </c>
      <c r="E569" t="s">
        <v>16</v>
      </c>
      <c r="F569">
        <v>664754</v>
      </c>
      <c r="G569" t="s">
        <v>17</v>
      </c>
      <c r="H569" t="s">
        <v>29</v>
      </c>
      <c r="I569" t="s">
        <v>29</v>
      </c>
      <c r="J569">
        <v>16764</v>
      </c>
      <c r="K569" t="s">
        <v>2054</v>
      </c>
    </row>
    <row r="570" spans="1:11" x14ac:dyDescent="0.35">
      <c r="A570" t="s">
        <v>615</v>
      </c>
      <c r="B570" s="1">
        <v>45999</v>
      </c>
      <c r="C570" s="1">
        <v>46004</v>
      </c>
      <c r="D570" t="s">
        <v>19</v>
      </c>
      <c r="E570" t="s">
        <v>30</v>
      </c>
      <c r="F570">
        <v>914165</v>
      </c>
      <c r="G570" t="s">
        <v>17</v>
      </c>
      <c r="H570" t="s">
        <v>15</v>
      </c>
      <c r="I570" t="s">
        <v>10</v>
      </c>
      <c r="J570">
        <v>15726</v>
      </c>
      <c r="K570" t="s">
        <v>2053</v>
      </c>
    </row>
    <row r="571" spans="1:11" x14ac:dyDescent="0.35">
      <c r="A571" t="s">
        <v>616</v>
      </c>
      <c r="B571" s="1">
        <v>45928</v>
      </c>
      <c r="C571" s="1">
        <v>45932</v>
      </c>
      <c r="D571" t="s">
        <v>39</v>
      </c>
      <c r="E571" t="s">
        <v>27</v>
      </c>
      <c r="F571">
        <v>184181</v>
      </c>
      <c r="G571" t="s">
        <v>28</v>
      </c>
      <c r="H571" t="s">
        <v>34</v>
      </c>
      <c r="I571" t="s">
        <v>45</v>
      </c>
      <c r="J571">
        <v>24808</v>
      </c>
      <c r="K571" t="s">
        <v>2052</v>
      </c>
    </row>
    <row r="572" spans="1:11" x14ac:dyDescent="0.35">
      <c r="A572" t="s">
        <v>617</v>
      </c>
      <c r="B572" s="1">
        <v>45973</v>
      </c>
      <c r="C572" s="1">
        <v>45974</v>
      </c>
      <c r="D572" t="s">
        <v>8</v>
      </c>
      <c r="E572" t="s">
        <v>12</v>
      </c>
      <c r="F572">
        <v>831189</v>
      </c>
      <c r="G572" t="s">
        <v>13</v>
      </c>
      <c r="H572" t="s">
        <v>45</v>
      </c>
      <c r="I572" t="s">
        <v>22</v>
      </c>
      <c r="J572">
        <v>18594</v>
      </c>
      <c r="K572" t="s">
        <v>2052</v>
      </c>
    </row>
    <row r="573" spans="1:11" x14ac:dyDescent="0.35">
      <c r="A573" t="s">
        <v>618</v>
      </c>
      <c r="B573" s="1">
        <v>45659</v>
      </c>
      <c r="C573" s="1">
        <v>45660</v>
      </c>
      <c r="D573" t="s">
        <v>40</v>
      </c>
      <c r="E573" t="s">
        <v>23</v>
      </c>
      <c r="F573">
        <v>451671</v>
      </c>
      <c r="G573" t="s">
        <v>13</v>
      </c>
      <c r="H573" t="s">
        <v>14</v>
      </c>
      <c r="I573" t="s">
        <v>15</v>
      </c>
      <c r="J573">
        <v>14477</v>
      </c>
      <c r="K573" t="s">
        <v>2052</v>
      </c>
    </row>
    <row r="574" spans="1:11" x14ac:dyDescent="0.35">
      <c r="A574" t="s">
        <v>619</v>
      </c>
      <c r="B574" s="1">
        <v>45791</v>
      </c>
      <c r="C574" s="1">
        <v>45793</v>
      </c>
      <c r="D574" t="s">
        <v>8</v>
      </c>
      <c r="E574" t="s">
        <v>16</v>
      </c>
      <c r="F574">
        <v>766199</v>
      </c>
      <c r="G574" t="s">
        <v>17</v>
      </c>
      <c r="H574" t="s">
        <v>31</v>
      </c>
      <c r="I574" t="s">
        <v>18</v>
      </c>
      <c r="J574">
        <v>20148</v>
      </c>
      <c r="K574" t="s">
        <v>2053</v>
      </c>
    </row>
    <row r="575" spans="1:11" x14ac:dyDescent="0.35">
      <c r="A575" t="s">
        <v>620</v>
      </c>
      <c r="B575" s="1">
        <v>45788</v>
      </c>
      <c r="C575" s="1">
        <v>45790</v>
      </c>
      <c r="D575" t="s">
        <v>40</v>
      </c>
      <c r="E575" t="s">
        <v>20</v>
      </c>
      <c r="F575">
        <v>373371</v>
      </c>
      <c r="G575" t="s">
        <v>17</v>
      </c>
      <c r="H575" t="s">
        <v>14</v>
      </c>
      <c r="I575" t="s">
        <v>41</v>
      </c>
      <c r="J575">
        <v>14974</v>
      </c>
      <c r="K575" t="s">
        <v>2053</v>
      </c>
    </row>
    <row r="576" spans="1:11" x14ac:dyDescent="0.35">
      <c r="A576" t="s">
        <v>621</v>
      </c>
      <c r="B576" s="1">
        <v>45831</v>
      </c>
      <c r="C576" s="1">
        <v>45832</v>
      </c>
      <c r="D576" t="s">
        <v>40</v>
      </c>
      <c r="E576" t="s">
        <v>16</v>
      </c>
      <c r="F576">
        <v>348243</v>
      </c>
      <c r="G576" t="s">
        <v>26</v>
      </c>
      <c r="H576" t="s">
        <v>24</v>
      </c>
      <c r="I576" t="s">
        <v>11</v>
      </c>
      <c r="J576">
        <v>13964</v>
      </c>
      <c r="K576" t="s">
        <v>2053</v>
      </c>
    </row>
    <row r="577" spans="1:11" x14ac:dyDescent="0.35">
      <c r="A577" t="s">
        <v>622</v>
      </c>
      <c r="B577" s="1">
        <v>45862</v>
      </c>
      <c r="C577" s="1">
        <v>45865</v>
      </c>
      <c r="D577" t="s">
        <v>40</v>
      </c>
      <c r="E577" t="s">
        <v>27</v>
      </c>
      <c r="F577">
        <v>121895</v>
      </c>
      <c r="G577" t="s">
        <v>13</v>
      </c>
      <c r="H577" t="s">
        <v>44</v>
      </c>
      <c r="I577" t="s">
        <v>29</v>
      </c>
      <c r="J577">
        <v>14385</v>
      </c>
      <c r="K577" t="s">
        <v>2053</v>
      </c>
    </row>
    <row r="578" spans="1:11" x14ac:dyDescent="0.35">
      <c r="A578" t="s">
        <v>623</v>
      </c>
      <c r="B578" s="1">
        <v>45880</v>
      </c>
      <c r="C578" s="1">
        <v>45885</v>
      </c>
      <c r="D578" t="s">
        <v>40</v>
      </c>
      <c r="E578" t="s">
        <v>16</v>
      </c>
      <c r="F578">
        <v>613428</v>
      </c>
      <c r="G578" t="s">
        <v>13</v>
      </c>
      <c r="H578" t="s">
        <v>41</v>
      </c>
      <c r="I578" t="s">
        <v>34</v>
      </c>
      <c r="J578">
        <v>13707</v>
      </c>
      <c r="K578" t="s">
        <v>2050</v>
      </c>
    </row>
    <row r="579" spans="1:11" x14ac:dyDescent="0.35">
      <c r="A579" t="s">
        <v>624</v>
      </c>
      <c r="B579" s="1">
        <v>45824</v>
      </c>
      <c r="C579" s="1">
        <v>45827</v>
      </c>
      <c r="D579" t="s">
        <v>40</v>
      </c>
      <c r="E579" t="s">
        <v>33</v>
      </c>
      <c r="F579">
        <v>628060</v>
      </c>
      <c r="G579" t="s">
        <v>28</v>
      </c>
      <c r="H579" t="s">
        <v>34</v>
      </c>
      <c r="I579" t="s">
        <v>45</v>
      </c>
      <c r="J579">
        <v>15075</v>
      </c>
      <c r="K579" t="s">
        <v>2051</v>
      </c>
    </row>
    <row r="580" spans="1:11" x14ac:dyDescent="0.35">
      <c r="A580" t="s">
        <v>625</v>
      </c>
      <c r="B580" s="1">
        <v>45826</v>
      </c>
      <c r="C580" s="1">
        <v>45830</v>
      </c>
      <c r="D580" t="s">
        <v>39</v>
      </c>
      <c r="E580" t="s">
        <v>30</v>
      </c>
      <c r="F580">
        <v>798683</v>
      </c>
      <c r="G580" t="s">
        <v>13</v>
      </c>
      <c r="H580" t="s">
        <v>14</v>
      </c>
      <c r="I580" t="s">
        <v>29</v>
      </c>
      <c r="J580">
        <v>25317</v>
      </c>
      <c r="K580" t="s">
        <v>2052</v>
      </c>
    </row>
    <row r="581" spans="1:11" x14ac:dyDescent="0.35">
      <c r="A581" t="s">
        <v>626</v>
      </c>
      <c r="B581" s="1">
        <v>45924</v>
      </c>
      <c r="C581" s="1">
        <v>45929</v>
      </c>
      <c r="D581" t="s">
        <v>39</v>
      </c>
      <c r="E581" t="s">
        <v>33</v>
      </c>
      <c r="F581">
        <v>686257</v>
      </c>
      <c r="G581" t="s">
        <v>9</v>
      </c>
      <c r="H581" t="s">
        <v>10</v>
      </c>
      <c r="I581" t="s">
        <v>25</v>
      </c>
      <c r="J581">
        <v>27505</v>
      </c>
      <c r="K581" t="s">
        <v>2053</v>
      </c>
    </row>
    <row r="582" spans="1:11" x14ac:dyDescent="0.35">
      <c r="A582" t="s">
        <v>627</v>
      </c>
      <c r="B582" s="1">
        <v>45863</v>
      </c>
      <c r="C582" s="1">
        <v>45864</v>
      </c>
      <c r="D582" t="s">
        <v>40</v>
      </c>
      <c r="E582" t="s">
        <v>27</v>
      </c>
      <c r="F582">
        <v>983290</v>
      </c>
      <c r="G582" t="s">
        <v>13</v>
      </c>
      <c r="H582" t="s">
        <v>14</v>
      </c>
      <c r="I582" t="s">
        <v>32</v>
      </c>
      <c r="J582">
        <v>14071</v>
      </c>
      <c r="K582" t="s">
        <v>2054</v>
      </c>
    </row>
    <row r="583" spans="1:11" x14ac:dyDescent="0.35">
      <c r="A583" t="s">
        <v>628</v>
      </c>
      <c r="B583" s="1">
        <v>45664</v>
      </c>
      <c r="C583" s="1">
        <v>45665</v>
      </c>
      <c r="D583" t="s">
        <v>40</v>
      </c>
      <c r="E583" t="s">
        <v>16</v>
      </c>
      <c r="F583">
        <v>505191</v>
      </c>
      <c r="G583" t="s">
        <v>28</v>
      </c>
      <c r="H583" t="s">
        <v>32</v>
      </c>
      <c r="I583" t="s">
        <v>11</v>
      </c>
      <c r="J583">
        <v>14266</v>
      </c>
      <c r="K583" t="s">
        <v>2053</v>
      </c>
    </row>
    <row r="584" spans="1:11" x14ac:dyDescent="0.35">
      <c r="A584" t="s">
        <v>629</v>
      </c>
      <c r="B584" s="1">
        <v>45831</v>
      </c>
      <c r="C584" s="1">
        <v>45833</v>
      </c>
      <c r="D584" t="s">
        <v>8</v>
      </c>
      <c r="E584" t="s">
        <v>23</v>
      </c>
      <c r="F584">
        <v>993103</v>
      </c>
      <c r="G584" t="s">
        <v>28</v>
      </c>
      <c r="H584" t="s">
        <v>18</v>
      </c>
      <c r="I584" t="s">
        <v>31</v>
      </c>
      <c r="J584">
        <v>20986</v>
      </c>
      <c r="K584" t="s">
        <v>2050</v>
      </c>
    </row>
    <row r="585" spans="1:11" x14ac:dyDescent="0.35">
      <c r="A585" t="s">
        <v>630</v>
      </c>
      <c r="B585" s="1">
        <v>45797</v>
      </c>
      <c r="C585" s="1">
        <v>45798</v>
      </c>
      <c r="D585" t="s">
        <v>8</v>
      </c>
      <c r="E585" t="s">
        <v>16</v>
      </c>
      <c r="F585">
        <v>961378</v>
      </c>
      <c r="G585" t="s">
        <v>26</v>
      </c>
      <c r="H585" t="s">
        <v>32</v>
      </c>
      <c r="I585" t="s">
        <v>43</v>
      </c>
      <c r="J585">
        <v>18745</v>
      </c>
      <c r="K585" t="s">
        <v>2051</v>
      </c>
    </row>
    <row r="586" spans="1:11" x14ac:dyDescent="0.35">
      <c r="A586" t="s">
        <v>631</v>
      </c>
      <c r="B586" s="1">
        <v>45785</v>
      </c>
      <c r="C586" s="1">
        <v>45789</v>
      </c>
      <c r="D586" t="s">
        <v>8</v>
      </c>
      <c r="E586" t="s">
        <v>33</v>
      </c>
      <c r="F586">
        <v>614985</v>
      </c>
      <c r="G586" t="s">
        <v>9</v>
      </c>
      <c r="H586" t="s">
        <v>42</v>
      </c>
      <c r="I586" t="s">
        <v>32</v>
      </c>
      <c r="J586">
        <v>19912</v>
      </c>
      <c r="K586" t="s">
        <v>2052</v>
      </c>
    </row>
    <row r="587" spans="1:11" x14ac:dyDescent="0.35">
      <c r="A587" t="s">
        <v>632</v>
      </c>
      <c r="B587" s="1">
        <v>45844</v>
      </c>
      <c r="C587" s="1">
        <v>45849</v>
      </c>
      <c r="D587" t="s">
        <v>8</v>
      </c>
      <c r="E587" t="s">
        <v>33</v>
      </c>
      <c r="F587">
        <v>779048</v>
      </c>
      <c r="G587" t="s">
        <v>13</v>
      </c>
      <c r="H587" t="s">
        <v>44</v>
      </c>
      <c r="I587" t="s">
        <v>10</v>
      </c>
      <c r="J587">
        <v>20593</v>
      </c>
      <c r="K587" t="s">
        <v>2053</v>
      </c>
    </row>
    <row r="588" spans="1:11" x14ac:dyDescent="0.35">
      <c r="A588" t="s">
        <v>633</v>
      </c>
      <c r="B588" s="1">
        <v>45984</v>
      </c>
      <c r="C588" s="1">
        <v>45985</v>
      </c>
      <c r="D588" t="s">
        <v>8</v>
      </c>
      <c r="E588" t="s">
        <v>20</v>
      </c>
      <c r="F588">
        <v>372184</v>
      </c>
      <c r="G588" t="s">
        <v>17</v>
      </c>
      <c r="H588" t="s">
        <v>25</v>
      </c>
      <c r="I588" t="s">
        <v>31</v>
      </c>
      <c r="J588">
        <v>21174</v>
      </c>
      <c r="K588" t="s">
        <v>2054</v>
      </c>
    </row>
    <row r="589" spans="1:11" x14ac:dyDescent="0.35">
      <c r="A589" t="s">
        <v>634</v>
      </c>
      <c r="B589" s="1">
        <v>46016</v>
      </c>
      <c r="C589" s="1">
        <v>46019</v>
      </c>
      <c r="D589" t="s">
        <v>19</v>
      </c>
      <c r="E589" t="s">
        <v>16</v>
      </c>
      <c r="F589">
        <v>529743</v>
      </c>
      <c r="G589" t="s">
        <v>13</v>
      </c>
      <c r="H589" t="s">
        <v>32</v>
      </c>
      <c r="I589" t="s">
        <v>15</v>
      </c>
      <c r="J589">
        <v>16529</v>
      </c>
      <c r="K589" t="s">
        <v>2053</v>
      </c>
    </row>
    <row r="590" spans="1:11" x14ac:dyDescent="0.35">
      <c r="A590" t="s">
        <v>635</v>
      </c>
      <c r="B590" s="1">
        <v>45827</v>
      </c>
      <c r="C590" s="1">
        <v>45828</v>
      </c>
      <c r="D590" t="s">
        <v>40</v>
      </c>
      <c r="E590" t="s">
        <v>27</v>
      </c>
      <c r="F590">
        <v>314392</v>
      </c>
      <c r="G590" t="s">
        <v>9</v>
      </c>
      <c r="H590" t="s">
        <v>29</v>
      </c>
      <c r="I590" t="s">
        <v>25</v>
      </c>
      <c r="J590">
        <v>13788</v>
      </c>
      <c r="K590" t="s">
        <v>2052</v>
      </c>
    </row>
    <row r="591" spans="1:11" x14ac:dyDescent="0.35">
      <c r="A591" t="s">
        <v>636</v>
      </c>
      <c r="B591" s="1">
        <v>45862</v>
      </c>
      <c r="C591" s="1">
        <v>45866</v>
      </c>
      <c r="D591" t="s">
        <v>39</v>
      </c>
      <c r="E591" t="s">
        <v>23</v>
      </c>
      <c r="F591">
        <v>125836</v>
      </c>
      <c r="G591" t="s">
        <v>17</v>
      </c>
      <c r="H591" t="s">
        <v>31</v>
      </c>
      <c r="I591" t="s">
        <v>14</v>
      </c>
      <c r="J591">
        <v>26323</v>
      </c>
      <c r="K591" t="s">
        <v>2052</v>
      </c>
    </row>
    <row r="592" spans="1:11" x14ac:dyDescent="0.35">
      <c r="A592" t="s">
        <v>637</v>
      </c>
      <c r="B592" s="1">
        <v>45663</v>
      </c>
      <c r="C592" s="1">
        <v>45664</v>
      </c>
      <c r="D592" t="s">
        <v>8</v>
      </c>
      <c r="E592" t="s">
        <v>27</v>
      </c>
      <c r="F592">
        <v>362226</v>
      </c>
      <c r="G592" t="s">
        <v>9</v>
      </c>
      <c r="H592" t="s">
        <v>24</v>
      </c>
      <c r="I592" t="s">
        <v>10</v>
      </c>
      <c r="J592">
        <v>18878</v>
      </c>
      <c r="K592" t="s">
        <v>2052</v>
      </c>
    </row>
    <row r="593" spans="1:11" x14ac:dyDescent="0.35">
      <c r="A593" t="s">
        <v>638</v>
      </c>
      <c r="B593" s="1">
        <v>45950</v>
      </c>
      <c r="C593" s="1">
        <v>45955</v>
      </c>
      <c r="D593" t="s">
        <v>19</v>
      </c>
      <c r="E593" t="s">
        <v>23</v>
      </c>
      <c r="F593">
        <v>344520</v>
      </c>
      <c r="G593" t="s">
        <v>13</v>
      </c>
      <c r="H593" t="s">
        <v>34</v>
      </c>
      <c r="I593" t="s">
        <v>29</v>
      </c>
      <c r="J593">
        <v>16782</v>
      </c>
      <c r="K593" t="s">
        <v>2053</v>
      </c>
    </row>
    <row r="594" spans="1:11" x14ac:dyDescent="0.35">
      <c r="A594" t="s">
        <v>639</v>
      </c>
      <c r="B594" s="1">
        <v>45927</v>
      </c>
      <c r="C594" s="1">
        <v>45929</v>
      </c>
      <c r="D594" t="s">
        <v>19</v>
      </c>
      <c r="E594" t="s">
        <v>16</v>
      </c>
      <c r="F594">
        <v>835029</v>
      </c>
      <c r="G594" t="s">
        <v>9</v>
      </c>
      <c r="H594" t="s">
        <v>11</v>
      </c>
      <c r="I594" t="s">
        <v>41</v>
      </c>
      <c r="J594">
        <v>16256</v>
      </c>
      <c r="K594" t="s">
        <v>2053</v>
      </c>
    </row>
    <row r="595" spans="1:11" x14ac:dyDescent="0.35">
      <c r="A595" t="s">
        <v>640</v>
      </c>
      <c r="B595" s="1">
        <v>45771</v>
      </c>
      <c r="C595" s="1">
        <v>45773</v>
      </c>
      <c r="D595" t="s">
        <v>40</v>
      </c>
      <c r="E595" t="s">
        <v>38</v>
      </c>
      <c r="F595">
        <v>597542</v>
      </c>
      <c r="G595" t="s">
        <v>17</v>
      </c>
      <c r="H595" t="s">
        <v>11</v>
      </c>
      <c r="I595" t="s">
        <v>43</v>
      </c>
      <c r="J595">
        <v>12319</v>
      </c>
      <c r="K595" t="s">
        <v>2053</v>
      </c>
    </row>
    <row r="596" spans="1:11" x14ac:dyDescent="0.35">
      <c r="A596" t="s">
        <v>641</v>
      </c>
      <c r="B596" s="1">
        <v>45895</v>
      </c>
      <c r="C596" s="1">
        <v>45897</v>
      </c>
      <c r="D596" t="s">
        <v>19</v>
      </c>
      <c r="E596" t="s">
        <v>12</v>
      </c>
      <c r="F596">
        <v>279584</v>
      </c>
      <c r="G596" t="s">
        <v>13</v>
      </c>
      <c r="H596" t="s">
        <v>31</v>
      </c>
      <c r="I596" t="s">
        <v>25</v>
      </c>
      <c r="J596">
        <v>15520</v>
      </c>
      <c r="K596" t="s">
        <v>2053</v>
      </c>
    </row>
    <row r="597" spans="1:11" x14ac:dyDescent="0.35">
      <c r="A597" t="s">
        <v>642</v>
      </c>
      <c r="B597" s="1">
        <v>45756</v>
      </c>
      <c r="C597" s="1">
        <v>45758</v>
      </c>
      <c r="D597" t="s">
        <v>8</v>
      </c>
      <c r="E597" t="s">
        <v>27</v>
      </c>
      <c r="F597">
        <v>751789</v>
      </c>
      <c r="G597" t="s">
        <v>9</v>
      </c>
      <c r="H597" t="s">
        <v>18</v>
      </c>
      <c r="I597" t="s">
        <v>36</v>
      </c>
      <c r="J597">
        <v>19986</v>
      </c>
      <c r="K597" t="s">
        <v>2050</v>
      </c>
    </row>
    <row r="598" spans="1:11" x14ac:dyDescent="0.35">
      <c r="A598" t="s">
        <v>643</v>
      </c>
      <c r="B598" s="1">
        <v>45842</v>
      </c>
      <c r="C598" s="1">
        <v>45847</v>
      </c>
      <c r="D598" t="s">
        <v>39</v>
      </c>
      <c r="E598" t="s">
        <v>20</v>
      </c>
      <c r="F598">
        <v>961837</v>
      </c>
      <c r="G598" t="s">
        <v>17</v>
      </c>
      <c r="H598" t="s">
        <v>11</v>
      </c>
      <c r="I598" t="s">
        <v>22</v>
      </c>
      <c r="J598">
        <v>26911</v>
      </c>
      <c r="K598" t="s">
        <v>2051</v>
      </c>
    </row>
    <row r="599" spans="1:11" x14ac:dyDescent="0.35">
      <c r="A599" t="s">
        <v>644</v>
      </c>
      <c r="B599" s="1">
        <v>45719</v>
      </c>
      <c r="C599" s="1">
        <v>45721</v>
      </c>
      <c r="D599" t="s">
        <v>19</v>
      </c>
      <c r="E599" t="s">
        <v>27</v>
      </c>
      <c r="F599">
        <v>646014</v>
      </c>
      <c r="G599" t="s">
        <v>26</v>
      </c>
      <c r="H599" t="s">
        <v>24</v>
      </c>
      <c r="I599" t="s">
        <v>25</v>
      </c>
      <c r="J599">
        <v>16249</v>
      </c>
      <c r="K599" t="s">
        <v>2052</v>
      </c>
    </row>
    <row r="600" spans="1:11" x14ac:dyDescent="0.35">
      <c r="A600" t="s">
        <v>645</v>
      </c>
      <c r="B600" s="1">
        <v>45882</v>
      </c>
      <c r="C600" s="1">
        <v>45887</v>
      </c>
      <c r="D600" t="s">
        <v>39</v>
      </c>
      <c r="E600" t="s">
        <v>23</v>
      </c>
      <c r="F600">
        <v>979757</v>
      </c>
      <c r="G600" t="s">
        <v>26</v>
      </c>
      <c r="H600" t="s">
        <v>11</v>
      </c>
      <c r="I600" t="s">
        <v>29</v>
      </c>
      <c r="J600">
        <v>27032</v>
      </c>
      <c r="K600" t="s">
        <v>2053</v>
      </c>
    </row>
    <row r="601" spans="1:11" x14ac:dyDescent="0.35">
      <c r="A601" t="s">
        <v>646</v>
      </c>
      <c r="B601" s="1">
        <v>45680</v>
      </c>
      <c r="C601" s="1">
        <v>45681</v>
      </c>
      <c r="D601" t="s">
        <v>40</v>
      </c>
      <c r="E601" t="s">
        <v>16</v>
      </c>
      <c r="F601">
        <v>237112</v>
      </c>
      <c r="G601" t="s">
        <v>9</v>
      </c>
      <c r="H601" t="s">
        <v>25</v>
      </c>
      <c r="I601" t="s">
        <v>25</v>
      </c>
      <c r="J601">
        <v>14014</v>
      </c>
      <c r="K601" t="s">
        <v>2054</v>
      </c>
    </row>
    <row r="602" spans="1:11" x14ac:dyDescent="0.35">
      <c r="A602" t="s">
        <v>647</v>
      </c>
      <c r="B602" s="1">
        <v>45799</v>
      </c>
      <c r="C602" s="1">
        <v>45800</v>
      </c>
      <c r="D602" t="s">
        <v>19</v>
      </c>
      <c r="E602" t="s">
        <v>12</v>
      </c>
      <c r="F602">
        <v>705217</v>
      </c>
      <c r="G602" t="s">
        <v>28</v>
      </c>
      <c r="H602" t="s">
        <v>29</v>
      </c>
      <c r="I602" t="s">
        <v>22</v>
      </c>
      <c r="J602">
        <v>15259</v>
      </c>
      <c r="K602" t="s">
        <v>2053</v>
      </c>
    </row>
    <row r="603" spans="1:11" x14ac:dyDescent="0.35">
      <c r="A603" t="s">
        <v>648</v>
      </c>
      <c r="B603" s="1">
        <v>45962</v>
      </c>
      <c r="C603" s="1">
        <v>45967</v>
      </c>
      <c r="D603" t="s">
        <v>40</v>
      </c>
      <c r="E603" t="s">
        <v>38</v>
      </c>
      <c r="F603">
        <v>539406</v>
      </c>
      <c r="G603" t="s">
        <v>9</v>
      </c>
      <c r="H603" t="s">
        <v>41</v>
      </c>
      <c r="I603" t="s">
        <v>31</v>
      </c>
      <c r="J603">
        <v>12804</v>
      </c>
      <c r="K603" t="s">
        <v>2053</v>
      </c>
    </row>
    <row r="604" spans="1:11" x14ac:dyDescent="0.35">
      <c r="A604" t="s">
        <v>649</v>
      </c>
      <c r="B604" s="1">
        <v>45811</v>
      </c>
      <c r="C604" s="1">
        <v>45813</v>
      </c>
      <c r="D604" t="s">
        <v>39</v>
      </c>
      <c r="E604" t="s">
        <v>27</v>
      </c>
      <c r="F604">
        <v>812668</v>
      </c>
      <c r="G604" t="s">
        <v>13</v>
      </c>
      <c r="H604" t="s">
        <v>36</v>
      </c>
      <c r="I604" t="s">
        <v>41</v>
      </c>
      <c r="J604">
        <v>24632</v>
      </c>
      <c r="K604" t="s">
        <v>2054</v>
      </c>
    </row>
    <row r="605" spans="1:11" x14ac:dyDescent="0.35">
      <c r="A605" t="s">
        <v>650</v>
      </c>
      <c r="B605" s="1">
        <v>45932</v>
      </c>
      <c r="C605" s="1">
        <v>45934</v>
      </c>
      <c r="D605" t="s">
        <v>19</v>
      </c>
      <c r="E605" t="s">
        <v>23</v>
      </c>
      <c r="F605">
        <v>452151</v>
      </c>
      <c r="G605" t="s">
        <v>26</v>
      </c>
      <c r="H605" t="s">
        <v>41</v>
      </c>
      <c r="I605" t="s">
        <v>36</v>
      </c>
      <c r="J605">
        <v>17649</v>
      </c>
      <c r="K605" t="s">
        <v>2050</v>
      </c>
    </row>
    <row r="606" spans="1:11" x14ac:dyDescent="0.35">
      <c r="A606" t="s">
        <v>651</v>
      </c>
      <c r="B606" s="1">
        <v>45954</v>
      </c>
      <c r="C606" s="1">
        <v>45958</v>
      </c>
      <c r="D606" t="s">
        <v>8</v>
      </c>
      <c r="E606" t="s">
        <v>16</v>
      </c>
      <c r="F606">
        <v>785874</v>
      </c>
      <c r="G606" t="s">
        <v>17</v>
      </c>
      <c r="H606" t="s">
        <v>34</v>
      </c>
      <c r="I606" t="s">
        <v>32</v>
      </c>
      <c r="J606">
        <v>18936</v>
      </c>
      <c r="K606" t="s">
        <v>2050</v>
      </c>
    </row>
    <row r="607" spans="1:11" x14ac:dyDescent="0.35">
      <c r="A607" t="s">
        <v>652</v>
      </c>
      <c r="B607" s="1">
        <v>45718</v>
      </c>
      <c r="C607" s="1">
        <v>45723</v>
      </c>
      <c r="D607" t="s">
        <v>19</v>
      </c>
      <c r="E607" t="s">
        <v>33</v>
      </c>
      <c r="F607">
        <v>747919</v>
      </c>
      <c r="G607" t="s">
        <v>26</v>
      </c>
      <c r="H607" t="s">
        <v>10</v>
      </c>
      <c r="I607" t="s">
        <v>45</v>
      </c>
      <c r="J607">
        <v>17889</v>
      </c>
      <c r="K607" t="s">
        <v>2050</v>
      </c>
    </row>
    <row r="608" spans="1:11" x14ac:dyDescent="0.35">
      <c r="A608" t="s">
        <v>653</v>
      </c>
      <c r="B608" s="1">
        <v>45698</v>
      </c>
      <c r="C608" s="1">
        <v>45700</v>
      </c>
      <c r="D608" t="s">
        <v>39</v>
      </c>
      <c r="E608" t="s">
        <v>20</v>
      </c>
      <c r="F608">
        <v>614906</v>
      </c>
      <c r="G608" t="s">
        <v>26</v>
      </c>
      <c r="H608" t="s">
        <v>15</v>
      </c>
      <c r="I608" t="s">
        <v>44</v>
      </c>
      <c r="J608">
        <v>25603</v>
      </c>
      <c r="K608" t="s">
        <v>2052</v>
      </c>
    </row>
    <row r="609" spans="1:11" x14ac:dyDescent="0.35">
      <c r="A609" t="s">
        <v>654</v>
      </c>
      <c r="B609" s="1">
        <v>45943</v>
      </c>
      <c r="C609" s="1">
        <v>45948</v>
      </c>
      <c r="D609" t="s">
        <v>39</v>
      </c>
      <c r="E609" t="s">
        <v>38</v>
      </c>
      <c r="F609">
        <v>230694</v>
      </c>
      <c r="G609" t="s">
        <v>26</v>
      </c>
      <c r="H609" t="s">
        <v>22</v>
      </c>
      <c r="I609" t="s">
        <v>35</v>
      </c>
      <c r="J609">
        <v>24084</v>
      </c>
      <c r="K609" t="s">
        <v>2053</v>
      </c>
    </row>
    <row r="610" spans="1:11" x14ac:dyDescent="0.35">
      <c r="A610" t="s">
        <v>655</v>
      </c>
      <c r="B610" s="1">
        <v>45825</v>
      </c>
      <c r="C610" s="1">
        <v>45826</v>
      </c>
      <c r="D610" t="s">
        <v>8</v>
      </c>
      <c r="E610" t="s">
        <v>33</v>
      </c>
      <c r="F610">
        <v>824026</v>
      </c>
      <c r="G610" t="s">
        <v>17</v>
      </c>
      <c r="H610" t="s">
        <v>35</v>
      </c>
      <c r="I610" t="s">
        <v>36</v>
      </c>
      <c r="J610">
        <v>21378</v>
      </c>
      <c r="K610" t="s">
        <v>2052</v>
      </c>
    </row>
    <row r="611" spans="1:11" x14ac:dyDescent="0.35">
      <c r="A611" t="s">
        <v>656</v>
      </c>
      <c r="B611" s="1">
        <v>45882</v>
      </c>
      <c r="C611" s="1">
        <v>45883</v>
      </c>
      <c r="D611" t="s">
        <v>8</v>
      </c>
      <c r="E611" t="s">
        <v>27</v>
      </c>
      <c r="F611">
        <v>809173</v>
      </c>
      <c r="G611" t="s">
        <v>17</v>
      </c>
      <c r="H611" t="s">
        <v>36</v>
      </c>
      <c r="I611" t="s">
        <v>11</v>
      </c>
      <c r="J611">
        <v>20265</v>
      </c>
      <c r="K611" t="s">
        <v>2054</v>
      </c>
    </row>
    <row r="612" spans="1:11" x14ac:dyDescent="0.35">
      <c r="A612" t="s">
        <v>657</v>
      </c>
      <c r="B612" s="1">
        <v>45917</v>
      </c>
      <c r="C612" s="1">
        <v>45920</v>
      </c>
      <c r="D612" t="s">
        <v>40</v>
      </c>
      <c r="E612" t="s">
        <v>38</v>
      </c>
      <c r="F612">
        <v>325974</v>
      </c>
      <c r="G612" t="s">
        <v>28</v>
      </c>
      <c r="H612" t="s">
        <v>21</v>
      </c>
      <c r="I612" t="s">
        <v>41</v>
      </c>
      <c r="J612">
        <v>12153</v>
      </c>
      <c r="K612" t="s">
        <v>2054</v>
      </c>
    </row>
    <row r="613" spans="1:11" x14ac:dyDescent="0.35">
      <c r="A613" t="s">
        <v>658</v>
      </c>
      <c r="B613" s="1">
        <v>45938</v>
      </c>
      <c r="C613" s="1">
        <v>45943</v>
      </c>
      <c r="D613" t="s">
        <v>8</v>
      </c>
      <c r="E613" t="s">
        <v>27</v>
      </c>
      <c r="F613">
        <v>409239</v>
      </c>
      <c r="G613" t="s">
        <v>28</v>
      </c>
      <c r="H613" t="s">
        <v>41</v>
      </c>
      <c r="I613" t="s">
        <v>10</v>
      </c>
      <c r="J613">
        <v>18985</v>
      </c>
      <c r="K613" t="s">
        <v>2054</v>
      </c>
    </row>
    <row r="614" spans="1:11" x14ac:dyDescent="0.35">
      <c r="A614" t="s">
        <v>659</v>
      </c>
      <c r="B614" s="1">
        <v>45973</v>
      </c>
      <c r="C614" s="1">
        <v>45977</v>
      </c>
      <c r="D614" t="s">
        <v>40</v>
      </c>
      <c r="E614" t="s">
        <v>16</v>
      </c>
      <c r="F614">
        <v>176659</v>
      </c>
      <c r="G614" t="s">
        <v>13</v>
      </c>
      <c r="H614" t="s">
        <v>36</v>
      </c>
      <c r="I614" t="s">
        <v>32</v>
      </c>
      <c r="J614">
        <v>14155</v>
      </c>
      <c r="K614" t="s">
        <v>2054</v>
      </c>
    </row>
    <row r="615" spans="1:11" x14ac:dyDescent="0.35">
      <c r="A615" t="s">
        <v>660</v>
      </c>
      <c r="B615" s="1">
        <v>45924</v>
      </c>
      <c r="C615" s="1">
        <v>45926</v>
      </c>
      <c r="D615" t="s">
        <v>39</v>
      </c>
      <c r="E615" t="s">
        <v>23</v>
      </c>
      <c r="F615">
        <v>873767</v>
      </c>
      <c r="G615" t="s">
        <v>26</v>
      </c>
      <c r="H615" t="s">
        <v>11</v>
      </c>
      <c r="I615" t="s">
        <v>18</v>
      </c>
      <c r="J615">
        <v>27445</v>
      </c>
      <c r="K615" t="s">
        <v>2054</v>
      </c>
    </row>
    <row r="616" spans="1:11" x14ac:dyDescent="0.35">
      <c r="A616" t="s">
        <v>661</v>
      </c>
      <c r="B616" s="1">
        <v>45833</v>
      </c>
      <c r="C616" s="1">
        <v>45836</v>
      </c>
      <c r="D616" t="s">
        <v>39</v>
      </c>
      <c r="E616" t="s">
        <v>12</v>
      </c>
      <c r="F616">
        <v>311950</v>
      </c>
      <c r="G616" t="s">
        <v>26</v>
      </c>
      <c r="H616" t="s">
        <v>35</v>
      </c>
      <c r="I616" t="s">
        <v>22</v>
      </c>
      <c r="J616">
        <v>24983</v>
      </c>
      <c r="K616" t="s">
        <v>2054</v>
      </c>
    </row>
    <row r="617" spans="1:11" x14ac:dyDescent="0.35">
      <c r="A617" t="s">
        <v>662</v>
      </c>
      <c r="B617" s="1">
        <v>45991</v>
      </c>
      <c r="C617" s="1">
        <v>45992</v>
      </c>
      <c r="D617" t="s">
        <v>8</v>
      </c>
      <c r="E617" t="s">
        <v>12</v>
      </c>
      <c r="F617">
        <v>645040</v>
      </c>
      <c r="G617" t="s">
        <v>26</v>
      </c>
      <c r="H617" t="s">
        <v>43</v>
      </c>
      <c r="I617" t="s">
        <v>25</v>
      </c>
      <c r="J617">
        <v>18632</v>
      </c>
      <c r="K617" t="s">
        <v>2054</v>
      </c>
    </row>
    <row r="618" spans="1:11" x14ac:dyDescent="0.35">
      <c r="A618" t="s">
        <v>663</v>
      </c>
      <c r="B618" s="1">
        <v>45870</v>
      </c>
      <c r="C618" s="1">
        <v>45875</v>
      </c>
      <c r="D618" t="s">
        <v>39</v>
      </c>
      <c r="E618" t="s">
        <v>23</v>
      </c>
      <c r="F618">
        <v>912905</v>
      </c>
      <c r="G618" t="s">
        <v>26</v>
      </c>
      <c r="H618" t="s">
        <v>31</v>
      </c>
      <c r="I618" t="s">
        <v>11</v>
      </c>
      <c r="J618">
        <v>25513</v>
      </c>
      <c r="K618" t="s">
        <v>2050</v>
      </c>
    </row>
    <row r="619" spans="1:11" x14ac:dyDescent="0.35">
      <c r="A619" t="s">
        <v>664</v>
      </c>
      <c r="B619" s="1">
        <v>45723</v>
      </c>
      <c r="C619" s="1">
        <v>45724</v>
      </c>
      <c r="D619" t="s">
        <v>19</v>
      </c>
      <c r="E619" t="s">
        <v>38</v>
      </c>
      <c r="F619">
        <v>663504</v>
      </c>
      <c r="G619" t="s">
        <v>28</v>
      </c>
      <c r="H619" t="s">
        <v>21</v>
      </c>
      <c r="I619" t="s">
        <v>41</v>
      </c>
      <c r="J619">
        <v>14323</v>
      </c>
      <c r="K619" t="s">
        <v>2051</v>
      </c>
    </row>
    <row r="620" spans="1:11" x14ac:dyDescent="0.35">
      <c r="A620" t="s">
        <v>665</v>
      </c>
      <c r="B620" s="1">
        <v>45909</v>
      </c>
      <c r="C620" s="1">
        <v>45911</v>
      </c>
      <c r="D620" t="s">
        <v>40</v>
      </c>
      <c r="E620" t="s">
        <v>33</v>
      </c>
      <c r="F620">
        <v>430343</v>
      </c>
      <c r="G620" t="s">
        <v>17</v>
      </c>
      <c r="H620" t="s">
        <v>15</v>
      </c>
      <c r="I620" t="s">
        <v>10</v>
      </c>
      <c r="J620">
        <v>14458</v>
      </c>
      <c r="K620" t="s">
        <v>2053</v>
      </c>
    </row>
    <row r="621" spans="1:11" x14ac:dyDescent="0.35">
      <c r="A621" t="s">
        <v>666</v>
      </c>
      <c r="B621" s="1">
        <v>45658</v>
      </c>
      <c r="C621" s="1">
        <v>45662</v>
      </c>
      <c r="D621" t="s">
        <v>40</v>
      </c>
      <c r="E621" t="s">
        <v>27</v>
      </c>
      <c r="F621">
        <v>781775</v>
      </c>
      <c r="G621" t="s">
        <v>17</v>
      </c>
      <c r="H621" t="s">
        <v>21</v>
      </c>
      <c r="I621" t="s">
        <v>15</v>
      </c>
      <c r="J621">
        <v>13580</v>
      </c>
      <c r="K621" t="s">
        <v>2052</v>
      </c>
    </row>
    <row r="622" spans="1:11" x14ac:dyDescent="0.35">
      <c r="A622" t="s">
        <v>667</v>
      </c>
      <c r="B622" s="1">
        <v>45843</v>
      </c>
      <c r="C622" s="1">
        <v>45848</v>
      </c>
      <c r="D622" t="s">
        <v>39</v>
      </c>
      <c r="E622" t="s">
        <v>23</v>
      </c>
      <c r="F622">
        <v>845263</v>
      </c>
      <c r="G622" t="s">
        <v>13</v>
      </c>
      <c r="H622" t="s">
        <v>42</v>
      </c>
      <c r="I622" t="s">
        <v>31</v>
      </c>
      <c r="J622">
        <v>26916</v>
      </c>
      <c r="K622" t="s">
        <v>2053</v>
      </c>
    </row>
    <row r="623" spans="1:11" x14ac:dyDescent="0.35">
      <c r="A623" t="s">
        <v>668</v>
      </c>
      <c r="B623" s="1">
        <v>45889</v>
      </c>
      <c r="C623" s="1">
        <v>45893</v>
      </c>
      <c r="D623" t="s">
        <v>8</v>
      </c>
      <c r="E623" t="s">
        <v>27</v>
      </c>
      <c r="F623">
        <v>588788</v>
      </c>
      <c r="G623" t="s">
        <v>17</v>
      </c>
      <c r="H623" t="s">
        <v>36</v>
      </c>
      <c r="I623" t="s">
        <v>34</v>
      </c>
      <c r="J623">
        <v>19758</v>
      </c>
      <c r="K623" t="s">
        <v>2050</v>
      </c>
    </row>
    <row r="624" spans="1:11" x14ac:dyDescent="0.35">
      <c r="A624" t="s">
        <v>669</v>
      </c>
      <c r="B624" s="1">
        <v>45981</v>
      </c>
      <c r="C624" s="1">
        <v>45986</v>
      </c>
      <c r="D624" t="s">
        <v>39</v>
      </c>
      <c r="E624" t="s">
        <v>23</v>
      </c>
      <c r="F624">
        <v>235258</v>
      </c>
      <c r="G624" t="s">
        <v>9</v>
      </c>
      <c r="H624" t="s">
        <v>31</v>
      </c>
      <c r="I624" t="s">
        <v>11</v>
      </c>
      <c r="J624">
        <v>26136</v>
      </c>
      <c r="K624" t="s">
        <v>2051</v>
      </c>
    </row>
    <row r="625" spans="1:11" x14ac:dyDescent="0.35">
      <c r="A625" t="s">
        <v>670</v>
      </c>
      <c r="B625" s="1">
        <v>45967</v>
      </c>
      <c r="C625" s="1">
        <v>45969</v>
      </c>
      <c r="D625" t="s">
        <v>40</v>
      </c>
      <c r="E625" t="s">
        <v>23</v>
      </c>
      <c r="F625">
        <v>250163</v>
      </c>
      <c r="G625" t="s">
        <v>17</v>
      </c>
      <c r="H625" t="s">
        <v>32</v>
      </c>
      <c r="I625" t="s">
        <v>32</v>
      </c>
      <c r="J625">
        <v>15035</v>
      </c>
      <c r="K625" t="s">
        <v>2052</v>
      </c>
    </row>
    <row r="626" spans="1:11" x14ac:dyDescent="0.35">
      <c r="A626" t="s">
        <v>671</v>
      </c>
      <c r="B626" s="1">
        <v>45915</v>
      </c>
      <c r="C626" s="1">
        <v>45917</v>
      </c>
      <c r="D626" t="s">
        <v>19</v>
      </c>
      <c r="E626" t="s">
        <v>20</v>
      </c>
      <c r="F626">
        <v>707673</v>
      </c>
      <c r="G626" t="s">
        <v>26</v>
      </c>
      <c r="H626" t="s">
        <v>15</v>
      </c>
      <c r="I626" t="s">
        <v>45</v>
      </c>
      <c r="J626">
        <v>16771</v>
      </c>
      <c r="K626" t="s">
        <v>2053</v>
      </c>
    </row>
    <row r="627" spans="1:11" x14ac:dyDescent="0.35">
      <c r="A627" t="s">
        <v>672</v>
      </c>
      <c r="B627" s="1">
        <v>45795</v>
      </c>
      <c r="C627" s="1">
        <v>45799</v>
      </c>
      <c r="D627" t="s">
        <v>40</v>
      </c>
      <c r="E627" t="s">
        <v>23</v>
      </c>
      <c r="F627">
        <v>310593</v>
      </c>
      <c r="G627" t="s">
        <v>17</v>
      </c>
      <c r="H627" t="s">
        <v>42</v>
      </c>
      <c r="I627" t="s">
        <v>22</v>
      </c>
      <c r="J627">
        <v>15572</v>
      </c>
      <c r="K627" t="s">
        <v>2054</v>
      </c>
    </row>
    <row r="628" spans="1:11" x14ac:dyDescent="0.35">
      <c r="A628" t="s">
        <v>673</v>
      </c>
      <c r="B628" s="1">
        <v>45734</v>
      </c>
      <c r="C628" s="1">
        <v>45735</v>
      </c>
      <c r="D628" t="s">
        <v>8</v>
      </c>
      <c r="E628" t="s">
        <v>27</v>
      </c>
      <c r="F628">
        <v>667660</v>
      </c>
      <c r="G628" t="s">
        <v>28</v>
      </c>
      <c r="H628" t="s">
        <v>25</v>
      </c>
      <c r="I628" t="s">
        <v>44</v>
      </c>
      <c r="J628">
        <v>18776</v>
      </c>
      <c r="K628" t="s">
        <v>2053</v>
      </c>
    </row>
    <row r="629" spans="1:11" x14ac:dyDescent="0.35">
      <c r="A629" t="s">
        <v>674</v>
      </c>
      <c r="B629" s="1">
        <v>45763</v>
      </c>
      <c r="C629" s="1">
        <v>45766</v>
      </c>
      <c r="D629" t="s">
        <v>19</v>
      </c>
      <c r="E629" t="s">
        <v>30</v>
      </c>
      <c r="F629">
        <v>677852</v>
      </c>
      <c r="G629" t="s">
        <v>17</v>
      </c>
      <c r="H629" t="s">
        <v>15</v>
      </c>
      <c r="I629" t="s">
        <v>32</v>
      </c>
      <c r="J629">
        <v>15711</v>
      </c>
      <c r="K629" t="s">
        <v>2053</v>
      </c>
    </row>
    <row r="630" spans="1:11" x14ac:dyDescent="0.35">
      <c r="A630" t="s">
        <v>675</v>
      </c>
      <c r="B630" s="1">
        <v>45805</v>
      </c>
      <c r="C630" s="1">
        <v>45810</v>
      </c>
      <c r="D630" t="s">
        <v>8</v>
      </c>
      <c r="E630" t="s">
        <v>30</v>
      </c>
      <c r="F630">
        <v>241584</v>
      </c>
      <c r="G630" t="s">
        <v>17</v>
      </c>
      <c r="H630" t="s">
        <v>11</v>
      </c>
      <c r="I630" t="s">
        <v>10</v>
      </c>
      <c r="J630">
        <v>19979</v>
      </c>
      <c r="K630" t="s">
        <v>2054</v>
      </c>
    </row>
    <row r="631" spans="1:11" x14ac:dyDescent="0.35">
      <c r="A631" t="s">
        <v>676</v>
      </c>
      <c r="B631" s="1">
        <v>45753</v>
      </c>
      <c r="C631" s="1">
        <v>45755</v>
      </c>
      <c r="D631" t="s">
        <v>40</v>
      </c>
      <c r="E631" t="s">
        <v>20</v>
      </c>
      <c r="F631">
        <v>818352</v>
      </c>
      <c r="G631" t="s">
        <v>26</v>
      </c>
      <c r="H631" t="s">
        <v>35</v>
      </c>
      <c r="I631" t="s">
        <v>42</v>
      </c>
      <c r="J631">
        <v>14637</v>
      </c>
      <c r="K631" t="s">
        <v>2050</v>
      </c>
    </row>
    <row r="632" spans="1:11" x14ac:dyDescent="0.35">
      <c r="A632" t="s">
        <v>677</v>
      </c>
      <c r="B632" s="1">
        <v>45929</v>
      </c>
      <c r="C632" s="1">
        <v>45933</v>
      </c>
      <c r="D632" t="s">
        <v>40</v>
      </c>
      <c r="E632" t="s">
        <v>33</v>
      </c>
      <c r="F632">
        <v>504284</v>
      </c>
      <c r="G632" t="s">
        <v>26</v>
      </c>
      <c r="H632" t="s">
        <v>11</v>
      </c>
      <c r="I632" t="s">
        <v>22</v>
      </c>
      <c r="J632">
        <v>14995</v>
      </c>
      <c r="K632" t="s">
        <v>2050</v>
      </c>
    </row>
    <row r="633" spans="1:11" x14ac:dyDescent="0.35">
      <c r="A633" t="s">
        <v>678</v>
      </c>
      <c r="B633" s="1">
        <v>45744</v>
      </c>
      <c r="C633" s="1">
        <v>45749</v>
      </c>
      <c r="D633" t="s">
        <v>19</v>
      </c>
      <c r="E633" t="s">
        <v>38</v>
      </c>
      <c r="F633">
        <v>139353</v>
      </c>
      <c r="G633" t="s">
        <v>17</v>
      </c>
      <c r="H633" t="s">
        <v>15</v>
      </c>
      <c r="I633" t="s">
        <v>34</v>
      </c>
      <c r="J633">
        <v>14781</v>
      </c>
      <c r="K633" t="s">
        <v>2050</v>
      </c>
    </row>
    <row r="634" spans="1:11" x14ac:dyDescent="0.35">
      <c r="A634" t="s">
        <v>679</v>
      </c>
      <c r="B634" s="1">
        <v>45919</v>
      </c>
      <c r="C634" s="1">
        <v>45922</v>
      </c>
      <c r="D634" t="s">
        <v>19</v>
      </c>
      <c r="E634" t="s">
        <v>27</v>
      </c>
      <c r="F634">
        <v>689623</v>
      </c>
      <c r="G634" t="s">
        <v>17</v>
      </c>
      <c r="H634" t="s">
        <v>22</v>
      </c>
      <c r="I634" t="s">
        <v>14</v>
      </c>
      <c r="J634">
        <v>15869</v>
      </c>
      <c r="K634" t="s">
        <v>2052</v>
      </c>
    </row>
    <row r="635" spans="1:11" x14ac:dyDescent="0.35">
      <c r="A635" t="s">
        <v>680</v>
      </c>
      <c r="B635" s="1">
        <v>45672</v>
      </c>
      <c r="C635" s="1">
        <v>45674</v>
      </c>
      <c r="D635" t="s">
        <v>19</v>
      </c>
      <c r="E635" t="s">
        <v>38</v>
      </c>
      <c r="F635">
        <v>422412</v>
      </c>
      <c r="G635" t="s">
        <v>17</v>
      </c>
      <c r="H635" t="s">
        <v>29</v>
      </c>
      <c r="I635" t="s">
        <v>45</v>
      </c>
      <c r="J635">
        <v>14797</v>
      </c>
      <c r="K635" t="s">
        <v>2053</v>
      </c>
    </row>
    <row r="636" spans="1:11" x14ac:dyDescent="0.35">
      <c r="A636" t="s">
        <v>681</v>
      </c>
      <c r="B636" s="1">
        <v>45705</v>
      </c>
      <c r="C636" s="1">
        <v>45706</v>
      </c>
      <c r="D636" t="s">
        <v>40</v>
      </c>
      <c r="E636" t="s">
        <v>30</v>
      </c>
      <c r="F636">
        <v>321518</v>
      </c>
      <c r="G636" t="s">
        <v>13</v>
      </c>
      <c r="H636" t="s">
        <v>22</v>
      </c>
      <c r="I636" t="s">
        <v>14</v>
      </c>
      <c r="J636">
        <v>14362</v>
      </c>
      <c r="K636" t="s">
        <v>2052</v>
      </c>
    </row>
    <row r="637" spans="1:11" x14ac:dyDescent="0.35">
      <c r="A637" t="s">
        <v>682</v>
      </c>
      <c r="B637" s="1">
        <v>45855</v>
      </c>
      <c r="C637" s="1">
        <v>45858</v>
      </c>
      <c r="D637" t="s">
        <v>8</v>
      </c>
      <c r="E637" t="s">
        <v>38</v>
      </c>
      <c r="F637">
        <v>825947</v>
      </c>
      <c r="G637" t="s">
        <v>28</v>
      </c>
      <c r="H637" t="s">
        <v>25</v>
      </c>
      <c r="I637" t="s">
        <v>42</v>
      </c>
      <c r="J637">
        <v>17935</v>
      </c>
      <c r="K637" t="s">
        <v>2053</v>
      </c>
    </row>
    <row r="638" spans="1:11" x14ac:dyDescent="0.35">
      <c r="A638" t="s">
        <v>683</v>
      </c>
      <c r="B638" s="1">
        <v>46007</v>
      </c>
      <c r="C638" s="1">
        <v>46009</v>
      </c>
      <c r="D638" t="s">
        <v>8</v>
      </c>
      <c r="E638" t="s">
        <v>12</v>
      </c>
      <c r="F638">
        <v>105981</v>
      </c>
      <c r="G638" t="s">
        <v>13</v>
      </c>
      <c r="H638" t="s">
        <v>32</v>
      </c>
      <c r="I638" t="s">
        <v>18</v>
      </c>
      <c r="J638">
        <v>17628</v>
      </c>
      <c r="K638" t="s">
        <v>2054</v>
      </c>
    </row>
    <row r="639" spans="1:11" x14ac:dyDescent="0.35">
      <c r="A639" t="s">
        <v>684</v>
      </c>
      <c r="B639" s="1">
        <v>45993</v>
      </c>
      <c r="C639" s="1">
        <v>45994</v>
      </c>
      <c r="D639" t="s">
        <v>8</v>
      </c>
      <c r="E639" t="s">
        <v>38</v>
      </c>
      <c r="F639">
        <v>324401</v>
      </c>
      <c r="G639" t="s">
        <v>17</v>
      </c>
      <c r="H639" t="s">
        <v>34</v>
      </c>
      <c r="I639" t="s">
        <v>45</v>
      </c>
      <c r="J639">
        <v>18861</v>
      </c>
      <c r="K639" t="s">
        <v>2054</v>
      </c>
    </row>
    <row r="640" spans="1:11" x14ac:dyDescent="0.35">
      <c r="A640" t="s">
        <v>685</v>
      </c>
      <c r="B640" s="1">
        <v>45900</v>
      </c>
      <c r="C640" s="1">
        <v>45902</v>
      </c>
      <c r="D640" t="s">
        <v>39</v>
      </c>
      <c r="E640" t="s">
        <v>12</v>
      </c>
      <c r="F640">
        <v>167793</v>
      </c>
      <c r="G640" t="s">
        <v>26</v>
      </c>
      <c r="H640" t="s">
        <v>41</v>
      </c>
      <c r="I640" t="s">
        <v>22</v>
      </c>
      <c r="J640">
        <v>23571</v>
      </c>
      <c r="K640" t="s">
        <v>2054</v>
      </c>
    </row>
    <row r="641" spans="1:11" x14ac:dyDescent="0.35">
      <c r="A641" t="s">
        <v>686</v>
      </c>
      <c r="B641" s="1">
        <v>45683</v>
      </c>
      <c r="C641" s="1">
        <v>45688</v>
      </c>
      <c r="D641" t="s">
        <v>39</v>
      </c>
      <c r="E641" t="s">
        <v>12</v>
      </c>
      <c r="F641">
        <v>660304</v>
      </c>
      <c r="G641" t="s">
        <v>28</v>
      </c>
      <c r="H641" t="s">
        <v>45</v>
      </c>
      <c r="I641" t="s">
        <v>14</v>
      </c>
      <c r="J641">
        <v>24134</v>
      </c>
      <c r="K641" t="s">
        <v>2054</v>
      </c>
    </row>
    <row r="642" spans="1:11" x14ac:dyDescent="0.35">
      <c r="A642" t="s">
        <v>687</v>
      </c>
      <c r="B642" s="1">
        <v>45695</v>
      </c>
      <c r="C642" s="1">
        <v>45696</v>
      </c>
      <c r="D642" t="s">
        <v>39</v>
      </c>
      <c r="E642" t="s">
        <v>30</v>
      </c>
      <c r="F642">
        <v>115458</v>
      </c>
      <c r="G642" t="s">
        <v>17</v>
      </c>
      <c r="H642" t="s">
        <v>10</v>
      </c>
      <c r="I642" t="s">
        <v>29</v>
      </c>
      <c r="J642">
        <v>25047</v>
      </c>
      <c r="K642" t="s">
        <v>2052</v>
      </c>
    </row>
    <row r="643" spans="1:11" x14ac:dyDescent="0.35">
      <c r="A643" t="s">
        <v>688</v>
      </c>
      <c r="B643" s="1">
        <v>45708</v>
      </c>
      <c r="C643" s="1">
        <v>45709</v>
      </c>
      <c r="D643" t="s">
        <v>19</v>
      </c>
      <c r="E643" t="s">
        <v>33</v>
      </c>
      <c r="F643">
        <v>168726</v>
      </c>
      <c r="G643" t="s">
        <v>28</v>
      </c>
      <c r="H643" t="s">
        <v>41</v>
      </c>
      <c r="I643" t="s">
        <v>18</v>
      </c>
      <c r="J643">
        <v>17226</v>
      </c>
      <c r="K643" t="s">
        <v>2052</v>
      </c>
    </row>
    <row r="644" spans="1:11" x14ac:dyDescent="0.35">
      <c r="A644" t="s">
        <v>689</v>
      </c>
      <c r="B644" s="1">
        <v>45705</v>
      </c>
      <c r="C644" s="1">
        <v>45706</v>
      </c>
      <c r="D644" t="s">
        <v>39</v>
      </c>
      <c r="E644" t="s">
        <v>38</v>
      </c>
      <c r="F644">
        <v>211290</v>
      </c>
      <c r="G644" t="s">
        <v>13</v>
      </c>
      <c r="H644" t="s">
        <v>34</v>
      </c>
      <c r="I644" t="s">
        <v>21</v>
      </c>
      <c r="J644">
        <v>23629</v>
      </c>
      <c r="K644" t="s">
        <v>2052</v>
      </c>
    </row>
    <row r="645" spans="1:11" x14ac:dyDescent="0.35">
      <c r="A645" t="s">
        <v>690</v>
      </c>
      <c r="B645" s="1">
        <v>45881</v>
      </c>
      <c r="C645" s="1">
        <v>45885</v>
      </c>
      <c r="D645" t="s">
        <v>8</v>
      </c>
      <c r="E645" t="s">
        <v>30</v>
      </c>
      <c r="F645">
        <v>928049</v>
      </c>
      <c r="G645" t="s">
        <v>28</v>
      </c>
      <c r="H645" t="s">
        <v>43</v>
      </c>
      <c r="I645" t="s">
        <v>43</v>
      </c>
      <c r="J645">
        <v>19047</v>
      </c>
      <c r="K645" t="s">
        <v>2053</v>
      </c>
    </row>
    <row r="646" spans="1:11" x14ac:dyDescent="0.35">
      <c r="A646" t="s">
        <v>691</v>
      </c>
      <c r="B646" s="1">
        <v>45894</v>
      </c>
      <c r="C646" s="1">
        <v>45897</v>
      </c>
      <c r="D646" t="s">
        <v>39</v>
      </c>
      <c r="E646" t="s">
        <v>30</v>
      </c>
      <c r="F646">
        <v>927562</v>
      </c>
      <c r="G646" t="s">
        <v>26</v>
      </c>
      <c r="H646" t="s">
        <v>14</v>
      </c>
      <c r="I646" t="s">
        <v>14</v>
      </c>
      <c r="J646">
        <v>24650</v>
      </c>
      <c r="K646" t="s">
        <v>2053</v>
      </c>
    </row>
    <row r="647" spans="1:11" x14ac:dyDescent="0.35">
      <c r="A647" t="s">
        <v>692</v>
      </c>
      <c r="B647" s="1">
        <v>46008</v>
      </c>
      <c r="C647" s="1">
        <v>46012</v>
      </c>
      <c r="D647" t="s">
        <v>39</v>
      </c>
      <c r="E647" t="s">
        <v>27</v>
      </c>
      <c r="F647">
        <v>163500</v>
      </c>
      <c r="G647" t="s">
        <v>28</v>
      </c>
      <c r="H647" t="s">
        <v>36</v>
      </c>
      <c r="I647" t="s">
        <v>22</v>
      </c>
      <c r="J647">
        <v>25135</v>
      </c>
      <c r="K647" t="s">
        <v>2053</v>
      </c>
    </row>
    <row r="648" spans="1:11" x14ac:dyDescent="0.35">
      <c r="A648" t="s">
        <v>693</v>
      </c>
      <c r="B648" s="1">
        <v>45825</v>
      </c>
      <c r="C648" s="1">
        <v>45827</v>
      </c>
      <c r="D648" t="s">
        <v>19</v>
      </c>
      <c r="E648" t="s">
        <v>33</v>
      </c>
      <c r="F648">
        <v>484101</v>
      </c>
      <c r="G648" t="s">
        <v>9</v>
      </c>
      <c r="H648" t="s">
        <v>44</v>
      </c>
      <c r="I648" t="s">
        <v>10</v>
      </c>
      <c r="J648">
        <v>16574</v>
      </c>
      <c r="K648" t="s">
        <v>2050</v>
      </c>
    </row>
    <row r="649" spans="1:11" x14ac:dyDescent="0.35">
      <c r="A649" t="s">
        <v>694</v>
      </c>
      <c r="B649" s="1">
        <v>45705</v>
      </c>
      <c r="C649" s="1">
        <v>45709</v>
      </c>
      <c r="D649" t="s">
        <v>19</v>
      </c>
      <c r="E649" t="s">
        <v>30</v>
      </c>
      <c r="F649">
        <v>838340</v>
      </c>
      <c r="G649" t="s">
        <v>26</v>
      </c>
      <c r="H649" t="s">
        <v>25</v>
      </c>
      <c r="I649" t="s">
        <v>15</v>
      </c>
      <c r="J649">
        <v>16446</v>
      </c>
      <c r="K649" t="s">
        <v>2050</v>
      </c>
    </row>
    <row r="650" spans="1:11" x14ac:dyDescent="0.35">
      <c r="A650" t="s">
        <v>695</v>
      </c>
      <c r="B650" s="1">
        <v>45975</v>
      </c>
      <c r="C650" s="1">
        <v>45979</v>
      </c>
      <c r="D650" t="s">
        <v>8</v>
      </c>
      <c r="E650" t="s">
        <v>12</v>
      </c>
      <c r="F650">
        <v>227923</v>
      </c>
      <c r="G650" t="s">
        <v>26</v>
      </c>
      <c r="H650" t="s">
        <v>25</v>
      </c>
      <c r="I650" t="s">
        <v>44</v>
      </c>
      <c r="J650">
        <v>18203</v>
      </c>
      <c r="K650" t="s">
        <v>2050</v>
      </c>
    </row>
    <row r="651" spans="1:11" x14ac:dyDescent="0.35">
      <c r="A651" t="s">
        <v>696</v>
      </c>
      <c r="B651" s="1">
        <v>45858</v>
      </c>
      <c r="C651" s="1">
        <v>45859</v>
      </c>
      <c r="D651" t="s">
        <v>19</v>
      </c>
      <c r="E651" t="s">
        <v>38</v>
      </c>
      <c r="F651">
        <v>929265</v>
      </c>
      <c r="G651" t="s">
        <v>17</v>
      </c>
      <c r="H651" t="s">
        <v>10</v>
      </c>
      <c r="I651" t="s">
        <v>24</v>
      </c>
      <c r="J651">
        <v>14874</v>
      </c>
      <c r="K651" t="s">
        <v>2050</v>
      </c>
    </row>
    <row r="652" spans="1:11" x14ac:dyDescent="0.35">
      <c r="A652" t="s">
        <v>697</v>
      </c>
      <c r="B652" s="1">
        <v>45933</v>
      </c>
      <c r="C652" s="1">
        <v>45936</v>
      </c>
      <c r="D652" t="s">
        <v>40</v>
      </c>
      <c r="E652" t="s">
        <v>33</v>
      </c>
      <c r="F652">
        <v>974425</v>
      </c>
      <c r="G652" t="s">
        <v>13</v>
      </c>
      <c r="H652" t="s">
        <v>42</v>
      </c>
      <c r="I652" t="s">
        <v>25</v>
      </c>
      <c r="J652">
        <v>14685</v>
      </c>
      <c r="K652" t="s">
        <v>2050</v>
      </c>
    </row>
    <row r="653" spans="1:11" x14ac:dyDescent="0.35">
      <c r="A653" t="s">
        <v>698</v>
      </c>
      <c r="B653" s="1">
        <v>45775</v>
      </c>
      <c r="C653" s="1">
        <v>45779</v>
      </c>
      <c r="D653" t="s">
        <v>40</v>
      </c>
      <c r="E653" t="s">
        <v>38</v>
      </c>
      <c r="F653">
        <v>851026</v>
      </c>
      <c r="G653" t="s">
        <v>9</v>
      </c>
      <c r="H653" t="s">
        <v>41</v>
      </c>
      <c r="I653" t="s">
        <v>41</v>
      </c>
      <c r="J653">
        <v>13019</v>
      </c>
      <c r="K653" t="s">
        <v>2051</v>
      </c>
    </row>
    <row r="654" spans="1:11" x14ac:dyDescent="0.35">
      <c r="A654" t="s">
        <v>699</v>
      </c>
      <c r="B654" s="1">
        <v>45980</v>
      </c>
      <c r="C654" s="1">
        <v>45982</v>
      </c>
      <c r="D654" t="s">
        <v>40</v>
      </c>
      <c r="E654" t="s">
        <v>33</v>
      </c>
      <c r="F654">
        <v>249915</v>
      </c>
      <c r="G654" t="s">
        <v>26</v>
      </c>
      <c r="H654" t="s">
        <v>31</v>
      </c>
      <c r="I654" t="s">
        <v>32</v>
      </c>
      <c r="J654">
        <v>14382</v>
      </c>
      <c r="K654" t="s">
        <v>2052</v>
      </c>
    </row>
    <row r="655" spans="1:11" x14ac:dyDescent="0.35">
      <c r="A655" t="s">
        <v>700</v>
      </c>
      <c r="B655" s="1">
        <v>45707</v>
      </c>
      <c r="C655" s="1">
        <v>45710</v>
      </c>
      <c r="D655" t="s">
        <v>39</v>
      </c>
      <c r="E655" t="s">
        <v>38</v>
      </c>
      <c r="F655">
        <v>395576</v>
      </c>
      <c r="G655" t="s">
        <v>9</v>
      </c>
      <c r="H655" t="s">
        <v>36</v>
      </c>
      <c r="I655" t="s">
        <v>24</v>
      </c>
      <c r="J655">
        <v>24159</v>
      </c>
      <c r="K655" t="s">
        <v>2053</v>
      </c>
    </row>
    <row r="656" spans="1:11" x14ac:dyDescent="0.35">
      <c r="A656" t="s">
        <v>701</v>
      </c>
      <c r="B656" s="1">
        <v>45664</v>
      </c>
      <c r="C656" s="1">
        <v>45665</v>
      </c>
      <c r="D656" t="s">
        <v>39</v>
      </c>
      <c r="E656" t="s">
        <v>16</v>
      </c>
      <c r="F656">
        <v>313597</v>
      </c>
      <c r="G656" t="s">
        <v>17</v>
      </c>
      <c r="H656" t="s">
        <v>36</v>
      </c>
      <c r="I656" t="s">
        <v>31</v>
      </c>
      <c r="J656">
        <v>25685</v>
      </c>
      <c r="K656" t="s">
        <v>2054</v>
      </c>
    </row>
    <row r="657" spans="1:11" x14ac:dyDescent="0.35">
      <c r="A657" t="s">
        <v>702</v>
      </c>
      <c r="B657" s="1">
        <v>45874</v>
      </c>
      <c r="C657" s="1">
        <v>45875</v>
      </c>
      <c r="D657" t="s">
        <v>8</v>
      </c>
      <c r="E657" t="s">
        <v>30</v>
      </c>
      <c r="F657">
        <v>926936</v>
      </c>
      <c r="G657" t="s">
        <v>13</v>
      </c>
      <c r="H657" t="s">
        <v>14</v>
      </c>
      <c r="I657" t="s">
        <v>42</v>
      </c>
      <c r="J657">
        <v>18861</v>
      </c>
      <c r="K657" t="s">
        <v>2053</v>
      </c>
    </row>
    <row r="658" spans="1:11" x14ac:dyDescent="0.35">
      <c r="A658" t="s">
        <v>703</v>
      </c>
      <c r="B658" s="1">
        <v>45964</v>
      </c>
      <c r="C658" s="1">
        <v>45966</v>
      </c>
      <c r="D658" t="s">
        <v>39</v>
      </c>
      <c r="E658" t="s">
        <v>12</v>
      </c>
      <c r="F658">
        <v>141823</v>
      </c>
      <c r="G658" t="s">
        <v>26</v>
      </c>
      <c r="H658" t="s">
        <v>10</v>
      </c>
      <c r="I658" t="s">
        <v>15</v>
      </c>
      <c r="J658">
        <v>23501</v>
      </c>
      <c r="K658" t="s">
        <v>2050</v>
      </c>
    </row>
    <row r="659" spans="1:11" x14ac:dyDescent="0.35">
      <c r="A659" t="s">
        <v>704</v>
      </c>
      <c r="B659" s="1">
        <v>45896</v>
      </c>
      <c r="C659" s="1">
        <v>45900</v>
      </c>
      <c r="D659" t="s">
        <v>19</v>
      </c>
      <c r="E659" t="s">
        <v>20</v>
      </c>
      <c r="F659">
        <v>408787</v>
      </c>
      <c r="G659" t="s">
        <v>9</v>
      </c>
      <c r="H659" t="s">
        <v>29</v>
      </c>
      <c r="I659" t="s">
        <v>22</v>
      </c>
      <c r="J659">
        <v>17024</v>
      </c>
      <c r="K659" t="s">
        <v>2051</v>
      </c>
    </row>
    <row r="660" spans="1:11" x14ac:dyDescent="0.35">
      <c r="A660" t="s">
        <v>705</v>
      </c>
      <c r="B660" s="1">
        <v>45926</v>
      </c>
      <c r="C660" s="1">
        <v>45930</v>
      </c>
      <c r="D660" t="s">
        <v>40</v>
      </c>
      <c r="E660" t="s">
        <v>16</v>
      </c>
      <c r="F660">
        <v>462030</v>
      </c>
      <c r="G660" t="s">
        <v>28</v>
      </c>
      <c r="H660" t="s">
        <v>15</v>
      </c>
      <c r="I660" t="s">
        <v>35</v>
      </c>
      <c r="J660">
        <v>13222</v>
      </c>
      <c r="K660" t="s">
        <v>2052</v>
      </c>
    </row>
    <row r="661" spans="1:11" x14ac:dyDescent="0.35">
      <c r="A661" t="s">
        <v>706</v>
      </c>
      <c r="B661" s="1">
        <v>45929</v>
      </c>
      <c r="C661" s="1">
        <v>45934</v>
      </c>
      <c r="D661" t="s">
        <v>39</v>
      </c>
      <c r="E661" t="s">
        <v>38</v>
      </c>
      <c r="F661">
        <v>617169</v>
      </c>
      <c r="G661" t="s">
        <v>28</v>
      </c>
      <c r="H661" t="s">
        <v>36</v>
      </c>
      <c r="I661" t="s">
        <v>15</v>
      </c>
      <c r="J661">
        <v>23729</v>
      </c>
      <c r="K661" t="s">
        <v>2053</v>
      </c>
    </row>
    <row r="662" spans="1:11" x14ac:dyDescent="0.35">
      <c r="A662" t="s">
        <v>707</v>
      </c>
      <c r="B662" s="1">
        <v>45674</v>
      </c>
      <c r="C662" s="1">
        <v>45678</v>
      </c>
      <c r="D662" t="s">
        <v>39</v>
      </c>
      <c r="E662" t="s">
        <v>16</v>
      </c>
      <c r="F662">
        <v>115395</v>
      </c>
      <c r="G662" t="s">
        <v>26</v>
      </c>
      <c r="H662" t="s">
        <v>35</v>
      </c>
      <c r="I662" t="s">
        <v>43</v>
      </c>
      <c r="J662">
        <v>25416</v>
      </c>
      <c r="K662" t="s">
        <v>2054</v>
      </c>
    </row>
    <row r="663" spans="1:11" x14ac:dyDescent="0.35">
      <c r="A663" t="s">
        <v>708</v>
      </c>
      <c r="B663" s="1">
        <v>45808</v>
      </c>
      <c r="C663" s="1">
        <v>45812</v>
      </c>
      <c r="D663" t="s">
        <v>39</v>
      </c>
      <c r="E663" t="s">
        <v>38</v>
      </c>
      <c r="F663">
        <v>679845</v>
      </c>
      <c r="G663" t="s">
        <v>17</v>
      </c>
      <c r="H663" t="s">
        <v>41</v>
      </c>
      <c r="I663" t="s">
        <v>43</v>
      </c>
      <c r="J663">
        <v>24462</v>
      </c>
      <c r="K663" t="s">
        <v>2053</v>
      </c>
    </row>
    <row r="664" spans="1:11" x14ac:dyDescent="0.35">
      <c r="A664" t="s">
        <v>709</v>
      </c>
      <c r="B664" s="1">
        <v>45685</v>
      </c>
      <c r="C664" s="1">
        <v>45686</v>
      </c>
      <c r="D664" t="s">
        <v>8</v>
      </c>
      <c r="E664" t="s">
        <v>30</v>
      </c>
      <c r="F664">
        <v>624681</v>
      </c>
      <c r="G664" t="s">
        <v>26</v>
      </c>
      <c r="H664" t="s">
        <v>36</v>
      </c>
      <c r="I664" t="s">
        <v>42</v>
      </c>
      <c r="J664">
        <v>19536</v>
      </c>
      <c r="K664" t="s">
        <v>2052</v>
      </c>
    </row>
    <row r="665" spans="1:11" x14ac:dyDescent="0.35">
      <c r="A665" t="s">
        <v>710</v>
      </c>
      <c r="B665" s="1">
        <v>45921</v>
      </c>
      <c r="C665" s="1">
        <v>45922</v>
      </c>
      <c r="D665" t="s">
        <v>8</v>
      </c>
      <c r="E665" t="s">
        <v>30</v>
      </c>
      <c r="F665">
        <v>511349</v>
      </c>
      <c r="G665" t="s">
        <v>26</v>
      </c>
      <c r="H665" t="s">
        <v>14</v>
      </c>
      <c r="I665" t="s">
        <v>21</v>
      </c>
      <c r="J665">
        <v>18958</v>
      </c>
      <c r="K665" t="s">
        <v>2052</v>
      </c>
    </row>
    <row r="666" spans="1:11" x14ac:dyDescent="0.35">
      <c r="A666" t="s">
        <v>711</v>
      </c>
      <c r="B666" s="1">
        <v>45978</v>
      </c>
      <c r="C666" s="1">
        <v>45981</v>
      </c>
      <c r="D666" t="s">
        <v>8</v>
      </c>
      <c r="E666" t="s">
        <v>20</v>
      </c>
      <c r="F666">
        <v>750060</v>
      </c>
      <c r="G666" t="s">
        <v>26</v>
      </c>
      <c r="H666" t="s">
        <v>34</v>
      </c>
      <c r="I666" t="s">
        <v>41</v>
      </c>
      <c r="J666">
        <v>20196</v>
      </c>
      <c r="K666" t="s">
        <v>2052</v>
      </c>
    </row>
    <row r="667" spans="1:11" x14ac:dyDescent="0.35">
      <c r="A667" t="s">
        <v>712</v>
      </c>
      <c r="B667" s="1">
        <v>45681</v>
      </c>
      <c r="C667" s="1">
        <v>45684</v>
      </c>
      <c r="D667" t="s">
        <v>8</v>
      </c>
      <c r="E667" t="s">
        <v>27</v>
      </c>
      <c r="F667">
        <v>411546</v>
      </c>
      <c r="G667" t="s">
        <v>17</v>
      </c>
      <c r="H667" t="s">
        <v>11</v>
      </c>
      <c r="I667" t="s">
        <v>36</v>
      </c>
      <c r="J667">
        <v>19281</v>
      </c>
      <c r="K667" t="s">
        <v>2053</v>
      </c>
    </row>
    <row r="668" spans="1:11" x14ac:dyDescent="0.35">
      <c r="A668" t="s">
        <v>713</v>
      </c>
      <c r="B668" s="1">
        <v>45919</v>
      </c>
      <c r="C668" s="1">
        <v>45921</v>
      </c>
      <c r="D668" t="s">
        <v>39</v>
      </c>
      <c r="E668" t="s">
        <v>27</v>
      </c>
      <c r="F668">
        <v>845643</v>
      </c>
      <c r="G668" t="s">
        <v>28</v>
      </c>
      <c r="H668" t="s">
        <v>24</v>
      </c>
      <c r="I668" t="s">
        <v>25</v>
      </c>
      <c r="J668">
        <v>25541</v>
      </c>
      <c r="K668" t="s">
        <v>2053</v>
      </c>
    </row>
    <row r="669" spans="1:11" x14ac:dyDescent="0.35">
      <c r="A669" t="s">
        <v>714</v>
      </c>
      <c r="B669" s="1">
        <v>45721</v>
      </c>
      <c r="C669" s="1">
        <v>45723</v>
      </c>
      <c r="D669" t="s">
        <v>39</v>
      </c>
      <c r="E669" t="s">
        <v>23</v>
      </c>
      <c r="F669">
        <v>907202</v>
      </c>
      <c r="G669" t="s">
        <v>28</v>
      </c>
      <c r="H669" t="s">
        <v>43</v>
      </c>
      <c r="I669" t="s">
        <v>32</v>
      </c>
      <c r="J669">
        <v>27151</v>
      </c>
      <c r="K669" t="s">
        <v>2053</v>
      </c>
    </row>
    <row r="670" spans="1:11" x14ac:dyDescent="0.35">
      <c r="A670" t="s">
        <v>715</v>
      </c>
      <c r="B670" s="1">
        <v>45935</v>
      </c>
      <c r="C670" s="1">
        <v>45940</v>
      </c>
      <c r="D670" t="s">
        <v>39</v>
      </c>
      <c r="E670" t="s">
        <v>38</v>
      </c>
      <c r="F670">
        <v>855602</v>
      </c>
      <c r="G670" t="s">
        <v>28</v>
      </c>
      <c r="H670" t="s">
        <v>31</v>
      </c>
      <c r="I670" t="s">
        <v>14</v>
      </c>
      <c r="J670">
        <v>24691</v>
      </c>
      <c r="K670" t="s">
        <v>2053</v>
      </c>
    </row>
    <row r="671" spans="1:11" x14ac:dyDescent="0.35">
      <c r="A671" t="s">
        <v>716</v>
      </c>
      <c r="B671" s="1">
        <v>46014</v>
      </c>
      <c r="C671" s="1">
        <v>46016</v>
      </c>
      <c r="D671" t="s">
        <v>19</v>
      </c>
      <c r="E671" t="s">
        <v>33</v>
      </c>
      <c r="F671">
        <v>721697</v>
      </c>
      <c r="G671" t="s">
        <v>13</v>
      </c>
      <c r="H671" t="s">
        <v>29</v>
      </c>
      <c r="I671" t="s">
        <v>43</v>
      </c>
      <c r="J671">
        <v>17899</v>
      </c>
      <c r="K671" t="s">
        <v>2050</v>
      </c>
    </row>
    <row r="672" spans="1:11" x14ac:dyDescent="0.35">
      <c r="A672" t="s">
        <v>717</v>
      </c>
      <c r="B672" s="1">
        <v>46020</v>
      </c>
      <c r="C672" s="1">
        <v>46021</v>
      </c>
      <c r="D672" t="s">
        <v>40</v>
      </c>
      <c r="E672" t="s">
        <v>20</v>
      </c>
      <c r="F672">
        <v>546884</v>
      </c>
      <c r="G672" t="s">
        <v>13</v>
      </c>
      <c r="H672" t="s">
        <v>34</v>
      </c>
      <c r="I672" t="s">
        <v>41</v>
      </c>
      <c r="J672">
        <v>15600</v>
      </c>
      <c r="K672" t="s">
        <v>2051</v>
      </c>
    </row>
    <row r="673" spans="1:11" x14ac:dyDescent="0.35">
      <c r="A673" t="s">
        <v>718</v>
      </c>
      <c r="B673" s="1">
        <v>45990</v>
      </c>
      <c r="C673" s="1">
        <v>45991</v>
      </c>
      <c r="D673" t="s">
        <v>19</v>
      </c>
      <c r="E673" t="s">
        <v>38</v>
      </c>
      <c r="F673">
        <v>218613</v>
      </c>
      <c r="G673" t="s">
        <v>28</v>
      </c>
      <c r="H673" t="s">
        <v>43</v>
      </c>
      <c r="I673" t="s">
        <v>21</v>
      </c>
      <c r="J673">
        <v>15166</v>
      </c>
      <c r="K673" t="s">
        <v>2052</v>
      </c>
    </row>
    <row r="674" spans="1:11" x14ac:dyDescent="0.35">
      <c r="A674" t="s">
        <v>719</v>
      </c>
      <c r="B674" s="1">
        <v>45897</v>
      </c>
      <c r="C674" s="1">
        <v>45898</v>
      </c>
      <c r="D674" t="s">
        <v>8</v>
      </c>
      <c r="E674" t="s">
        <v>23</v>
      </c>
      <c r="F674">
        <v>710627</v>
      </c>
      <c r="G674" t="s">
        <v>17</v>
      </c>
      <c r="H674" t="s">
        <v>10</v>
      </c>
      <c r="I674" t="s">
        <v>34</v>
      </c>
      <c r="J674">
        <v>20200</v>
      </c>
      <c r="K674" t="s">
        <v>2053</v>
      </c>
    </row>
    <row r="675" spans="1:11" x14ac:dyDescent="0.35">
      <c r="A675" t="s">
        <v>720</v>
      </c>
      <c r="B675" s="1">
        <v>45706</v>
      </c>
      <c r="C675" s="1">
        <v>45709</v>
      </c>
      <c r="D675" t="s">
        <v>39</v>
      </c>
      <c r="E675" t="s">
        <v>23</v>
      </c>
      <c r="F675">
        <v>813811</v>
      </c>
      <c r="G675" t="s">
        <v>26</v>
      </c>
      <c r="H675" t="s">
        <v>10</v>
      </c>
      <c r="I675" t="s">
        <v>10</v>
      </c>
      <c r="J675">
        <v>25506</v>
      </c>
      <c r="K675" t="s">
        <v>2054</v>
      </c>
    </row>
    <row r="676" spans="1:11" x14ac:dyDescent="0.35">
      <c r="A676" t="s">
        <v>721</v>
      </c>
      <c r="B676" s="1">
        <v>45711</v>
      </c>
      <c r="C676" s="1">
        <v>45714</v>
      </c>
      <c r="D676" t="s">
        <v>8</v>
      </c>
      <c r="E676" t="s">
        <v>30</v>
      </c>
      <c r="F676">
        <v>791670</v>
      </c>
      <c r="G676" t="s">
        <v>28</v>
      </c>
      <c r="H676" t="s">
        <v>18</v>
      </c>
      <c r="I676" t="s">
        <v>34</v>
      </c>
      <c r="J676">
        <v>20081</v>
      </c>
      <c r="K676" t="s">
        <v>2053</v>
      </c>
    </row>
    <row r="677" spans="1:11" x14ac:dyDescent="0.35">
      <c r="A677" t="s">
        <v>722</v>
      </c>
      <c r="B677" s="1">
        <v>45878</v>
      </c>
      <c r="C677" s="1">
        <v>45881</v>
      </c>
      <c r="D677" t="s">
        <v>8</v>
      </c>
      <c r="E677" t="s">
        <v>27</v>
      </c>
      <c r="F677">
        <v>370847</v>
      </c>
      <c r="G677" t="s">
        <v>26</v>
      </c>
      <c r="H677" t="s">
        <v>22</v>
      </c>
      <c r="I677" t="s">
        <v>41</v>
      </c>
      <c r="J677">
        <v>19618</v>
      </c>
      <c r="K677" t="s">
        <v>2050</v>
      </c>
    </row>
    <row r="678" spans="1:11" x14ac:dyDescent="0.35">
      <c r="A678" t="s">
        <v>723</v>
      </c>
      <c r="B678" s="1">
        <v>45947</v>
      </c>
      <c r="C678" s="1">
        <v>45949</v>
      </c>
      <c r="D678" t="s">
        <v>8</v>
      </c>
      <c r="E678" t="s">
        <v>30</v>
      </c>
      <c r="F678">
        <v>156825</v>
      </c>
      <c r="G678" t="s">
        <v>13</v>
      </c>
      <c r="H678" t="s">
        <v>15</v>
      </c>
      <c r="I678" t="s">
        <v>18</v>
      </c>
      <c r="J678">
        <v>18865</v>
      </c>
      <c r="K678" t="s">
        <v>2051</v>
      </c>
    </row>
    <row r="679" spans="1:11" x14ac:dyDescent="0.35">
      <c r="A679" t="s">
        <v>724</v>
      </c>
      <c r="B679" s="1">
        <v>45753</v>
      </c>
      <c r="C679" s="1">
        <v>45756</v>
      </c>
      <c r="D679" t="s">
        <v>8</v>
      </c>
      <c r="E679" t="s">
        <v>16</v>
      </c>
      <c r="F679">
        <v>135187</v>
      </c>
      <c r="G679" t="s">
        <v>28</v>
      </c>
      <c r="H679" t="s">
        <v>35</v>
      </c>
      <c r="I679" t="s">
        <v>18</v>
      </c>
      <c r="J679">
        <v>19313</v>
      </c>
      <c r="K679" t="s">
        <v>2052</v>
      </c>
    </row>
    <row r="680" spans="1:11" x14ac:dyDescent="0.35">
      <c r="A680" t="s">
        <v>725</v>
      </c>
      <c r="B680" s="1">
        <v>45665</v>
      </c>
      <c r="C680" s="1">
        <v>45666</v>
      </c>
      <c r="D680" t="s">
        <v>40</v>
      </c>
      <c r="E680" t="s">
        <v>12</v>
      </c>
      <c r="F680">
        <v>734435</v>
      </c>
      <c r="G680" t="s">
        <v>13</v>
      </c>
      <c r="H680" t="s">
        <v>22</v>
      </c>
      <c r="I680" t="s">
        <v>18</v>
      </c>
      <c r="J680">
        <v>12466</v>
      </c>
      <c r="K680" t="s">
        <v>2053</v>
      </c>
    </row>
    <row r="681" spans="1:11" x14ac:dyDescent="0.35">
      <c r="A681" t="s">
        <v>726</v>
      </c>
      <c r="B681" s="1">
        <v>45870</v>
      </c>
      <c r="C681" s="1">
        <v>45875</v>
      </c>
      <c r="D681" t="s">
        <v>8</v>
      </c>
      <c r="E681" t="s">
        <v>16</v>
      </c>
      <c r="F681">
        <v>932743</v>
      </c>
      <c r="G681" t="s">
        <v>28</v>
      </c>
      <c r="H681" t="s">
        <v>44</v>
      </c>
      <c r="I681" t="s">
        <v>45</v>
      </c>
      <c r="J681">
        <v>19614</v>
      </c>
      <c r="K681" t="s">
        <v>2054</v>
      </c>
    </row>
    <row r="682" spans="1:11" x14ac:dyDescent="0.35">
      <c r="A682" t="s">
        <v>727</v>
      </c>
      <c r="B682" s="1">
        <v>45786</v>
      </c>
      <c r="C682" s="1">
        <v>45791</v>
      </c>
      <c r="D682" t="s">
        <v>40</v>
      </c>
      <c r="E682" t="s">
        <v>20</v>
      </c>
      <c r="F682">
        <v>911366</v>
      </c>
      <c r="G682" t="s">
        <v>9</v>
      </c>
      <c r="H682" t="s">
        <v>42</v>
      </c>
      <c r="I682" t="s">
        <v>14</v>
      </c>
      <c r="J682">
        <v>14690</v>
      </c>
      <c r="K682" t="s">
        <v>2053</v>
      </c>
    </row>
    <row r="683" spans="1:11" x14ac:dyDescent="0.35">
      <c r="A683" t="s">
        <v>728</v>
      </c>
      <c r="B683" s="1">
        <v>45856</v>
      </c>
      <c r="C683" s="1">
        <v>45860</v>
      </c>
      <c r="D683" t="s">
        <v>19</v>
      </c>
      <c r="E683" t="s">
        <v>30</v>
      </c>
      <c r="F683">
        <v>938829</v>
      </c>
      <c r="G683" t="s">
        <v>17</v>
      </c>
      <c r="H683" t="s">
        <v>11</v>
      </c>
      <c r="I683" t="s">
        <v>32</v>
      </c>
      <c r="J683">
        <v>15525</v>
      </c>
      <c r="K683" t="s">
        <v>2052</v>
      </c>
    </row>
    <row r="684" spans="1:11" x14ac:dyDescent="0.35">
      <c r="A684" t="s">
        <v>729</v>
      </c>
      <c r="B684" s="1">
        <v>45967</v>
      </c>
      <c r="C684" s="1">
        <v>45969</v>
      </c>
      <c r="D684" t="s">
        <v>8</v>
      </c>
      <c r="E684" t="s">
        <v>23</v>
      </c>
      <c r="F684">
        <v>910583</v>
      </c>
      <c r="G684" t="s">
        <v>28</v>
      </c>
      <c r="H684" t="s">
        <v>18</v>
      </c>
      <c r="I684" t="s">
        <v>29</v>
      </c>
      <c r="J684">
        <v>21498</v>
      </c>
      <c r="K684" t="s">
        <v>2052</v>
      </c>
    </row>
    <row r="685" spans="1:11" x14ac:dyDescent="0.35">
      <c r="A685" t="s">
        <v>730</v>
      </c>
      <c r="B685" s="1">
        <v>45882</v>
      </c>
      <c r="C685" s="1">
        <v>45886</v>
      </c>
      <c r="D685" t="s">
        <v>39</v>
      </c>
      <c r="E685" t="s">
        <v>30</v>
      </c>
      <c r="F685">
        <v>142897</v>
      </c>
      <c r="G685" t="s">
        <v>17</v>
      </c>
      <c r="H685" t="s">
        <v>34</v>
      </c>
      <c r="I685" t="s">
        <v>10</v>
      </c>
      <c r="J685">
        <v>24879</v>
      </c>
      <c r="K685" t="s">
        <v>2052</v>
      </c>
    </row>
    <row r="686" spans="1:11" x14ac:dyDescent="0.35">
      <c r="A686" t="s">
        <v>731</v>
      </c>
      <c r="B686" s="1">
        <v>45743</v>
      </c>
      <c r="C686" s="1">
        <v>45748</v>
      </c>
      <c r="D686" t="s">
        <v>39</v>
      </c>
      <c r="E686" t="s">
        <v>27</v>
      </c>
      <c r="F686">
        <v>455021</v>
      </c>
      <c r="G686" t="s">
        <v>26</v>
      </c>
      <c r="H686" t="s">
        <v>35</v>
      </c>
      <c r="I686" t="s">
        <v>36</v>
      </c>
      <c r="J686">
        <v>25477</v>
      </c>
      <c r="K686" t="s">
        <v>2053</v>
      </c>
    </row>
    <row r="687" spans="1:11" x14ac:dyDescent="0.35">
      <c r="A687" t="s">
        <v>732</v>
      </c>
      <c r="B687" s="1">
        <v>45907</v>
      </c>
      <c r="C687" s="1">
        <v>45911</v>
      </c>
      <c r="D687" t="s">
        <v>40</v>
      </c>
      <c r="E687" t="s">
        <v>23</v>
      </c>
      <c r="F687">
        <v>337197</v>
      </c>
      <c r="G687" t="s">
        <v>9</v>
      </c>
      <c r="H687" t="s">
        <v>36</v>
      </c>
      <c r="I687" t="s">
        <v>18</v>
      </c>
      <c r="J687">
        <v>14304</v>
      </c>
      <c r="K687" t="s">
        <v>2053</v>
      </c>
    </row>
    <row r="688" spans="1:11" x14ac:dyDescent="0.35">
      <c r="A688" t="s">
        <v>733</v>
      </c>
      <c r="B688" s="1">
        <v>45915</v>
      </c>
      <c r="C688" s="1">
        <v>45920</v>
      </c>
      <c r="D688" t="s">
        <v>19</v>
      </c>
      <c r="E688" t="s">
        <v>23</v>
      </c>
      <c r="F688">
        <v>919242</v>
      </c>
      <c r="G688" t="s">
        <v>28</v>
      </c>
      <c r="H688" t="s">
        <v>32</v>
      </c>
      <c r="I688" t="s">
        <v>44</v>
      </c>
      <c r="J688">
        <v>17638</v>
      </c>
      <c r="K688" t="s">
        <v>2053</v>
      </c>
    </row>
    <row r="689" spans="1:11" x14ac:dyDescent="0.35">
      <c r="A689" t="s">
        <v>734</v>
      </c>
      <c r="B689" s="1">
        <v>45911</v>
      </c>
      <c r="C689" s="1">
        <v>45913</v>
      </c>
      <c r="D689" t="s">
        <v>19</v>
      </c>
      <c r="E689" t="s">
        <v>30</v>
      </c>
      <c r="F689">
        <v>218356</v>
      </c>
      <c r="G689" t="s">
        <v>13</v>
      </c>
      <c r="H689" t="s">
        <v>34</v>
      </c>
      <c r="I689" t="s">
        <v>42</v>
      </c>
      <c r="J689">
        <v>16284</v>
      </c>
      <c r="K689" t="s">
        <v>2053</v>
      </c>
    </row>
    <row r="690" spans="1:11" x14ac:dyDescent="0.35">
      <c r="A690" t="s">
        <v>735</v>
      </c>
      <c r="B690" s="1">
        <v>45892</v>
      </c>
      <c r="C690" s="1">
        <v>45895</v>
      </c>
      <c r="D690" t="s">
        <v>39</v>
      </c>
      <c r="E690" t="s">
        <v>23</v>
      </c>
      <c r="F690">
        <v>968203</v>
      </c>
      <c r="G690" t="s">
        <v>13</v>
      </c>
      <c r="H690" t="s">
        <v>45</v>
      </c>
      <c r="I690" t="s">
        <v>44</v>
      </c>
      <c r="J690">
        <v>26768</v>
      </c>
      <c r="K690" t="s">
        <v>2050</v>
      </c>
    </row>
    <row r="691" spans="1:11" x14ac:dyDescent="0.35">
      <c r="A691" t="s">
        <v>736</v>
      </c>
      <c r="B691" s="1">
        <v>46010</v>
      </c>
      <c r="C691" s="1">
        <v>46013</v>
      </c>
      <c r="D691" t="s">
        <v>40</v>
      </c>
      <c r="E691" t="s">
        <v>33</v>
      </c>
      <c r="F691">
        <v>781554</v>
      </c>
      <c r="G691" t="s">
        <v>17</v>
      </c>
      <c r="H691" t="s">
        <v>18</v>
      </c>
      <c r="I691" t="s">
        <v>10</v>
      </c>
      <c r="J691">
        <v>14492</v>
      </c>
      <c r="K691" t="s">
        <v>2051</v>
      </c>
    </row>
    <row r="692" spans="1:11" x14ac:dyDescent="0.35">
      <c r="A692" t="s">
        <v>737</v>
      </c>
      <c r="B692" s="1">
        <v>45738</v>
      </c>
      <c r="C692" s="1">
        <v>45741</v>
      </c>
      <c r="D692" t="s">
        <v>19</v>
      </c>
      <c r="E692" t="s">
        <v>23</v>
      </c>
      <c r="F692">
        <v>463862</v>
      </c>
      <c r="G692" t="s">
        <v>13</v>
      </c>
      <c r="H692" t="s">
        <v>35</v>
      </c>
      <c r="I692" t="s">
        <v>22</v>
      </c>
      <c r="J692">
        <v>16517</v>
      </c>
      <c r="K692" t="s">
        <v>2052</v>
      </c>
    </row>
    <row r="693" spans="1:11" x14ac:dyDescent="0.35">
      <c r="A693" t="s">
        <v>738</v>
      </c>
      <c r="B693" s="1">
        <v>45832</v>
      </c>
      <c r="C693" s="1">
        <v>45833</v>
      </c>
      <c r="D693" t="s">
        <v>39</v>
      </c>
      <c r="E693" t="s">
        <v>12</v>
      </c>
      <c r="F693">
        <v>702550</v>
      </c>
      <c r="G693" t="s">
        <v>13</v>
      </c>
      <c r="H693" t="s">
        <v>42</v>
      </c>
      <c r="I693" t="s">
        <v>25</v>
      </c>
      <c r="J693">
        <v>23617</v>
      </c>
      <c r="K693" t="s">
        <v>2053</v>
      </c>
    </row>
    <row r="694" spans="1:11" x14ac:dyDescent="0.35">
      <c r="A694" t="s">
        <v>739</v>
      </c>
      <c r="B694" s="1">
        <v>45855</v>
      </c>
      <c r="C694" s="1">
        <v>45860</v>
      </c>
      <c r="D694" t="s">
        <v>8</v>
      </c>
      <c r="E694" t="s">
        <v>12</v>
      </c>
      <c r="F694">
        <v>860337</v>
      </c>
      <c r="G694" t="s">
        <v>9</v>
      </c>
      <c r="H694" t="s">
        <v>18</v>
      </c>
      <c r="I694" t="s">
        <v>45</v>
      </c>
      <c r="J694">
        <v>19087</v>
      </c>
      <c r="K694" t="s">
        <v>2054</v>
      </c>
    </row>
    <row r="695" spans="1:11" x14ac:dyDescent="0.35">
      <c r="A695" t="s">
        <v>740</v>
      </c>
      <c r="B695" s="1">
        <v>45671</v>
      </c>
      <c r="C695" s="1">
        <v>45672</v>
      </c>
      <c r="D695" t="s">
        <v>39</v>
      </c>
      <c r="E695" t="s">
        <v>12</v>
      </c>
      <c r="F695">
        <v>552074</v>
      </c>
      <c r="G695" t="s">
        <v>28</v>
      </c>
      <c r="H695" t="s">
        <v>43</v>
      </c>
      <c r="I695" t="s">
        <v>43</v>
      </c>
      <c r="J695">
        <v>24291</v>
      </c>
      <c r="K695" t="s">
        <v>2053</v>
      </c>
    </row>
    <row r="696" spans="1:11" x14ac:dyDescent="0.35">
      <c r="A696" t="s">
        <v>741</v>
      </c>
      <c r="B696" s="1">
        <v>45840</v>
      </c>
      <c r="C696" s="1">
        <v>45842</v>
      </c>
      <c r="D696" t="s">
        <v>39</v>
      </c>
      <c r="E696" t="s">
        <v>16</v>
      </c>
      <c r="F696">
        <v>283949</v>
      </c>
      <c r="G696" t="s">
        <v>9</v>
      </c>
      <c r="H696" t="s">
        <v>24</v>
      </c>
      <c r="I696" t="s">
        <v>35</v>
      </c>
      <c r="J696">
        <v>24266</v>
      </c>
      <c r="K696" t="s">
        <v>2053</v>
      </c>
    </row>
    <row r="697" spans="1:11" x14ac:dyDescent="0.35">
      <c r="A697" t="s">
        <v>742</v>
      </c>
      <c r="B697" s="1">
        <v>45678</v>
      </c>
      <c r="C697" s="1">
        <v>45683</v>
      </c>
      <c r="D697" t="s">
        <v>39</v>
      </c>
      <c r="E697" t="s">
        <v>33</v>
      </c>
      <c r="F697">
        <v>476910</v>
      </c>
      <c r="G697" t="s">
        <v>9</v>
      </c>
      <c r="H697" t="s">
        <v>43</v>
      </c>
      <c r="I697" t="s">
        <v>36</v>
      </c>
      <c r="J697">
        <v>25643</v>
      </c>
      <c r="K697" t="s">
        <v>2054</v>
      </c>
    </row>
    <row r="698" spans="1:11" x14ac:dyDescent="0.35">
      <c r="A698" t="s">
        <v>743</v>
      </c>
      <c r="B698" s="1">
        <v>45804</v>
      </c>
      <c r="C698" s="1">
        <v>45808</v>
      </c>
      <c r="D698" t="s">
        <v>8</v>
      </c>
      <c r="E698" t="s">
        <v>38</v>
      </c>
      <c r="F698">
        <v>524937</v>
      </c>
      <c r="G698" t="s">
        <v>17</v>
      </c>
      <c r="H698" t="s">
        <v>35</v>
      </c>
      <c r="I698" t="s">
        <v>34</v>
      </c>
      <c r="J698">
        <v>18099</v>
      </c>
      <c r="K698" t="s">
        <v>2050</v>
      </c>
    </row>
    <row r="699" spans="1:11" x14ac:dyDescent="0.35">
      <c r="A699" t="s">
        <v>744</v>
      </c>
      <c r="B699" s="1">
        <v>45759</v>
      </c>
      <c r="C699" s="1">
        <v>45760</v>
      </c>
      <c r="D699" t="s">
        <v>39</v>
      </c>
      <c r="E699" t="s">
        <v>27</v>
      </c>
      <c r="F699">
        <v>626632</v>
      </c>
      <c r="G699" t="s">
        <v>28</v>
      </c>
      <c r="H699" t="s">
        <v>10</v>
      </c>
      <c r="I699" t="s">
        <v>36</v>
      </c>
      <c r="J699">
        <v>25860</v>
      </c>
      <c r="K699" t="s">
        <v>2050</v>
      </c>
    </row>
    <row r="700" spans="1:11" x14ac:dyDescent="0.35">
      <c r="A700" t="s">
        <v>745</v>
      </c>
      <c r="B700" s="1">
        <v>45973</v>
      </c>
      <c r="C700" s="1">
        <v>45976</v>
      </c>
      <c r="D700" t="s">
        <v>8</v>
      </c>
      <c r="E700" t="s">
        <v>16</v>
      </c>
      <c r="F700">
        <v>564746</v>
      </c>
      <c r="G700" t="s">
        <v>28</v>
      </c>
      <c r="H700" t="s">
        <v>25</v>
      </c>
      <c r="I700" t="s">
        <v>24</v>
      </c>
      <c r="J700">
        <v>19409</v>
      </c>
      <c r="K700" t="s">
        <v>2050</v>
      </c>
    </row>
    <row r="701" spans="1:11" x14ac:dyDescent="0.35">
      <c r="A701" t="s">
        <v>746</v>
      </c>
      <c r="B701" s="1">
        <v>45901</v>
      </c>
      <c r="C701" s="1">
        <v>45904</v>
      </c>
      <c r="D701" t="s">
        <v>39</v>
      </c>
      <c r="E701" t="s">
        <v>30</v>
      </c>
      <c r="F701">
        <v>845310</v>
      </c>
      <c r="G701" t="s">
        <v>9</v>
      </c>
      <c r="H701" t="s">
        <v>24</v>
      </c>
      <c r="I701" t="s">
        <v>29</v>
      </c>
      <c r="J701">
        <v>25266</v>
      </c>
      <c r="K701" t="s">
        <v>2052</v>
      </c>
    </row>
    <row r="702" spans="1:11" x14ac:dyDescent="0.35">
      <c r="A702" t="s">
        <v>747</v>
      </c>
      <c r="B702" s="1">
        <v>46021</v>
      </c>
      <c r="C702" s="1">
        <v>46026</v>
      </c>
      <c r="D702" t="s">
        <v>40</v>
      </c>
      <c r="E702" t="s">
        <v>33</v>
      </c>
      <c r="F702">
        <v>226047</v>
      </c>
      <c r="G702" t="s">
        <v>26</v>
      </c>
      <c r="H702" t="s">
        <v>25</v>
      </c>
      <c r="I702" t="s">
        <v>35</v>
      </c>
      <c r="J702">
        <v>15117</v>
      </c>
      <c r="K702" t="s">
        <v>2053</v>
      </c>
    </row>
    <row r="703" spans="1:11" x14ac:dyDescent="0.35">
      <c r="A703" t="s">
        <v>748</v>
      </c>
      <c r="B703" s="1">
        <v>46016</v>
      </c>
      <c r="C703" s="1">
        <v>46018</v>
      </c>
      <c r="D703" t="s">
        <v>8</v>
      </c>
      <c r="E703" t="s">
        <v>27</v>
      </c>
      <c r="F703">
        <v>901052</v>
      </c>
      <c r="G703" t="s">
        <v>13</v>
      </c>
      <c r="H703" t="s">
        <v>14</v>
      </c>
      <c r="I703" t="s">
        <v>18</v>
      </c>
      <c r="J703">
        <v>20317</v>
      </c>
      <c r="K703" t="s">
        <v>2052</v>
      </c>
    </row>
    <row r="704" spans="1:11" x14ac:dyDescent="0.35">
      <c r="A704" t="s">
        <v>749</v>
      </c>
      <c r="B704" s="1">
        <v>45816</v>
      </c>
      <c r="C704" s="1">
        <v>45820</v>
      </c>
      <c r="D704" t="s">
        <v>40</v>
      </c>
      <c r="E704" t="s">
        <v>20</v>
      </c>
      <c r="F704">
        <v>658344</v>
      </c>
      <c r="G704" t="s">
        <v>17</v>
      </c>
      <c r="H704" t="s">
        <v>18</v>
      </c>
      <c r="I704" t="s">
        <v>25</v>
      </c>
      <c r="J704">
        <v>14747</v>
      </c>
      <c r="K704" t="s">
        <v>2054</v>
      </c>
    </row>
    <row r="705" spans="1:11" x14ac:dyDescent="0.35">
      <c r="A705" t="s">
        <v>750</v>
      </c>
      <c r="B705" s="1">
        <v>45667</v>
      </c>
      <c r="C705" s="1">
        <v>45669</v>
      </c>
      <c r="D705" t="s">
        <v>40</v>
      </c>
      <c r="E705" t="s">
        <v>16</v>
      </c>
      <c r="F705">
        <v>555339</v>
      </c>
      <c r="G705" t="s">
        <v>26</v>
      </c>
      <c r="H705" t="s">
        <v>45</v>
      </c>
      <c r="I705" t="s">
        <v>29</v>
      </c>
      <c r="J705">
        <v>13998</v>
      </c>
      <c r="K705" t="s">
        <v>2054</v>
      </c>
    </row>
    <row r="706" spans="1:11" x14ac:dyDescent="0.35">
      <c r="A706" t="s">
        <v>751</v>
      </c>
      <c r="B706" s="1">
        <v>45700</v>
      </c>
      <c r="C706" s="1">
        <v>45702</v>
      </c>
      <c r="D706" t="s">
        <v>19</v>
      </c>
      <c r="E706" t="s">
        <v>33</v>
      </c>
      <c r="F706">
        <v>808715</v>
      </c>
      <c r="G706" t="s">
        <v>17</v>
      </c>
      <c r="H706" t="s">
        <v>42</v>
      </c>
      <c r="I706" t="s">
        <v>11</v>
      </c>
      <c r="J706">
        <v>16675</v>
      </c>
      <c r="K706" t="s">
        <v>2054</v>
      </c>
    </row>
    <row r="707" spans="1:11" x14ac:dyDescent="0.35">
      <c r="A707" t="s">
        <v>752</v>
      </c>
      <c r="B707" s="1">
        <v>45962</v>
      </c>
      <c r="C707" s="1">
        <v>45963</v>
      </c>
      <c r="D707" t="s">
        <v>8</v>
      </c>
      <c r="E707" t="s">
        <v>20</v>
      </c>
      <c r="F707">
        <v>808152</v>
      </c>
      <c r="G707" t="s">
        <v>17</v>
      </c>
      <c r="H707" t="s">
        <v>29</v>
      </c>
      <c r="I707" t="s">
        <v>10</v>
      </c>
      <c r="J707">
        <v>21563</v>
      </c>
      <c r="K707" t="s">
        <v>2054</v>
      </c>
    </row>
    <row r="708" spans="1:11" x14ac:dyDescent="0.35">
      <c r="A708" t="s">
        <v>753</v>
      </c>
      <c r="B708" s="1">
        <v>45858</v>
      </c>
      <c r="C708" s="1">
        <v>45863</v>
      </c>
      <c r="D708" t="s">
        <v>39</v>
      </c>
      <c r="E708" t="s">
        <v>27</v>
      </c>
      <c r="F708">
        <v>982530</v>
      </c>
      <c r="G708" t="s">
        <v>26</v>
      </c>
      <c r="H708" t="s">
        <v>11</v>
      </c>
      <c r="I708" t="s">
        <v>43</v>
      </c>
      <c r="J708">
        <v>25101</v>
      </c>
      <c r="K708" t="s">
        <v>2054</v>
      </c>
    </row>
    <row r="709" spans="1:11" x14ac:dyDescent="0.35">
      <c r="A709" t="s">
        <v>754</v>
      </c>
      <c r="B709" s="1">
        <v>45925</v>
      </c>
      <c r="C709" s="1">
        <v>45927</v>
      </c>
      <c r="D709" t="s">
        <v>8</v>
      </c>
      <c r="E709" t="s">
        <v>30</v>
      </c>
      <c r="F709">
        <v>137291</v>
      </c>
      <c r="G709" t="s">
        <v>26</v>
      </c>
      <c r="H709" t="s">
        <v>14</v>
      </c>
      <c r="I709" t="s">
        <v>24</v>
      </c>
      <c r="J709">
        <v>19360</v>
      </c>
      <c r="K709" t="s">
        <v>2054</v>
      </c>
    </row>
    <row r="710" spans="1:11" x14ac:dyDescent="0.35">
      <c r="A710" t="s">
        <v>755</v>
      </c>
      <c r="B710" s="1">
        <v>45714</v>
      </c>
      <c r="C710" s="1">
        <v>45716</v>
      </c>
      <c r="D710" t="s">
        <v>19</v>
      </c>
      <c r="E710" t="s">
        <v>33</v>
      </c>
      <c r="F710">
        <v>923393</v>
      </c>
      <c r="G710" t="s">
        <v>9</v>
      </c>
      <c r="H710" t="s">
        <v>41</v>
      </c>
      <c r="I710" t="s">
        <v>22</v>
      </c>
      <c r="J710">
        <v>17475</v>
      </c>
      <c r="K710" t="s">
        <v>2054</v>
      </c>
    </row>
    <row r="711" spans="1:11" x14ac:dyDescent="0.35">
      <c r="A711" t="s">
        <v>756</v>
      </c>
      <c r="B711" s="1">
        <v>46000</v>
      </c>
      <c r="C711" s="1">
        <v>46003</v>
      </c>
      <c r="D711" t="s">
        <v>40</v>
      </c>
      <c r="E711" t="s">
        <v>38</v>
      </c>
      <c r="F711">
        <v>307829</v>
      </c>
      <c r="G711" t="s">
        <v>9</v>
      </c>
      <c r="H711" t="s">
        <v>22</v>
      </c>
      <c r="I711" t="s">
        <v>24</v>
      </c>
      <c r="J711">
        <v>12320</v>
      </c>
      <c r="K711" t="s">
        <v>2050</v>
      </c>
    </row>
    <row r="712" spans="1:11" x14ac:dyDescent="0.35">
      <c r="A712" t="s">
        <v>757</v>
      </c>
      <c r="B712" s="1">
        <v>45997</v>
      </c>
      <c r="C712" s="1">
        <v>46001</v>
      </c>
      <c r="D712" t="s">
        <v>39</v>
      </c>
      <c r="E712" t="s">
        <v>38</v>
      </c>
      <c r="F712">
        <v>925958</v>
      </c>
      <c r="G712" t="s">
        <v>17</v>
      </c>
      <c r="H712" t="s">
        <v>22</v>
      </c>
      <c r="I712" t="s">
        <v>25</v>
      </c>
      <c r="J712">
        <v>23469</v>
      </c>
      <c r="K712" t="s">
        <v>2051</v>
      </c>
    </row>
    <row r="713" spans="1:11" x14ac:dyDescent="0.35">
      <c r="A713" t="s">
        <v>758</v>
      </c>
      <c r="B713" s="1">
        <v>45807</v>
      </c>
      <c r="C713" s="1">
        <v>45808</v>
      </c>
      <c r="D713" t="s">
        <v>19</v>
      </c>
      <c r="E713" t="s">
        <v>12</v>
      </c>
      <c r="F713">
        <v>530217</v>
      </c>
      <c r="G713" t="s">
        <v>28</v>
      </c>
      <c r="H713" t="s">
        <v>32</v>
      </c>
      <c r="I713" t="s">
        <v>31</v>
      </c>
      <c r="J713">
        <v>15026</v>
      </c>
      <c r="K713" t="s">
        <v>2052</v>
      </c>
    </row>
    <row r="714" spans="1:11" x14ac:dyDescent="0.35">
      <c r="A714" t="s">
        <v>759</v>
      </c>
      <c r="B714" s="1">
        <v>46004</v>
      </c>
      <c r="C714" s="1">
        <v>46005</v>
      </c>
      <c r="D714" t="s">
        <v>40</v>
      </c>
      <c r="E714" t="s">
        <v>20</v>
      </c>
      <c r="F714">
        <v>389749</v>
      </c>
      <c r="G714" t="s">
        <v>28</v>
      </c>
      <c r="H714" t="s">
        <v>36</v>
      </c>
      <c r="I714" t="s">
        <v>45</v>
      </c>
      <c r="J714">
        <v>15590</v>
      </c>
      <c r="K714" t="s">
        <v>2053</v>
      </c>
    </row>
    <row r="715" spans="1:11" x14ac:dyDescent="0.35">
      <c r="A715" t="s">
        <v>760</v>
      </c>
      <c r="B715" s="1">
        <v>45991</v>
      </c>
      <c r="C715" s="1">
        <v>45994</v>
      </c>
      <c r="D715" t="s">
        <v>19</v>
      </c>
      <c r="E715" t="s">
        <v>38</v>
      </c>
      <c r="F715">
        <v>173283</v>
      </c>
      <c r="G715" t="s">
        <v>17</v>
      </c>
      <c r="H715" t="s">
        <v>22</v>
      </c>
      <c r="I715" t="s">
        <v>41</v>
      </c>
      <c r="J715">
        <v>15451</v>
      </c>
      <c r="K715" t="s">
        <v>2054</v>
      </c>
    </row>
    <row r="716" spans="1:11" x14ac:dyDescent="0.35">
      <c r="A716" t="s">
        <v>761</v>
      </c>
      <c r="B716" s="1">
        <v>45691</v>
      </c>
      <c r="C716" s="1">
        <v>45692</v>
      </c>
      <c r="D716" t="s">
        <v>39</v>
      </c>
      <c r="E716" t="s">
        <v>30</v>
      </c>
      <c r="F716">
        <v>786420</v>
      </c>
      <c r="G716" t="s">
        <v>26</v>
      </c>
      <c r="H716" t="s">
        <v>29</v>
      </c>
      <c r="I716" t="s">
        <v>21</v>
      </c>
      <c r="J716">
        <v>25547</v>
      </c>
      <c r="K716" t="s">
        <v>2053</v>
      </c>
    </row>
    <row r="717" spans="1:11" x14ac:dyDescent="0.35">
      <c r="A717" t="s">
        <v>762</v>
      </c>
      <c r="B717" s="1">
        <v>45853</v>
      </c>
      <c r="C717" s="1">
        <v>45857</v>
      </c>
      <c r="D717" t="s">
        <v>40</v>
      </c>
      <c r="E717" t="s">
        <v>33</v>
      </c>
      <c r="F717">
        <v>347424</v>
      </c>
      <c r="G717" t="s">
        <v>17</v>
      </c>
      <c r="H717" t="s">
        <v>43</v>
      </c>
      <c r="I717" t="s">
        <v>18</v>
      </c>
      <c r="J717">
        <v>15255</v>
      </c>
      <c r="K717" t="s">
        <v>2053</v>
      </c>
    </row>
    <row r="718" spans="1:11" x14ac:dyDescent="0.35">
      <c r="A718" t="s">
        <v>763</v>
      </c>
      <c r="B718" s="1">
        <v>45863</v>
      </c>
      <c r="C718" s="1">
        <v>45865</v>
      </c>
      <c r="D718" t="s">
        <v>40</v>
      </c>
      <c r="E718" t="s">
        <v>38</v>
      </c>
      <c r="F718">
        <v>833083</v>
      </c>
      <c r="G718" t="s">
        <v>28</v>
      </c>
      <c r="H718" t="s">
        <v>15</v>
      </c>
      <c r="I718" t="s">
        <v>14</v>
      </c>
      <c r="J718">
        <v>12110</v>
      </c>
      <c r="K718" t="s">
        <v>2054</v>
      </c>
    </row>
    <row r="719" spans="1:11" x14ac:dyDescent="0.35">
      <c r="A719" t="s">
        <v>764</v>
      </c>
      <c r="B719" s="1">
        <v>45878</v>
      </c>
      <c r="C719" s="1">
        <v>45883</v>
      </c>
      <c r="D719" t="s">
        <v>39</v>
      </c>
      <c r="E719" t="s">
        <v>27</v>
      </c>
      <c r="F719">
        <v>704626</v>
      </c>
      <c r="G719" t="s">
        <v>26</v>
      </c>
      <c r="H719" t="s">
        <v>43</v>
      </c>
      <c r="I719" t="s">
        <v>14</v>
      </c>
      <c r="J719">
        <v>24721</v>
      </c>
      <c r="K719" t="s">
        <v>2050</v>
      </c>
    </row>
    <row r="720" spans="1:11" x14ac:dyDescent="0.35">
      <c r="A720" t="s">
        <v>765</v>
      </c>
      <c r="B720" s="1">
        <v>45672</v>
      </c>
      <c r="C720" s="1">
        <v>45676</v>
      </c>
      <c r="D720" t="s">
        <v>39</v>
      </c>
      <c r="E720" t="s">
        <v>38</v>
      </c>
      <c r="F720">
        <v>202462</v>
      </c>
      <c r="G720" t="s">
        <v>28</v>
      </c>
      <c r="H720" t="s">
        <v>35</v>
      </c>
      <c r="I720" t="s">
        <v>32</v>
      </c>
      <c r="J720">
        <v>23366</v>
      </c>
      <c r="K720" t="s">
        <v>2050</v>
      </c>
    </row>
    <row r="721" spans="1:11" x14ac:dyDescent="0.35">
      <c r="A721" t="s">
        <v>766</v>
      </c>
      <c r="B721" s="1">
        <v>45998</v>
      </c>
      <c r="C721" s="1">
        <v>45999</v>
      </c>
      <c r="D721" t="s">
        <v>39</v>
      </c>
      <c r="E721" t="s">
        <v>27</v>
      </c>
      <c r="F721">
        <v>581016</v>
      </c>
      <c r="G721" t="s">
        <v>26</v>
      </c>
      <c r="H721" t="s">
        <v>14</v>
      </c>
      <c r="I721" t="s">
        <v>18</v>
      </c>
      <c r="J721">
        <v>24569</v>
      </c>
      <c r="K721" t="s">
        <v>2050</v>
      </c>
    </row>
    <row r="722" spans="1:11" x14ac:dyDescent="0.35">
      <c r="A722" t="s">
        <v>767</v>
      </c>
      <c r="B722" s="1">
        <v>45737</v>
      </c>
      <c r="C722" s="1">
        <v>45742</v>
      </c>
      <c r="D722" t="s">
        <v>40</v>
      </c>
      <c r="E722" t="s">
        <v>38</v>
      </c>
      <c r="F722">
        <v>500193</v>
      </c>
      <c r="G722" t="s">
        <v>17</v>
      </c>
      <c r="H722" t="s">
        <v>41</v>
      </c>
      <c r="I722" t="s">
        <v>31</v>
      </c>
      <c r="J722">
        <v>12369</v>
      </c>
      <c r="K722" t="s">
        <v>2052</v>
      </c>
    </row>
    <row r="723" spans="1:11" x14ac:dyDescent="0.35">
      <c r="A723" t="s">
        <v>768</v>
      </c>
      <c r="B723" s="1">
        <v>45743</v>
      </c>
      <c r="C723" s="1">
        <v>45745</v>
      </c>
      <c r="D723" t="s">
        <v>39</v>
      </c>
      <c r="E723" t="s">
        <v>38</v>
      </c>
      <c r="F723">
        <v>208789</v>
      </c>
      <c r="G723" t="s">
        <v>28</v>
      </c>
      <c r="H723" t="s">
        <v>36</v>
      </c>
      <c r="I723" t="s">
        <v>18</v>
      </c>
      <c r="J723">
        <v>25102</v>
      </c>
      <c r="K723" t="s">
        <v>2053</v>
      </c>
    </row>
    <row r="724" spans="1:11" x14ac:dyDescent="0.35">
      <c r="A724" t="s">
        <v>769</v>
      </c>
      <c r="B724" s="1">
        <v>45991</v>
      </c>
      <c r="C724" s="1">
        <v>45996</v>
      </c>
      <c r="D724" t="s">
        <v>19</v>
      </c>
      <c r="E724" t="s">
        <v>20</v>
      </c>
      <c r="F724">
        <v>556323</v>
      </c>
      <c r="G724" t="s">
        <v>9</v>
      </c>
      <c r="H724" t="s">
        <v>15</v>
      </c>
      <c r="I724" t="s">
        <v>25</v>
      </c>
      <c r="J724">
        <v>17940</v>
      </c>
      <c r="K724" t="s">
        <v>2052</v>
      </c>
    </row>
    <row r="725" spans="1:11" x14ac:dyDescent="0.35">
      <c r="A725" t="s">
        <v>770</v>
      </c>
      <c r="B725" s="1">
        <v>45682</v>
      </c>
      <c r="C725" s="1">
        <v>45687</v>
      </c>
      <c r="D725" t="s">
        <v>39</v>
      </c>
      <c r="E725" t="s">
        <v>27</v>
      </c>
      <c r="F725">
        <v>448599</v>
      </c>
      <c r="G725" t="s">
        <v>28</v>
      </c>
      <c r="H725" t="s">
        <v>18</v>
      </c>
      <c r="I725" t="s">
        <v>35</v>
      </c>
      <c r="J725">
        <v>25520</v>
      </c>
      <c r="K725" t="s">
        <v>2053</v>
      </c>
    </row>
    <row r="726" spans="1:11" x14ac:dyDescent="0.35">
      <c r="A726" t="s">
        <v>771</v>
      </c>
      <c r="B726" s="1">
        <v>45788</v>
      </c>
      <c r="C726" s="1">
        <v>45793</v>
      </c>
      <c r="D726" t="s">
        <v>40</v>
      </c>
      <c r="E726" t="s">
        <v>38</v>
      </c>
      <c r="F726">
        <v>827002</v>
      </c>
      <c r="G726" t="s">
        <v>17</v>
      </c>
      <c r="H726" t="s">
        <v>14</v>
      </c>
      <c r="I726" t="s">
        <v>24</v>
      </c>
      <c r="J726">
        <v>12971</v>
      </c>
      <c r="K726" t="s">
        <v>2050</v>
      </c>
    </row>
    <row r="727" spans="1:11" x14ac:dyDescent="0.35">
      <c r="A727" t="s">
        <v>772</v>
      </c>
      <c r="B727" s="1">
        <v>45987</v>
      </c>
      <c r="C727" s="1">
        <v>45991</v>
      </c>
      <c r="D727" t="s">
        <v>19</v>
      </c>
      <c r="E727" t="s">
        <v>20</v>
      </c>
      <c r="F727">
        <v>543694</v>
      </c>
      <c r="G727" t="s">
        <v>28</v>
      </c>
      <c r="H727" t="s">
        <v>34</v>
      </c>
      <c r="I727" t="s">
        <v>34</v>
      </c>
      <c r="J727">
        <v>17249</v>
      </c>
      <c r="K727" t="s">
        <v>2051</v>
      </c>
    </row>
    <row r="728" spans="1:11" x14ac:dyDescent="0.35">
      <c r="A728" t="s">
        <v>773</v>
      </c>
      <c r="B728" s="1">
        <v>46016</v>
      </c>
      <c r="C728" s="1">
        <v>46020</v>
      </c>
      <c r="D728" t="s">
        <v>40</v>
      </c>
      <c r="E728" t="s">
        <v>16</v>
      </c>
      <c r="F728">
        <v>766109</v>
      </c>
      <c r="G728" t="s">
        <v>28</v>
      </c>
      <c r="H728" t="s">
        <v>14</v>
      </c>
      <c r="I728" t="s">
        <v>31</v>
      </c>
      <c r="J728">
        <v>13233</v>
      </c>
      <c r="K728" t="s">
        <v>2052</v>
      </c>
    </row>
    <row r="729" spans="1:11" x14ac:dyDescent="0.35">
      <c r="A729" t="s">
        <v>774</v>
      </c>
      <c r="B729" s="1">
        <v>45967</v>
      </c>
      <c r="C729" s="1">
        <v>45970</v>
      </c>
      <c r="D729" t="s">
        <v>19</v>
      </c>
      <c r="E729" t="s">
        <v>16</v>
      </c>
      <c r="F729">
        <v>983398</v>
      </c>
      <c r="G729" t="s">
        <v>26</v>
      </c>
      <c r="H729" t="s">
        <v>44</v>
      </c>
      <c r="I729" t="s">
        <v>18</v>
      </c>
      <c r="J729">
        <v>15848</v>
      </c>
      <c r="K729" t="s">
        <v>2053</v>
      </c>
    </row>
    <row r="730" spans="1:11" x14ac:dyDescent="0.35">
      <c r="A730" t="s">
        <v>775</v>
      </c>
      <c r="B730" s="1">
        <v>45817</v>
      </c>
      <c r="C730" s="1">
        <v>45820</v>
      </c>
      <c r="D730" t="s">
        <v>39</v>
      </c>
      <c r="E730" t="s">
        <v>38</v>
      </c>
      <c r="F730">
        <v>411346</v>
      </c>
      <c r="G730" t="s">
        <v>9</v>
      </c>
      <c r="H730" t="s">
        <v>21</v>
      </c>
      <c r="I730" t="s">
        <v>29</v>
      </c>
      <c r="J730">
        <v>23977</v>
      </c>
      <c r="K730" t="s">
        <v>2054</v>
      </c>
    </row>
    <row r="731" spans="1:11" x14ac:dyDescent="0.35">
      <c r="A731" t="s">
        <v>776</v>
      </c>
      <c r="B731" s="1">
        <v>46015</v>
      </c>
      <c r="C731" s="1">
        <v>46018</v>
      </c>
      <c r="D731" t="s">
        <v>8</v>
      </c>
      <c r="E731" t="s">
        <v>16</v>
      </c>
      <c r="F731">
        <v>113490</v>
      </c>
      <c r="G731" t="s">
        <v>17</v>
      </c>
      <c r="H731" t="s">
        <v>43</v>
      </c>
      <c r="I731" t="s">
        <v>14</v>
      </c>
      <c r="J731">
        <v>19934</v>
      </c>
      <c r="K731" t="s">
        <v>2053</v>
      </c>
    </row>
    <row r="732" spans="1:11" x14ac:dyDescent="0.35">
      <c r="A732" t="s">
        <v>777</v>
      </c>
      <c r="B732" s="1">
        <v>45991</v>
      </c>
      <c r="C732" s="1">
        <v>45992</v>
      </c>
      <c r="D732" t="s">
        <v>8</v>
      </c>
      <c r="E732" t="s">
        <v>12</v>
      </c>
      <c r="F732">
        <v>233880</v>
      </c>
      <c r="G732" t="s">
        <v>28</v>
      </c>
      <c r="H732" t="s">
        <v>45</v>
      </c>
      <c r="I732" t="s">
        <v>10</v>
      </c>
      <c r="J732">
        <v>17707</v>
      </c>
      <c r="K732" t="s">
        <v>2053</v>
      </c>
    </row>
    <row r="733" spans="1:11" x14ac:dyDescent="0.35">
      <c r="A733" t="s">
        <v>778</v>
      </c>
      <c r="B733" s="1">
        <v>45998</v>
      </c>
      <c r="C733" s="1">
        <v>46000</v>
      </c>
      <c r="D733" t="s">
        <v>19</v>
      </c>
      <c r="E733" t="s">
        <v>30</v>
      </c>
      <c r="F733">
        <v>686275</v>
      </c>
      <c r="G733" t="s">
        <v>28</v>
      </c>
      <c r="H733" t="s">
        <v>25</v>
      </c>
      <c r="I733" t="s">
        <v>18</v>
      </c>
      <c r="J733">
        <v>15595</v>
      </c>
      <c r="K733" t="s">
        <v>2054</v>
      </c>
    </row>
    <row r="734" spans="1:11" x14ac:dyDescent="0.35">
      <c r="A734" t="s">
        <v>779</v>
      </c>
      <c r="B734" s="1">
        <v>45735</v>
      </c>
      <c r="C734" s="1">
        <v>45739</v>
      </c>
      <c r="D734" t="s">
        <v>19</v>
      </c>
      <c r="E734" t="s">
        <v>23</v>
      </c>
      <c r="F734">
        <v>701520</v>
      </c>
      <c r="G734" t="s">
        <v>13</v>
      </c>
      <c r="H734" t="s">
        <v>35</v>
      </c>
      <c r="I734" t="s">
        <v>10</v>
      </c>
      <c r="J734">
        <v>17343</v>
      </c>
      <c r="K734" t="s">
        <v>2050</v>
      </c>
    </row>
    <row r="735" spans="1:11" x14ac:dyDescent="0.35">
      <c r="A735" t="s">
        <v>780</v>
      </c>
      <c r="B735" s="1">
        <v>46011</v>
      </c>
      <c r="C735" s="1">
        <v>46015</v>
      </c>
      <c r="D735" t="s">
        <v>40</v>
      </c>
      <c r="E735" t="s">
        <v>30</v>
      </c>
      <c r="F735">
        <v>791142</v>
      </c>
      <c r="G735" t="s">
        <v>26</v>
      </c>
      <c r="H735" t="s">
        <v>25</v>
      </c>
      <c r="I735" t="s">
        <v>21</v>
      </c>
      <c r="J735">
        <v>13454</v>
      </c>
      <c r="K735" t="s">
        <v>2050</v>
      </c>
    </row>
    <row r="736" spans="1:11" x14ac:dyDescent="0.35">
      <c r="A736" t="s">
        <v>781</v>
      </c>
      <c r="B736" s="1">
        <v>45852</v>
      </c>
      <c r="C736" s="1">
        <v>45857</v>
      </c>
      <c r="D736" t="s">
        <v>19</v>
      </c>
      <c r="E736" t="s">
        <v>23</v>
      </c>
      <c r="F736">
        <v>879082</v>
      </c>
      <c r="G736" t="s">
        <v>28</v>
      </c>
      <c r="H736" t="s">
        <v>35</v>
      </c>
      <c r="I736" t="s">
        <v>36</v>
      </c>
      <c r="J736">
        <v>17961</v>
      </c>
      <c r="K736" t="s">
        <v>2050</v>
      </c>
    </row>
    <row r="737" spans="1:11" x14ac:dyDescent="0.35">
      <c r="A737" t="s">
        <v>782</v>
      </c>
      <c r="B737" s="1">
        <v>45814</v>
      </c>
      <c r="C737" s="1">
        <v>45815</v>
      </c>
      <c r="D737" t="s">
        <v>39</v>
      </c>
      <c r="E737" t="s">
        <v>16</v>
      </c>
      <c r="F737">
        <v>893316</v>
      </c>
      <c r="G737" t="s">
        <v>28</v>
      </c>
      <c r="H737" t="s">
        <v>21</v>
      </c>
      <c r="I737" t="s">
        <v>18</v>
      </c>
      <c r="J737">
        <v>26243</v>
      </c>
      <c r="K737" t="s">
        <v>2052</v>
      </c>
    </row>
    <row r="738" spans="1:11" x14ac:dyDescent="0.35">
      <c r="A738" t="s">
        <v>783</v>
      </c>
      <c r="B738" s="1">
        <v>45870</v>
      </c>
      <c r="C738" s="1">
        <v>45875</v>
      </c>
      <c r="D738" t="s">
        <v>39</v>
      </c>
      <c r="E738" t="s">
        <v>12</v>
      </c>
      <c r="F738">
        <v>505285</v>
      </c>
      <c r="G738" t="s">
        <v>17</v>
      </c>
      <c r="H738" t="s">
        <v>15</v>
      </c>
      <c r="I738" t="s">
        <v>22</v>
      </c>
      <c r="J738">
        <v>24129</v>
      </c>
      <c r="K738" t="s">
        <v>2053</v>
      </c>
    </row>
    <row r="739" spans="1:11" x14ac:dyDescent="0.35">
      <c r="A739" t="s">
        <v>784</v>
      </c>
      <c r="B739" s="1">
        <v>45759</v>
      </c>
      <c r="C739" s="1">
        <v>45764</v>
      </c>
      <c r="D739" t="s">
        <v>19</v>
      </c>
      <c r="E739" t="s">
        <v>12</v>
      </c>
      <c r="F739">
        <v>819983</v>
      </c>
      <c r="G739" t="s">
        <v>26</v>
      </c>
      <c r="H739" t="s">
        <v>31</v>
      </c>
      <c r="I739" t="s">
        <v>29</v>
      </c>
      <c r="J739">
        <v>14891</v>
      </c>
      <c r="K739" t="s">
        <v>2052</v>
      </c>
    </row>
    <row r="740" spans="1:11" x14ac:dyDescent="0.35">
      <c r="A740" t="s">
        <v>785</v>
      </c>
      <c r="B740" s="1">
        <v>45723</v>
      </c>
      <c r="C740" s="1">
        <v>45724</v>
      </c>
      <c r="D740" t="s">
        <v>39</v>
      </c>
      <c r="E740" t="s">
        <v>30</v>
      </c>
      <c r="F740">
        <v>692164</v>
      </c>
      <c r="G740" t="s">
        <v>17</v>
      </c>
      <c r="H740" t="s">
        <v>44</v>
      </c>
      <c r="I740" t="s">
        <v>44</v>
      </c>
      <c r="J740">
        <v>24202</v>
      </c>
      <c r="K740" t="s">
        <v>2053</v>
      </c>
    </row>
    <row r="741" spans="1:11" x14ac:dyDescent="0.35">
      <c r="A741" t="s">
        <v>786</v>
      </c>
      <c r="B741" s="1">
        <v>45842</v>
      </c>
      <c r="C741" s="1">
        <v>45846</v>
      </c>
      <c r="D741" t="s">
        <v>8</v>
      </c>
      <c r="E741" t="s">
        <v>12</v>
      </c>
      <c r="F741">
        <v>880298</v>
      </c>
      <c r="G741" t="s">
        <v>9</v>
      </c>
      <c r="H741" t="s">
        <v>21</v>
      </c>
      <c r="I741" t="s">
        <v>11</v>
      </c>
      <c r="J741">
        <v>18319</v>
      </c>
      <c r="K741" t="s">
        <v>2054</v>
      </c>
    </row>
    <row r="742" spans="1:11" x14ac:dyDescent="0.35">
      <c r="A742" t="s">
        <v>787</v>
      </c>
      <c r="B742" s="1">
        <v>45728</v>
      </c>
      <c r="C742" s="1">
        <v>45730</v>
      </c>
      <c r="D742" t="s">
        <v>8</v>
      </c>
      <c r="E742" t="s">
        <v>12</v>
      </c>
      <c r="F742">
        <v>266677</v>
      </c>
      <c r="G742" t="s">
        <v>26</v>
      </c>
      <c r="H742" t="s">
        <v>42</v>
      </c>
      <c r="I742" t="s">
        <v>21</v>
      </c>
      <c r="J742">
        <v>18582</v>
      </c>
      <c r="K742" t="s">
        <v>2054</v>
      </c>
    </row>
    <row r="743" spans="1:11" x14ac:dyDescent="0.35">
      <c r="A743" t="s">
        <v>788</v>
      </c>
      <c r="B743" s="1">
        <v>45910</v>
      </c>
      <c r="C743" s="1">
        <v>45915</v>
      </c>
      <c r="D743" t="s">
        <v>8</v>
      </c>
      <c r="E743" t="s">
        <v>33</v>
      </c>
      <c r="F743">
        <v>891681</v>
      </c>
      <c r="G743" t="s">
        <v>9</v>
      </c>
      <c r="H743" t="s">
        <v>21</v>
      </c>
      <c r="I743" t="s">
        <v>18</v>
      </c>
      <c r="J743">
        <v>20388</v>
      </c>
      <c r="K743" t="s">
        <v>2054</v>
      </c>
    </row>
    <row r="744" spans="1:11" x14ac:dyDescent="0.35">
      <c r="A744" t="s">
        <v>789</v>
      </c>
      <c r="B744" s="1">
        <v>45945</v>
      </c>
      <c r="C744" s="1">
        <v>45946</v>
      </c>
      <c r="D744" t="s">
        <v>39</v>
      </c>
      <c r="E744" t="s">
        <v>38</v>
      </c>
      <c r="F744">
        <v>583030</v>
      </c>
      <c r="G744" t="s">
        <v>26</v>
      </c>
      <c r="H744" t="s">
        <v>22</v>
      </c>
      <c r="I744" t="s">
        <v>15</v>
      </c>
      <c r="J744">
        <v>23519</v>
      </c>
      <c r="K744" t="s">
        <v>2054</v>
      </c>
    </row>
    <row r="745" spans="1:11" x14ac:dyDescent="0.35">
      <c r="A745" t="s">
        <v>790</v>
      </c>
      <c r="B745" s="1">
        <v>45767</v>
      </c>
      <c r="C745" s="1">
        <v>45770</v>
      </c>
      <c r="D745" t="s">
        <v>8</v>
      </c>
      <c r="E745" t="s">
        <v>23</v>
      </c>
      <c r="F745">
        <v>282544</v>
      </c>
      <c r="G745" t="s">
        <v>9</v>
      </c>
      <c r="H745" t="s">
        <v>43</v>
      </c>
      <c r="I745" t="s">
        <v>35</v>
      </c>
      <c r="J745">
        <v>21484</v>
      </c>
      <c r="K745" t="s">
        <v>2052</v>
      </c>
    </row>
    <row r="746" spans="1:11" x14ac:dyDescent="0.35">
      <c r="A746" t="s">
        <v>791</v>
      </c>
      <c r="B746" s="1">
        <v>45995</v>
      </c>
      <c r="C746" s="1">
        <v>45999</v>
      </c>
      <c r="D746" t="s">
        <v>40</v>
      </c>
      <c r="E746" t="s">
        <v>23</v>
      </c>
      <c r="F746">
        <v>878015</v>
      </c>
      <c r="G746" t="s">
        <v>9</v>
      </c>
      <c r="H746" t="s">
        <v>24</v>
      </c>
      <c r="I746" t="s">
        <v>14</v>
      </c>
      <c r="J746">
        <v>15401</v>
      </c>
      <c r="K746" t="s">
        <v>2052</v>
      </c>
    </row>
    <row r="747" spans="1:11" x14ac:dyDescent="0.35">
      <c r="A747" t="s">
        <v>792</v>
      </c>
      <c r="B747" s="1">
        <v>45977</v>
      </c>
      <c r="C747" s="1">
        <v>45982</v>
      </c>
      <c r="D747" t="s">
        <v>39</v>
      </c>
      <c r="E747" t="s">
        <v>38</v>
      </c>
      <c r="F747">
        <v>836808</v>
      </c>
      <c r="G747" t="s">
        <v>9</v>
      </c>
      <c r="H747" t="s">
        <v>14</v>
      </c>
      <c r="I747" t="s">
        <v>44</v>
      </c>
      <c r="J747">
        <v>24546</v>
      </c>
      <c r="K747" t="s">
        <v>2052</v>
      </c>
    </row>
    <row r="748" spans="1:11" x14ac:dyDescent="0.35">
      <c r="A748" t="s">
        <v>793</v>
      </c>
      <c r="B748" s="1">
        <v>45685</v>
      </c>
      <c r="C748" s="1">
        <v>45687</v>
      </c>
      <c r="D748" t="s">
        <v>40</v>
      </c>
      <c r="E748" t="s">
        <v>33</v>
      </c>
      <c r="F748">
        <v>232581</v>
      </c>
      <c r="G748" t="s">
        <v>28</v>
      </c>
      <c r="H748" t="s">
        <v>32</v>
      </c>
      <c r="I748" t="s">
        <v>36</v>
      </c>
      <c r="J748">
        <v>14357</v>
      </c>
      <c r="K748" t="s">
        <v>2053</v>
      </c>
    </row>
    <row r="749" spans="1:11" x14ac:dyDescent="0.35">
      <c r="A749" t="s">
        <v>794</v>
      </c>
      <c r="B749" s="1">
        <v>45889</v>
      </c>
      <c r="C749" s="1">
        <v>45890</v>
      </c>
      <c r="D749" t="s">
        <v>19</v>
      </c>
      <c r="E749" t="s">
        <v>30</v>
      </c>
      <c r="F749">
        <v>350938</v>
      </c>
      <c r="G749" t="s">
        <v>26</v>
      </c>
      <c r="H749" t="s">
        <v>31</v>
      </c>
      <c r="I749" t="s">
        <v>45</v>
      </c>
      <c r="J749">
        <v>16427</v>
      </c>
      <c r="K749" t="s">
        <v>2053</v>
      </c>
    </row>
    <row r="750" spans="1:11" x14ac:dyDescent="0.35">
      <c r="A750" t="s">
        <v>795</v>
      </c>
      <c r="B750" s="1">
        <v>45674</v>
      </c>
      <c r="C750" s="1">
        <v>45679</v>
      </c>
      <c r="D750" t="s">
        <v>8</v>
      </c>
      <c r="E750" t="s">
        <v>30</v>
      </c>
      <c r="F750">
        <v>294012</v>
      </c>
      <c r="G750" t="s">
        <v>13</v>
      </c>
      <c r="H750" t="s">
        <v>43</v>
      </c>
      <c r="I750" t="s">
        <v>11</v>
      </c>
      <c r="J750">
        <v>20389</v>
      </c>
      <c r="K750" t="s">
        <v>2053</v>
      </c>
    </row>
    <row r="751" spans="1:11" x14ac:dyDescent="0.35">
      <c r="A751" t="s">
        <v>796</v>
      </c>
      <c r="B751" s="1">
        <v>45700</v>
      </c>
      <c r="C751" s="1">
        <v>45703</v>
      </c>
      <c r="D751" t="s">
        <v>40</v>
      </c>
      <c r="E751" t="s">
        <v>33</v>
      </c>
      <c r="F751">
        <v>959027</v>
      </c>
      <c r="G751" t="s">
        <v>13</v>
      </c>
      <c r="H751" t="s">
        <v>29</v>
      </c>
      <c r="I751" t="s">
        <v>34</v>
      </c>
      <c r="J751">
        <v>14753</v>
      </c>
      <c r="K751" t="s">
        <v>2050</v>
      </c>
    </row>
    <row r="752" spans="1:11" x14ac:dyDescent="0.35">
      <c r="A752" t="s">
        <v>797</v>
      </c>
      <c r="B752" s="1">
        <v>45892</v>
      </c>
      <c r="C752" s="1">
        <v>45893</v>
      </c>
      <c r="D752" t="s">
        <v>40</v>
      </c>
      <c r="E752" t="s">
        <v>20</v>
      </c>
      <c r="F752">
        <v>709068</v>
      </c>
      <c r="G752" t="s">
        <v>17</v>
      </c>
      <c r="H752" t="s">
        <v>36</v>
      </c>
      <c r="I752" t="s">
        <v>22</v>
      </c>
      <c r="J752">
        <v>15495</v>
      </c>
      <c r="K752" t="s">
        <v>2050</v>
      </c>
    </row>
    <row r="753" spans="1:11" x14ac:dyDescent="0.35">
      <c r="A753" t="s">
        <v>798</v>
      </c>
      <c r="B753" s="1">
        <v>45793</v>
      </c>
      <c r="C753" s="1">
        <v>45795</v>
      </c>
      <c r="D753" t="s">
        <v>8</v>
      </c>
      <c r="E753" t="s">
        <v>27</v>
      </c>
      <c r="F753">
        <v>890719</v>
      </c>
      <c r="G753" t="s">
        <v>26</v>
      </c>
      <c r="H753" t="s">
        <v>10</v>
      </c>
      <c r="I753" t="s">
        <v>14</v>
      </c>
      <c r="J753">
        <v>20314</v>
      </c>
      <c r="K753" t="s">
        <v>2050</v>
      </c>
    </row>
    <row r="754" spans="1:11" x14ac:dyDescent="0.35">
      <c r="A754" t="s">
        <v>799</v>
      </c>
      <c r="B754" s="1">
        <v>45705</v>
      </c>
      <c r="C754" s="1">
        <v>45706</v>
      </c>
      <c r="D754" t="s">
        <v>40</v>
      </c>
      <c r="E754" t="s">
        <v>12</v>
      </c>
      <c r="F754">
        <v>926434</v>
      </c>
      <c r="G754" t="s">
        <v>26</v>
      </c>
      <c r="H754" t="s">
        <v>36</v>
      </c>
      <c r="I754" t="s">
        <v>11</v>
      </c>
      <c r="J754">
        <v>12417</v>
      </c>
      <c r="K754" t="s">
        <v>2050</v>
      </c>
    </row>
    <row r="755" spans="1:11" x14ac:dyDescent="0.35">
      <c r="A755" t="s">
        <v>800</v>
      </c>
      <c r="B755" s="1">
        <v>45762</v>
      </c>
      <c r="C755" s="1">
        <v>45766</v>
      </c>
      <c r="D755" t="s">
        <v>8</v>
      </c>
      <c r="E755" t="s">
        <v>23</v>
      </c>
      <c r="F755">
        <v>952673</v>
      </c>
      <c r="G755" t="s">
        <v>9</v>
      </c>
      <c r="H755" t="s">
        <v>22</v>
      </c>
      <c r="I755" t="s">
        <v>11</v>
      </c>
      <c r="J755">
        <v>21398</v>
      </c>
      <c r="K755" t="s">
        <v>2050</v>
      </c>
    </row>
    <row r="756" spans="1:11" x14ac:dyDescent="0.35">
      <c r="A756" t="s">
        <v>801</v>
      </c>
      <c r="B756" s="1">
        <v>45705</v>
      </c>
      <c r="C756" s="1">
        <v>45710</v>
      </c>
      <c r="D756" t="s">
        <v>8</v>
      </c>
      <c r="E756" t="s">
        <v>20</v>
      </c>
      <c r="F756">
        <v>433771</v>
      </c>
      <c r="G756" t="s">
        <v>9</v>
      </c>
      <c r="H756" t="s">
        <v>15</v>
      </c>
      <c r="I756" t="s">
        <v>22</v>
      </c>
      <c r="J756">
        <v>19940</v>
      </c>
      <c r="K756" t="s">
        <v>2051</v>
      </c>
    </row>
    <row r="757" spans="1:11" x14ac:dyDescent="0.35">
      <c r="A757" t="s">
        <v>802</v>
      </c>
      <c r="B757" s="1">
        <v>45711</v>
      </c>
      <c r="C757" s="1">
        <v>45713</v>
      </c>
      <c r="D757" t="s">
        <v>19</v>
      </c>
      <c r="E757" t="s">
        <v>20</v>
      </c>
      <c r="F757">
        <v>334833</v>
      </c>
      <c r="G757" t="s">
        <v>17</v>
      </c>
      <c r="H757" t="s">
        <v>32</v>
      </c>
      <c r="I757" t="s">
        <v>44</v>
      </c>
      <c r="J757">
        <v>17873</v>
      </c>
      <c r="K757" t="s">
        <v>2052</v>
      </c>
    </row>
    <row r="758" spans="1:11" x14ac:dyDescent="0.35">
      <c r="A758" t="s">
        <v>803</v>
      </c>
      <c r="B758" s="1">
        <v>46007</v>
      </c>
      <c r="C758" s="1">
        <v>46008</v>
      </c>
      <c r="D758" t="s">
        <v>39</v>
      </c>
      <c r="E758" t="s">
        <v>12</v>
      </c>
      <c r="F758">
        <v>778894</v>
      </c>
      <c r="G758" t="s">
        <v>17</v>
      </c>
      <c r="H758" t="s">
        <v>45</v>
      </c>
      <c r="I758" t="s">
        <v>45</v>
      </c>
      <c r="J758">
        <v>23464</v>
      </c>
      <c r="K758" t="s">
        <v>2053</v>
      </c>
    </row>
    <row r="759" spans="1:11" x14ac:dyDescent="0.35">
      <c r="A759" t="s">
        <v>804</v>
      </c>
      <c r="B759" s="1">
        <v>45916</v>
      </c>
      <c r="C759" s="1">
        <v>45921</v>
      </c>
      <c r="D759" t="s">
        <v>40</v>
      </c>
      <c r="E759" t="s">
        <v>38</v>
      </c>
      <c r="F759">
        <v>636941</v>
      </c>
      <c r="G759" t="s">
        <v>26</v>
      </c>
      <c r="H759" t="s">
        <v>29</v>
      </c>
      <c r="I759" t="s">
        <v>15</v>
      </c>
      <c r="J759">
        <v>13012</v>
      </c>
      <c r="K759" t="s">
        <v>2054</v>
      </c>
    </row>
    <row r="760" spans="1:11" x14ac:dyDescent="0.35">
      <c r="A760" t="s">
        <v>805</v>
      </c>
      <c r="B760" s="1">
        <v>45987</v>
      </c>
      <c r="C760" s="1">
        <v>45989</v>
      </c>
      <c r="D760" t="s">
        <v>8</v>
      </c>
      <c r="E760" t="s">
        <v>33</v>
      </c>
      <c r="F760">
        <v>463930</v>
      </c>
      <c r="G760" t="s">
        <v>9</v>
      </c>
      <c r="H760" t="s">
        <v>18</v>
      </c>
      <c r="I760" t="s">
        <v>43</v>
      </c>
      <c r="J760">
        <v>20174</v>
      </c>
      <c r="K760" t="s">
        <v>2053</v>
      </c>
    </row>
    <row r="761" spans="1:11" x14ac:dyDescent="0.35">
      <c r="A761" t="s">
        <v>806</v>
      </c>
      <c r="B761" s="1">
        <v>45852</v>
      </c>
      <c r="C761" s="1">
        <v>45856</v>
      </c>
      <c r="D761" t="s">
        <v>39</v>
      </c>
      <c r="E761" t="s">
        <v>33</v>
      </c>
      <c r="F761">
        <v>572816</v>
      </c>
      <c r="G761" t="s">
        <v>9</v>
      </c>
      <c r="H761" t="s">
        <v>25</v>
      </c>
      <c r="I761" t="s">
        <v>29</v>
      </c>
      <c r="J761">
        <v>26050</v>
      </c>
      <c r="K761" t="s">
        <v>2050</v>
      </c>
    </row>
    <row r="762" spans="1:11" x14ac:dyDescent="0.35">
      <c r="A762" t="s">
        <v>807</v>
      </c>
      <c r="B762" s="1">
        <v>45950</v>
      </c>
      <c r="C762" s="1">
        <v>45953</v>
      </c>
      <c r="D762" t="s">
        <v>40</v>
      </c>
      <c r="E762" t="s">
        <v>12</v>
      </c>
      <c r="F762">
        <v>480628</v>
      </c>
      <c r="G762" t="s">
        <v>9</v>
      </c>
      <c r="H762" t="s">
        <v>35</v>
      </c>
      <c r="I762" t="s">
        <v>21</v>
      </c>
      <c r="J762">
        <v>12711</v>
      </c>
      <c r="K762" t="s">
        <v>2051</v>
      </c>
    </row>
    <row r="763" spans="1:11" x14ac:dyDescent="0.35">
      <c r="A763" t="s">
        <v>808</v>
      </c>
      <c r="B763" s="1">
        <v>45856</v>
      </c>
      <c r="C763" s="1">
        <v>45858</v>
      </c>
      <c r="D763" t="s">
        <v>8</v>
      </c>
      <c r="E763" t="s">
        <v>30</v>
      </c>
      <c r="F763">
        <v>607427</v>
      </c>
      <c r="G763" t="s">
        <v>17</v>
      </c>
      <c r="H763" t="s">
        <v>42</v>
      </c>
      <c r="I763" t="s">
        <v>36</v>
      </c>
      <c r="J763">
        <v>19103</v>
      </c>
      <c r="K763" t="s">
        <v>2052</v>
      </c>
    </row>
    <row r="764" spans="1:11" x14ac:dyDescent="0.35">
      <c r="A764" t="s">
        <v>809</v>
      </c>
      <c r="B764" s="1">
        <v>45699</v>
      </c>
      <c r="C764" s="1">
        <v>45704</v>
      </c>
      <c r="D764" t="s">
        <v>40</v>
      </c>
      <c r="E764" t="s">
        <v>20</v>
      </c>
      <c r="F764">
        <v>113945</v>
      </c>
      <c r="G764" t="s">
        <v>9</v>
      </c>
      <c r="H764" t="s">
        <v>21</v>
      </c>
      <c r="I764" t="s">
        <v>44</v>
      </c>
      <c r="J764">
        <v>14998</v>
      </c>
      <c r="K764" t="s">
        <v>2053</v>
      </c>
    </row>
    <row r="765" spans="1:11" x14ac:dyDescent="0.35">
      <c r="A765" t="s">
        <v>810</v>
      </c>
      <c r="B765" s="1">
        <v>45773</v>
      </c>
      <c r="C765" s="1">
        <v>45775</v>
      </c>
      <c r="D765" t="s">
        <v>8</v>
      </c>
      <c r="E765" t="s">
        <v>20</v>
      </c>
      <c r="F765">
        <v>753865</v>
      </c>
      <c r="G765" t="s">
        <v>13</v>
      </c>
      <c r="H765" t="s">
        <v>32</v>
      </c>
      <c r="I765" t="s">
        <v>21</v>
      </c>
      <c r="J765">
        <v>20115</v>
      </c>
      <c r="K765" t="s">
        <v>2054</v>
      </c>
    </row>
    <row r="766" spans="1:11" x14ac:dyDescent="0.35">
      <c r="A766" t="s">
        <v>811</v>
      </c>
      <c r="B766" s="1">
        <v>45932</v>
      </c>
      <c r="C766" s="1">
        <v>45937</v>
      </c>
      <c r="D766" t="s">
        <v>39</v>
      </c>
      <c r="E766" t="s">
        <v>12</v>
      </c>
      <c r="F766">
        <v>422881</v>
      </c>
      <c r="G766" t="s">
        <v>13</v>
      </c>
      <c r="H766" t="s">
        <v>25</v>
      </c>
      <c r="I766" t="s">
        <v>22</v>
      </c>
      <c r="J766">
        <v>24974</v>
      </c>
      <c r="K766" t="s">
        <v>2053</v>
      </c>
    </row>
    <row r="767" spans="1:11" x14ac:dyDescent="0.35">
      <c r="A767" t="s">
        <v>812</v>
      </c>
      <c r="B767" s="1">
        <v>45675</v>
      </c>
      <c r="C767" s="1">
        <v>45677</v>
      </c>
      <c r="D767" t="s">
        <v>40</v>
      </c>
      <c r="E767" t="s">
        <v>23</v>
      </c>
      <c r="F767">
        <v>961230</v>
      </c>
      <c r="G767" t="s">
        <v>26</v>
      </c>
      <c r="H767" t="s">
        <v>31</v>
      </c>
      <c r="I767" t="s">
        <v>11</v>
      </c>
      <c r="J767">
        <v>15239</v>
      </c>
      <c r="K767" t="s">
        <v>2052</v>
      </c>
    </row>
    <row r="768" spans="1:11" x14ac:dyDescent="0.35">
      <c r="A768" t="s">
        <v>813</v>
      </c>
      <c r="B768" s="1">
        <v>45917</v>
      </c>
      <c r="C768" s="1">
        <v>45918</v>
      </c>
      <c r="D768" t="s">
        <v>39</v>
      </c>
      <c r="E768" t="s">
        <v>27</v>
      </c>
      <c r="F768">
        <v>314310</v>
      </c>
      <c r="G768" t="s">
        <v>9</v>
      </c>
      <c r="H768" t="s">
        <v>21</v>
      </c>
      <c r="I768" t="s">
        <v>14</v>
      </c>
      <c r="J768">
        <v>24990</v>
      </c>
      <c r="K768" t="s">
        <v>2053</v>
      </c>
    </row>
    <row r="769" spans="1:11" x14ac:dyDescent="0.35">
      <c r="A769" t="s">
        <v>814</v>
      </c>
      <c r="B769" s="1">
        <v>46018</v>
      </c>
      <c r="C769" s="1">
        <v>46019</v>
      </c>
      <c r="D769" t="s">
        <v>40</v>
      </c>
      <c r="E769" t="s">
        <v>12</v>
      </c>
      <c r="F769">
        <v>448111</v>
      </c>
      <c r="G769" t="s">
        <v>17</v>
      </c>
      <c r="H769" t="s">
        <v>11</v>
      </c>
      <c r="I769" t="s">
        <v>29</v>
      </c>
      <c r="J769">
        <v>13125</v>
      </c>
      <c r="K769" t="s">
        <v>2052</v>
      </c>
    </row>
    <row r="770" spans="1:11" x14ac:dyDescent="0.35">
      <c r="A770" t="s">
        <v>815</v>
      </c>
      <c r="B770" s="1">
        <v>45727</v>
      </c>
      <c r="C770" s="1">
        <v>45732</v>
      </c>
      <c r="D770" t="s">
        <v>19</v>
      </c>
      <c r="E770" t="s">
        <v>16</v>
      </c>
      <c r="F770">
        <v>197962</v>
      </c>
      <c r="G770" t="s">
        <v>28</v>
      </c>
      <c r="H770" t="s">
        <v>21</v>
      </c>
      <c r="I770" t="s">
        <v>31</v>
      </c>
      <c r="J770">
        <v>15666</v>
      </c>
      <c r="K770" t="s">
        <v>2053</v>
      </c>
    </row>
    <row r="771" spans="1:11" x14ac:dyDescent="0.35">
      <c r="A771" t="s">
        <v>816</v>
      </c>
      <c r="B771" s="1">
        <v>45790</v>
      </c>
      <c r="C771" s="1">
        <v>45795</v>
      </c>
      <c r="D771" t="s">
        <v>8</v>
      </c>
      <c r="E771" t="s">
        <v>20</v>
      </c>
      <c r="F771">
        <v>440738</v>
      </c>
      <c r="G771" t="s">
        <v>17</v>
      </c>
      <c r="H771" t="s">
        <v>14</v>
      </c>
      <c r="I771" t="s">
        <v>35</v>
      </c>
      <c r="J771">
        <v>21022</v>
      </c>
      <c r="K771" t="s">
        <v>2050</v>
      </c>
    </row>
    <row r="772" spans="1:11" x14ac:dyDescent="0.35">
      <c r="A772" t="s">
        <v>817</v>
      </c>
      <c r="B772" s="1">
        <v>45687</v>
      </c>
      <c r="C772" s="1">
        <v>45689</v>
      </c>
      <c r="D772" t="s">
        <v>39</v>
      </c>
      <c r="E772" t="s">
        <v>38</v>
      </c>
      <c r="F772">
        <v>779001</v>
      </c>
      <c r="G772" t="s">
        <v>9</v>
      </c>
      <c r="H772" t="s">
        <v>29</v>
      </c>
      <c r="I772" t="s">
        <v>18</v>
      </c>
      <c r="J772">
        <v>24598</v>
      </c>
      <c r="K772" t="s">
        <v>2051</v>
      </c>
    </row>
    <row r="773" spans="1:11" x14ac:dyDescent="0.35">
      <c r="A773" t="s">
        <v>818</v>
      </c>
      <c r="B773" s="1">
        <v>45785</v>
      </c>
      <c r="C773" s="1">
        <v>45786</v>
      </c>
      <c r="D773" t="s">
        <v>40</v>
      </c>
      <c r="E773" t="s">
        <v>16</v>
      </c>
      <c r="F773">
        <v>789047</v>
      </c>
      <c r="G773" t="s">
        <v>9</v>
      </c>
      <c r="H773" t="s">
        <v>42</v>
      </c>
      <c r="I773" t="s">
        <v>14</v>
      </c>
      <c r="J773">
        <v>13760</v>
      </c>
      <c r="K773" t="s">
        <v>2052</v>
      </c>
    </row>
    <row r="774" spans="1:11" x14ac:dyDescent="0.35">
      <c r="A774" t="s">
        <v>819</v>
      </c>
      <c r="B774" s="1">
        <v>45975</v>
      </c>
      <c r="C774" s="1">
        <v>45977</v>
      </c>
      <c r="D774" t="s">
        <v>39</v>
      </c>
      <c r="E774" t="s">
        <v>12</v>
      </c>
      <c r="F774">
        <v>286601</v>
      </c>
      <c r="G774" t="s">
        <v>28</v>
      </c>
      <c r="H774" t="s">
        <v>21</v>
      </c>
      <c r="I774" t="s">
        <v>44</v>
      </c>
      <c r="J774">
        <v>24861</v>
      </c>
      <c r="K774" t="s">
        <v>2053</v>
      </c>
    </row>
    <row r="775" spans="1:11" x14ac:dyDescent="0.35">
      <c r="A775" t="s">
        <v>820</v>
      </c>
      <c r="B775" s="1">
        <v>45972</v>
      </c>
      <c r="C775" s="1">
        <v>45973</v>
      </c>
      <c r="D775" t="s">
        <v>19</v>
      </c>
      <c r="E775" t="s">
        <v>20</v>
      </c>
      <c r="F775">
        <v>920406</v>
      </c>
      <c r="G775" t="s">
        <v>17</v>
      </c>
      <c r="H775" t="s">
        <v>45</v>
      </c>
      <c r="I775" t="s">
        <v>31</v>
      </c>
      <c r="J775">
        <v>16827</v>
      </c>
      <c r="K775" t="s">
        <v>2054</v>
      </c>
    </row>
    <row r="776" spans="1:11" x14ac:dyDescent="0.35">
      <c r="A776" t="s">
        <v>821</v>
      </c>
      <c r="B776" s="1">
        <v>45839</v>
      </c>
      <c r="C776" s="1">
        <v>45841</v>
      </c>
      <c r="D776" t="s">
        <v>8</v>
      </c>
      <c r="E776" t="s">
        <v>38</v>
      </c>
      <c r="F776">
        <v>629918</v>
      </c>
      <c r="G776" t="s">
        <v>17</v>
      </c>
      <c r="H776" t="s">
        <v>42</v>
      </c>
      <c r="I776" t="s">
        <v>21</v>
      </c>
      <c r="J776">
        <v>19118</v>
      </c>
      <c r="K776" t="s">
        <v>2053</v>
      </c>
    </row>
    <row r="777" spans="1:11" x14ac:dyDescent="0.35">
      <c r="A777" t="s">
        <v>822</v>
      </c>
      <c r="B777" s="1">
        <v>45842</v>
      </c>
      <c r="C777" s="1">
        <v>45847</v>
      </c>
      <c r="D777" t="s">
        <v>39</v>
      </c>
      <c r="E777" t="s">
        <v>16</v>
      </c>
      <c r="F777">
        <v>579133</v>
      </c>
      <c r="G777" t="s">
        <v>26</v>
      </c>
      <c r="H777" t="s">
        <v>24</v>
      </c>
      <c r="I777" t="s">
        <v>15</v>
      </c>
      <c r="J777">
        <v>25219</v>
      </c>
      <c r="K777" t="s">
        <v>2053</v>
      </c>
    </row>
    <row r="778" spans="1:11" x14ac:dyDescent="0.35">
      <c r="A778" t="s">
        <v>823</v>
      </c>
      <c r="B778" s="1">
        <v>45698</v>
      </c>
      <c r="C778" s="1">
        <v>45700</v>
      </c>
      <c r="D778" t="s">
        <v>8</v>
      </c>
      <c r="E778" t="s">
        <v>30</v>
      </c>
      <c r="F778">
        <v>341382</v>
      </c>
      <c r="G778" t="s">
        <v>28</v>
      </c>
      <c r="H778" t="s">
        <v>14</v>
      </c>
      <c r="I778" t="s">
        <v>41</v>
      </c>
      <c r="J778">
        <v>20311</v>
      </c>
      <c r="K778" t="s">
        <v>2054</v>
      </c>
    </row>
    <row r="779" spans="1:11" x14ac:dyDescent="0.35">
      <c r="A779" t="s">
        <v>824</v>
      </c>
      <c r="B779" s="1">
        <v>45855</v>
      </c>
      <c r="C779" s="1">
        <v>45857</v>
      </c>
      <c r="D779" t="s">
        <v>39</v>
      </c>
      <c r="E779" t="s">
        <v>30</v>
      </c>
      <c r="F779">
        <v>965226</v>
      </c>
      <c r="G779" t="s">
        <v>13</v>
      </c>
      <c r="H779" t="s">
        <v>22</v>
      </c>
      <c r="I779" t="s">
        <v>11</v>
      </c>
      <c r="J779">
        <v>25339</v>
      </c>
      <c r="K779" t="s">
        <v>2050</v>
      </c>
    </row>
    <row r="780" spans="1:11" x14ac:dyDescent="0.35">
      <c r="A780" t="s">
        <v>825</v>
      </c>
      <c r="B780" s="1">
        <v>45729</v>
      </c>
      <c r="C780" s="1">
        <v>45733</v>
      </c>
      <c r="D780" t="s">
        <v>40</v>
      </c>
      <c r="E780" t="s">
        <v>16</v>
      </c>
      <c r="F780">
        <v>203271</v>
      </c>
      <c r="G780" t="s">
        <v>13</v>
      </c>
      <c r="H780" t="s">
        <v>11</v>
      </c>
      <c r="I780" t="s">
        <v>41</v>
      </c>
      <c r="J780">
        <v>14164</v>
      </c>
      <c r="K780" t="s">
        <v>2050</v>
      </c>
    </row>
    <row r="781" spans="1:11" x14ac:dyDescent="0.35">
      <c r="A781" t="s">
        <v>826</v>
      </c>
      <c r="B781" s="1">
        <v>46003</v>
      </c>
      <c r="C781" s="1">
        <v>46004</v>
      </c>
      <c r="D781" t="s">
        <v>8</v>
      </c>
      <c r="E781" t="s">
        <v>12</v>
      </c>
      <c r="F781">
        <v>498477</v>
      </c>
      <c r="G781" t="s">
        <v>26</v>
      </c>
      <c r="H781" t="s">
        <v>45</v>
      </c>
      <c r="I781" t="s">
        <v>21</v>
      </c>
      <c r="J781">
        <v>18325</v>
      </c>
      <c r="K781" t="s">
        <v>2050</v>
      </c>
    </row>
    <row r="782" spans="1:11" x14ac:dyDescent="0.35">
      <c r="A782" t="s">
        <v>827</v>
      </c>
      <c r="B782" s="1">
        <v>45798</v>
      </c>
      <c r="C782" s="1">
        <v>45802</v>
      </c>
      <c r="D782" t="s">
        <v>8</v>
      </c>
      <c r="E782" t="s">
        <v>23</v>
      </c>
      <c r="F782">
        <v>179299</v>
      </c>
      <c r="G782" t="s">
        <v>13</v>
      </c>
      <c r="H782" t="s">
        <v>11</v>
      </c>
      <c r="I782" t="s">
        <v>41</v>
      </c>
      <c r="J782">
        <v>20021</v>
      </c>
      <c r="K782" t="s">
        <v>2052</v>
      </c>
    </row>
    <row r="783" spans="1:11" x14ac:dyDescent="0.35">
      <c r="A783" t="s">
        <v>828</v>
      </c>
      <c r="B783" s="1">
        <v>45935</v>
      </c>
      <c r="C783" s="1">
        <v>45937</v>
      </c>
      <c r="D783" t="s">
        <v>39</v>
      </c>
      <c r="E783" t="s">
        <v>20</v>
      </c>
      <c r="F783">
        <v>356334</v>
      </c>
      <c r="G783" t="s">
        <v>26</v>
      </c>
      <c r="H783" t="s">
        <v>36</v>
      </c>
      <c r="I783" t="s">
        <v>41</v>
      </c>
      <c r="J783">
        <v>26850</v>
      </c>
      <c r="K783" t="s">
        <v>2053</v>
      </c>
    </row>
    <row r="784" spans="1:11" x14ac:dyDescent="0.35">
      <c r="A784" t="s">
        <v>829</v>
      </c>
      <c r="B784" s="1">
        <v>45726</v>
      </c>
      <c r="C784" s="1">
        <v>45729</v>
      </c>
      <c r="D784" t="s">
        <v>8</v>
      </c>
      <c r="E784" t="s">
        <v>27</v>
      </c>
      <c r="F784">
        <v>367089</v>
      </c>
      <c r="G784" t="s">
        <v>26</v>
      </c>
      <c r="H784" t="s">
        <v>29</v>
      </c>
      <c r="I784" t="s">
        <v>15</v>
      </c>
      <c r="J784">
        <v>19453</v>
      </c>
      <c r="K784" t="s">
        <v>2052</v>
      </c>
    </row>
    <row r="785" spans="1:11" x14ac:dyDescent="0.35">
      <c r="A785" t="s">
        <v>830</v>
      </c>
      <c r="B785" s="1">
        <v>45874</v>
      </c>
      <c r="C785" s="1">
        <v>45879</v>
      </c>
      <c r="D785" t="s">
        <v>8</v>
      </c>
      <c r="E785" t="s">
        <v>12</v>
      </c>
      <c r="F785">
        <v>921911</v>
      </c>
      <c r="G785" t="s">
        <v>28</v>
      </c>
      <c r="H785" t="s">
        <v>21</v>
      </c>
      <c r="I785" t="s">
        <v>45</v>
      </c>
      <c r="J785">
        <v>18877</v>
      </c>
      <c r="K785" t="s">
        <v>2053</v>
      </c>
    </row>
    <row r="786" spans="1:11" x14ac:dyDescent="0.35">
      <c r="A786" t="s">
        <v>831</v>
      </c>
      <c r="B786" s="1">
        <v>45959</v>
      </c>
      <c r="C786" s="1">
        <v>45961</v>
      </c>
      <c r="D786" t="s">
        <v>19</v>
      </c>
      <c r="E786" t="s">
        <v>33</v>
      </c>
      <c r="F786">
        <v>356822</v>
      </c>
      <c r="G786" t="s">
        <v>26</v>
      </c>
      <c r="H786" t="s">
        <v>43</v>
      </c>
      <c r="I786" t="s">
        <v>11</v>
      </c>
      <c r="J786">
        <v>16713</v>
      </c>
      <c r="K786" t="s">
        <v>2054</v>
      </c>
    </row>
    <row r="787" spans="1:11" x14ac:dyDescent="0.35">
      <c r="A787" t="s">
        <v>832</v>
      </c>
      <c r="B787" s="1">
        <v>45807</v>
      </c>
      <c r="C787" s="1">
        <v>45809</v>
      </c>
      <c r="D787" t="s">
        <v>40</v>
      </c>
      <c r="E787" t="s">
        <v>23</v>
      </c>
      <c r="F787">
        <v>884477</v>
      </c>
      <c r="G787" t="s">
        <v>26</v>
      </c>
      <c r="H787" t="s">
        <v>21</v>
      </c>
      <c r="I787" t="s">
        <v>44</v>
      </c>
      <c r="J787">
        <v>14765</v>
      </c>
      <c r="K787" t="s">
        <v>2054</v>
      </c>
    </row>
    <row r="788" spans="1:11" x14ac:dyDescent="0.35">
      <c r="A788" t="s">
        <v>833</v>
      </c>
      <c r="B788" s="1">
        <v>45933</v>
      </c>
      <c r="C788" s="1">
        <v>45935</v>
      </c>
      <c r="D788" t="s">
        <v>8</v>
      </c>
      <c r="E788" t="s">
        <v>20</v>
      </c>
      <c r="F788">
        <v>932435</v>
      </c>
      <c r="G788" t="s">
        <v>17</v>
      </c>
      <c r="H788" t="s">
        <v>31</v>
      </c>
      <c r="I788" t="s">
        <v>36</v>
      </c>
      <c r="J788">
        <v>21220</v>
      </c>
      <c r="K788" t="s">
        <v>2054</v>
      </c>
    </row>
    <row r="789" spans="1:11" x14ac:dyDescent="0.35">
      <c r="A789" t="s">
        <v>834</v>
      </c>
      <c r="B789" s="1">
        <v>45940</v>
      </c>
      <c r="C789" s="1">
        <v>45945</v>
      </c>
      <c r="D789" t="s">
        <v>8</v>
      </c>
      <c r="E789" t="s">
        <v>38</v>
      </c>
      <c r="F789">
        <v>629629</v>
      </c>
      <c r="G789" t="s">
        <v>28</v>
      </c>
      <c r="H789" t="s">
        <v>45</v>
      </c>
      <c r="I789" t="s">
        <v>25</v>
      </c>
      <c r="J789">
        <v>19151</v>
      </c>
      <c r="K789" t="s">
        <v>2054</v>
      </c>
    </row>
    <row r="790" spans="1:11" x14ac:dyDescent="0.35">
      <c r="A790" t="s">
        <v>835</v>
      </c>
      <c r="B790" s="1">
        <v>45826</v>
      </c>
      <c r="C790" s="1">
        <v>45831</v>
      </c>
      <c r="D790" t="s">
        <v>8</v>
      </c>
      <c r="E790" t="s">
        <v>16</v>
      </c>
      <c r="F790">
        <v>439475</v>
      </c>
      <c r="G790" t="s">
        <v>17</v>
      </c>
      <c r="H790" t="s">
        <v>43</v>
      </c>
      <c r="I790" t="s">
        <v>36</v>
      </c>
      <c r="J790">
        <v>20083</v>
      </c>
      <c r="K790" t="s">
        <v>2052</v>
      </c>
    </row>
    <row r="791" spans="1:11" x14ac:dyDescent="0.35">
      <c r="A791" t="s">
        <v>836</v>
      </c>
      <c r="B791" s="1">
        <v>45950</v>
      </c>
      <c r="C791" s="1">
        <v>45951</v>
      </c>
      <c r="D791" t="s">
        <v>19</v>
      </c>
      <c r="E791" t="s">
        <v>27</v>
      </c>
      <c r="F791">
        <v>344179</v>
      </c>
      <c r="G791" t="s">
        <v>17</v>
      </c>
      <c r="H791" t="s">
        <v>14</v>
      </c>
      <c r="I791" t="s">
        <v>22</v>
      </c>
      <c r="J791">
        <v>15423</v>
      </c>
      <c r="K791" t="s">
        <v>2052</v>
      </c>
    </row>
    <row r="792" spans="1:11" x14ac:dyDescent="0.35">
      <c r="A792" t="s">
        <v>837</v>
      </c>
      <c r="B792" s="1">
        <v>45975</v>
      </c>
      <c r="C792" s="1">
        <v>45977</v>
      </c>
      <c r="D792" t="s">
        <v>8</v>
      </c>
      <c r="E792" t="s">
        <v>38</v>
      </c>
      <c r="F792">
        <v>609580</v>
      </c>
      <c r="G792" t="s">
        <v>13</v>
      </c>
      <c r="H792" t="s">
        <v>25</v>
      </c>
      <c r="I792" t="s">
        <v>18</v>
      </c>
      <c r="J792">
        <v>18091</v>
      </c>
      <c r="K792" t="s">
        <v>2052</v>
      </c>
    </row>
    <row r="793" spans="1:11" x14ac:dyDescent="0.35">
      <c r="A793" t="s">
        <v>838</v>
      </c>
      <c r="B793" s="1">
        <v>45905</v>
      </c>
      <c r="C793" s="1">
        <v>45906</v>
      </c>
      <c r="D793" t="s">
        <v>40</v>
      </c>
      <c r="E793" t="s">
        <v>16</v>
      </c>
      <c r="F793">
        <v>788508</v>
      </c>
      <c r="G793" t="s">
        <v>13</v>
      </c>
      <c r="H793" t="s">
        <v>21</v>
      </c>
      <c r="I793" t="s">
        <v>14</v>
      </c>
      <c r="J793">
        <v>13872</v>
      </c>
      <c r="K793" t="s">
        <v>2053</v>
      </c>
    </row>
    <row r="794" spans="1:11" x14ac:dyDescent="0.35">
      <c r="A794" t="s">
        <v>839</v>
      </c>
      <c r="B794" s="1">
        <v>45660</v>
      </c>
      <c r="C794" s="1">
        <v>45665</v>
      </c>
      <c r="D794" t="s">
        <v>19</v>
      </c>
      <c r="E794" t="s">
        <v>16</v>
      </c>
      <c r="F794">
        <v>784491</v>
      </c>
      <c r="G794" t="s">
        <v>17</v>
      </c>
      <c r="H794" t="s">
        <v>34</v>
      </c>
      <c r="I794" t="s">
        <v>25</v>
      </c>
      <c r="J794">
        <v>16469</v>
      </c>
      <c r="K794" t="s">
        <v>2053</v>
      </c>
    </row>
    <row r="795" spans="1:11" x14ac:dyDescent="0.35">
      <c r="A795" t="s">
        <v>840</v>
      </c>
      <c r="B795" s="1">
        <v>45668</v>
      </c>
      <c r="C795" s="1">
        <v>45672</v>
      </c>
      <c r="D795" t="s">
        <v>8</v>
      </c>
      <c r="E795" t="s">
        <v>23</v>
      </c>
      <c r="F795">
        <v>876117</v>
      </c>
      <c r="G795" t="s">
        <v>17</v>
      </c>
      <c r="H795" t="s">
        <v>44</v>
      </c>
      <c r="I795" t="s">
        <v>25</v>
      </c>
      <c r="J795">
        <v>20506</v>
      </c>
      <c r="K795" t="s">
        <v>2053</v>
      </c>
    </row>
    <row r="796" spans="1:11" x14ac:dyDescent="0.35">
      <c r="A796" t="s">
        <v>841</v>
      </c>
      <c r="B796" s="1">
        <v>45875</v>
      </c>
      <c r="C796" s="1">
        <v>45876</v>
      </c>
      <c r="D796" t="s">
        <v>19</v>
      </c>
      <c r="E796" t="s">
        <v>30</v>
      </c>
      <c r="F796">
        <v>809151</v>
      </c>
      <c r="G796" t="s">
        <v>9</v>
      </c>
      <c r="H796" t="s">
        <v>35</v>
      </c>
      <c r="I796" t="s">
        <v>15</v>
      </c>
      <c r="J796">
        <v>16653</v>
      </c>
      <c r="K796" t="s">
        <v>2050</v>
      </c>
    </row>
    <row r="797" spans="1:11" x14ac:dyDescent="0.35">
      <c r="A797" t="s">
        <v>842</v>
      </c>
      <c r="B797" s="1">
        <v>45836</v>
      </c>
      <c r="C797" s="1">
        <v>45840</v>
      </c>
      <c r="D797" t="s">
        <v>40</v>
      </c>
      <c r="E797" t="s">
        <v>38</v>
      </c>
      <c r="F797">
        <v>410989</v>
      </c>
      <c r="G797" t="s">
        <v>13</v>
      </c>
      <c r="H797" t="s">
        <v>31</v>
      </c>
      <c r="I797" t="s">
        <v>31</v>
      </c>
      <c r="J797">
        <v>12719</v>
      </c>
      <c r="K797" t="s">
        <v>2050</v>
      </c>
    </row>
    <row r="798" spans="1:11" x14ac:dyDescent="0.35">
      <c r="A798" t="s">
        <v>843</v>
      </c>
      <c r="B798" s="1">
        <v>45985</v>
      </c>
      <c r="C798" s="1">
        <v>45988</v>
      </c>
      <c r="D798" t="s">
        <v>8</v>
      </c>
      <c r="E798" t="s">
        <v>27</v>
      </c>
      <c r="F798">
        <v>366917</v>
      </c>
      <c r="G798" t="s">
        <v>13</v>
      </c>
      <c r="H798" t="s">
        <v>45</v>
      </c>
      <c r="I798" t="s">
        <v>34</v>
      </c>
      <c r="J798">
        <v>19216</v>
      </c>
      <c r="K798" t="s">
        <v>2050</v>
      </c>
    </row>
    <row r="799" spans="1:11" x14ac:dyDescent="0.35">
      <c r="A799" t="s">
        <v>844</v>
      </c>
      <c r="B799" s="1">
        <v>45909</v>
      </c>
      <c r="C799" s="1">
        <v>45913</v>
      </c>
      <c r="D799" t="s">
        <v>40</v>
      </c>
      <c r="E799" t="s">
        <v>27</v>
      </c>
      <c r="F799">
        <v>161432</v>
      </c>
      <c r="G799" t="s">
        <v>13</v>
      </c>
      <c r="H799" t="s">
        <v>34</v>
      </c>
      <c r="I799" t="s">
        <v>24</v>
      </c>
      <c r="J799">
        <v>13422</v>
      </c>
      <c r="K799" t="s">
        <v>2050</v>
      </c>
    </row>
    <row r="800" spans="1:11" x14ac:dyDescent="0.35">
      <c r="A800" t="s">
        <v>845</v>
      </c>
      <c r="B800" s="1">
        <v>45857</v>
      </c>
      <c r="C800" s="1">
        <v>45861</v>
      </c>
      <c r="D800" t="s">
        <v>19</v>
      </c>
      <c r="E800" t="s">
        <v>33</v>
      </c>
      <c r="F800">
        <v>802322</v>
      </c>
      <c r="G800" t="s">
        <v>28</v>
      </c>
      <c r="H800" t="s">
        <v>44</v>
      </c>
      <c r="I800" t="s">
        <v>42</v>
      </c>
      <c r="J800">
        <v>17448</v>
      </c>
      <c r="K800" t="s">
        <v>2050</v>
      </c>
    </row>
    <row r="801" spans="1:11" x14ac:dyDescent="0.35">
      <c r="A801" t="s">
        <v>846</v>
      </c>
      <c r="B801" s="1">
        <v>45949</v>
      </c>
      <c r="C801" s="1">
        <v>45952</v>
      </c>
      <c r="D801" t="s">
        <v>8</v>
      </c>
      <c r="E801" t="s">
        <v>12</v>
      </c>
      <c r="F801">
        <v>489547</v>
      </c>
      <c r="G801" t="s">
        <v>28</v>
      </c>
      <c r="H801" t="s">
        <v>42</v>
      </c>
      <c r="I801" t="s">
        <v>11</v>
      </c>
      <c r="J801">
        <v>18061</v>
      </c>
      <c r="K801" t="s">
        <v>2051</v>
      </c>
    </row>
    <row r="802" spans="1:11" x14ac:dyDescent="0.35">
      <c r="A802" t="s">
        <v>847</v>
      </c>
      <c r="B802" s="1">
        <v>45706</v>
      </c>
      <c r="C802" s="1">
        <v>45711</v>
      </c>
      <c r="D802" t="s">
        <v>19</v>
      </c>
      <c r="E802" t="s">
        <v>27</v>
      </c>
      <c r="F802">
        <v>514270</v>
      </c>
      <c r="G802" t="s">
        <v>28</v>
      </c>
      <c r="H802" t="s">
        <v>32</v>
      </c>
      <c r="I802" t="s">
        <v>24</v>
      </c>
      <c r="J802">
        <v>16042</v>
      </c>
      <c r="K802" t="s">
        <v>2052</v>
      </c>
    </row>
    <row r="803" spans="1:11" x14ac:dyDescent="0.35">
      <c r="A803" t="s">
        <v>848</v>
      </c>
      <c r="B803" s="1">
        <v>45834</v>
      </c>
      <c r="C803" s="1">
        <v>45837</v>
      </c>
      <c r="D803" t="s">
        <v>39</v>
      </c>
      <c r="E803" t="s">
        <v>30</v>
      </c>
      <c r="F803">
        <v>373774</v>
      </c>
      <c r="G803" t="s">
        <v>28</v>
      </c>
      <c r="H803" t="s">
        <v>15</v>
      </c>
      <c r="I803" t="s">
        <v>32</v>
      </c>
      <c r="J803">
        <v>24885</v>
      </c>
      <c r="K803" t="s">
        <v>2053</v>
      </c>
    </row>
    <row r="804" spans="1:11" x14ac:dyDescent="0.35">
      <c r="A804" t="s">
        <v>849</v>
      </c>
      <c r="B804" s="1">
        <v>45784</v>
      </c>
      <c r="C804" s="1">
        <v>45788</v>
      </c>
      <c r="D804" t="s">
        <v>40</v>
      </c>
      <c r="E804" t="s">
        <v>38</v>
      </c>
      <c r="F804">
        <v>155270</v>
      </c>
      <c r="G804" t="s">
        <v>9</v>
      </c>
      <c r="H804" t="s">
        <v>36</v>
      </c>
      <c r="I804" t="s">
        <v>10</v>
      </c>
      <c r="J804">
        <v>12192</v>
      </c>
      <c r="K804" t="s">
        <v>2054</v>
      </c>
    </row>
    <row r="805" spans="1:11" x14ac:dyDescent="0.35">
      <c r="A805" t="s">
        <v>850</v>
      </c>
      <c r="B805" s="1">
        <v>45822</v>
      </c>
      <c r="C805" s="1">
        <v>45825</v>
      </c>
      <c r="D805" t="s">
        <v>8</v>
      </c>
      <c r="E805" t="s">
        <v>27</v>
      </c>
      <c r="F805">
        <v>144304</v>
      </c>
      <c r="G805" t="s">
        <v>9</v>
      </c>
      <c r="H805" t="s">
        <v>11</v>
      </c>
      <c r="I805" t="s">
        <v>11</v>
      </c>
      <c r="J805">
        <v>19629</v>
      </c>
      <c r="K805" t="s">
        <v>2053</v>
      </c>
    </row>
    <row r="806" spans="1:11" x14ac:dyDescent="0.35">
      <c r="A806" t="s">
        <v>851</v>
      </c>
      <c r="B806" s="1">
        <v>45719</v>
      </c>
      <c r="C806" s="1">
        <v>45720</v>
      </c>
      <c r="D806" t="s">
        <v>39</v>
      </c>
      <c r="E806" t="s">
        <v>30</v>
      </c>
      <c r="F806">
        <v>723476</v>
      </c>
      <c r="G806" t="s">
        <v>28</v>
      </c>
      <c r="H806" t="s">
        <v>45</v>
      </c>
      <c r="I806" t="s">
        <v>15</v>
      </c>
      <c r="J806">
        <v>24603</v>
      </c>
      <c r="K806" t="s">
        <v>2050</v>
      </c>
    </row>
    <row r="807" spans="1:11" x14ac:dyDescent="0.35">
      <c r="A807" t="s">
        <v>852</v>
      </c>
      <c r="B807" s="1">
        <v>45739</v>
      </c>
      <c r="C807" s="1">
        <v>45741</v>
      </c>
      <c r="D807" t="s">
        <v>39</v>
      </c>
      <c r="E807" t="s">
        <v>16</v>
      </c>
      <c r="F807">
        <v>316213</v>
      </c>
      <c r="G807" t="s">
        <v>17</v>
      </c>
      <c r="H807" t="s">
        <v>42</v>
      </c>
      <c r="I807" t="s">
        <v>15</v>
      </c>
      <c r="J807">
        <v>25769</v>
      </c>
      <c r="K807" t="s">
        <v>2051</v>
      </c>
    </row>
    <row r="808" spans="1:11" x14ac:dyDescent="0.35">
      <c r="A808" t="s">
        <v>853</v>
      </c>
      <c r="B808" s="1">
        <v>46014</v>
      </c>
      <c r="C808" s="1">
        <v>46015</v>
      </c>
      <c r="D808" t="s">
        <v>8</v>
      </c>
      <c r="E808" t="s">
        <v>33</v>
      </c>
      <c r="F808">
        <v>869109</v>
      </c>
      <c r="G808" t="s">
        <v>9</v>
      </c>
      <c r="H808" t="s">
        <v>34</v>
      </c>
      <c r="I808" t="s">
        <v>22</v>
      </c>
      <c r="J808">
        <v>20724</v>
      </c>
      <c r="K808" t="s">
        <v>2052</v>
      </c>
    </row>
    <row r="809" spans="1:11" x14ac:dyDescent="0.35">
      <c r="A809" t="s">
        <v>854</v>
      </c>
      <c r="B809" s="1">
        <v>45960</v>
      </c>
      <c r="C809" s="1">
        <v>45964</v>
      </c>
      <c r="D809" t="s">
        <v>8</v>
      </c>
      <c r="E809" t="s">
        <v>23</v>
      </c>
      <c r="F809">
        <v>424740</v>
      </c>
      <c r="G809" t="s">
        <v>9</v>
      </c>
      <c r="H809" t="s">
        <v>10</v>
      </c>
      <c r="I809" t="s">
        <v>21</v>
      </c>
      <c r="J809">
        <v>20100</v>
      </c>
      <c r="K809" t="s">
        <v>2053</v>
      </c>
    </row>
    <row r="810" spans="1:11" x14ac:dyDescent="0.35">
      <c r="A810" t="s">
        <v>855</v>
      </c>
      <c r="B810" s="1">
        <v>45784</v>
      </c>
      <c r="C810" s="1">
        <v>45785</v>
      </c>
      <c r="D810" t="s">
        <v>39</v>
      </c>
      <c r="E810" t="s">
        <v>38</v>
      </c>
      <c r="F810">
        <v>497804</v>
      </c>
      <c r="G810" t="s">
        <v>28</v>
      </c>
      <c r="H810" t="s">
        <v>31</v>
      </c>
      <c r="I810" t="s">
        <v>41</v>
      </c>
      <c r="J810">
        <v>23640</v>
      </c>
      <c r="K810" t="s">
        <v>2054</v>
      </c>
    </row>
    <row r="811" spans="1:11" x14ac:dyDescent="0.35">
      <c r="A811" t="s">
        <v>856</v>
      </c>
      <c r="B811" s="1">
        <v>45776</v>
      </c>
      <c r="C811" s="1">
        <v>45778</v>
      </c>
      <c r="D811" t="s">
        <v>40</v>
      </c>
      <c r="E811" t="s">
        <v>27</v>
      </c>
      <c r="F811">
        <v>527156</v>
      </c>
      <c r="G811" t="s">
        <v>26</v>
      </c>
      <c r="H811" t="s">
        <v>25</v>
      </c>
      <c r="I811" t="s">
        <v>42</v>
      </c>
      <c r="J811">
        <v>14179</v>
      </c>
      <c r="K811" t="s">
        <v>2053</v>
      </c>
    </row>
    <row r="812" spans="1:11" x14ac:dyDescent="0.35">
      <c r="A812" t="s">
        <v>857</v>
      </c>
      <c r="B812" s="1">
        <v>45817</v>
      </c>
      <c r="C812" s="1">
        <v>45818</v>
      </c>
      <c r="D812" t="s">
        <v>19</v>
      </c>
      <c r="E812" t="s">
        <v>12</v>
      </c>
      <c r="F812">
        <v>812810</v>
      </c>
      <c r="G812" t="s">
        <v>28</v>
      </c>
      <c r="H812" t="s">
        <v>25</v>
      </c>
      <c r="I812" t="s">
        <v>15</v>
      </c>
      <c r="J812">
        <v>14450</v>
      </c>
      <c r="K812" t="s">
        <v>2052</v>
      </c>
    </row>
    <row r="813" spans="1:11" x14ac:dyDescent="0.35">
      <c r="A813" t="s">
        <v>858</v>
      </c>
      <c r="B813" s="1">
        <v>45782</v>
      </c>
      <c r="C813" s="1">
        <v>45785</v>
      </c>
      <c r="D813" t="s">
        <v>39</v>
      </c>
      <c r="E813" t="s">
        <v>33</v>
      </c>
      <c r="F813">
        <v>353258</v>
      </c>
      <c r="G813" t="s">
        <v>17</v>
      </c>
      <c r="H813" t="s">
        <v>29</v>
      </c>
      <c r="I813" t="s">
        <v>11</v>
      </c>
      <c r="J813">
        <v>25357</v>
      </c>
      <c r="K813" t="s">
        <v>2052</v>
      </c>
    </row>
    <row r="814" spans="1:11" x14ac:dyDescent="0.35">
      <c r="A814" t="s">
        <v>859</v>
      </c>
      <c r="B814" s="1">
        <v>45938</v>
      </c>
      <c r="C814" s="1">
        <v>45939</v>
      </c>
      <c r="D814" t="s">
        <v>8</v>
      </c>
      <c r="E814" t="s">
        <v>20</v>
      </c>
      <c r="F814">
        <v>681817</v>
      </c>
      <c r="G814" t="s">
        <v>13</v>
      </c>
      <c r="H814" t="s">
        <v>31</v>
      </c>
      <c r="I814" t="s">
        <v>18</v>
      </c>
      <c r="J814">
        <v>21063</v>
      </c>
      <c r="K814" t="s">
        <v>2052</v>
      </c>
    </row>
    <row r="815" spans="1:11" x14ac:dyDescent="0.35">
      <c r="A815" t="s">
        <v>860</v>
      </c>
      <c r="B815" s="1">
        <v>45709</v>
      </c>
      <c r="C815" s="1">
        <v>45712</v>
      </c>
      <c r="D815" t="s">
        <v>39</v>
      </c>
      <c r="E815" t="s">
        <v>12</v>
      </c>
      <c r="F815">
        <v>622746</v>
      </c>
      <c r="G815" t="s">
        <v>9</v>
      </c>
      <c r="H815" t="s">
        <v>11</v>
      </c>
      <c r="I815" t="s">
        <v>34</v>
      </c>
      <c r="J815">
        <v>23971</v>
      </c>
      <c r="K815" t="s">
        <v>2053</v>
      </c>
    </row>
    <row r="816" spans="1:11" x14ac:dyDescent="0.35">
      <c r="A816" t="s">
        <v>861</v>
      </c>
      <c r="B816" s="1">
        <v>45990</v>
      </c>
      <c r="C816" s="1">
        <v>45994</v>
      </c>
      <c r="D816" t="s">
        <v>19</v>
      </c>
      <c r="E816" t="s">
        <v>20</v>
      </c>
      <c r="F816">
        <v>784206</v>
      </c>
      <c r="G816" t="s">
        <v>17</v>
      </c>
      <c r="H816" t="s">
        <v>11</v>
      </c>
      <c r="I816" t="s">
        <v>44</v>
      </c>
      <c r="J816">
        <v>16753</v>
      </c>
      <c r="K816" t="s">
        <v>2053</v>
      </c>
    </row>
    <row r="817" spans="1:11" x14ac:dyDescent="0.35">
      <c r="A817" t="s">
        <v>862</v>
      </c>
      <c r="B817" s="1">
        <v>45996</v>
      </c>
      <c r="C817" s="1">
        <v>46001</v>
      </c>
      <c r="D817" t="s">
        <v>19</v>
      </c>
      <c r="E817" t="s">
        <v>23</v>
      </c>
      <c r="F817">
        <v>948080</v>
      </c>
      <c r="G817" t="s">
        <v>13</v>
      </c>
      <c r="H817" t="s">
        <v>15</v>
      </c>
      <c r="I817" t="s">
        <v>11</v>
      </c>
      <c r="J817">
        <v>16832</v>
      </c>
      <c r="K817" t="s">
        <v>2053</v>
      </c>
    </row>
    <row r="818" spans="1:11" x14ac:dyDescent="0.35">
      <c r="A818" t="s">
        <v>863</v>
      </c>
      <c r="B818" s="1">
        <v>45878</v>
      </c>
      <c r="C818" s="1">
        <v>45880</v>
      </c>
      <c r="D818" t="s">
        <v>39</v>
      </c>
      <c r="E818" t="s">
        <v>20</v>
      </c>
      <c r="F818">
        <v>711580</v>
      </c>
      <c r="G818" t="s">
        <v>26</v>
      </c>
      <c r="H818" t="s">
        <v>35</v>
      </c>
      <c r="I818" t="s">
        <v>42</v>
      </c>
      <c r="J818">
        <v>27114</v>
      </c>
      <c r="K818" t="s">
        <v>2053</v>
      </c>
    </row>
    <row r="819" spans="1:11" x14ac:dyDescent="0.35">
      <c r="A819" t="s">
        <v>864</v>
      </c>
      <c r="B819" s="1">
        <v>45992</v>
      </c>
      <c r="C819" s="1">
        <v>45995</v>
      </c>
      <c r="D819" t="s">
        <v>19</v>
      </c>
      <c r="E819" t="s">
        <v>16</v>
      </c>
      <c r="F819">
        <v>920810</v>
      </c>
      <c r="G819" t="s">
        <v>26</v>
      </c>
      <c r="H819" t="s">
        <v>32</v>
      </c>
      <c r="I819" t="s">
        <v>32</v>
      </c>
      <c r="J819">
        <v>15467</v>
      </c>
      <c r="K819" t="s">
        <v>2050</v>
      </c>
    </row>
    <row r="820" spans="1:11" x14ac:dyDescent="0.35">
      <c r="A820" t="s">
        <v>865</v>
      </c>
      <c r="B820" s="1">
        <v>45863</v>
      </c>
      <c r="C820" s="1">
        <v>45866</v>
      </c>
      <c r="D820" t="s">
        <v>8</v>
      </c>
      <c r="E820" t="s">
        <v>27</v>
      </c>
      <c r="F820">
        <v>196796</v>
      </c>
      <c r="G820" t="s">
        <v>26</v>
      </c>
      <c r="H820" t="s">
        <v>32</v>
      </c>
      <c r="I820" t="s">
        <v>45</v>
      </c>
      <c r="J820">
        <v>20164</v>
      </c>
      <c r="K820" t="s">
        <v>2051</v>
      </c>
    </row>
    <row r="821" spans="1:11" x14ac:dyDescent="0.35">
      <c r="A821" t="s">
        <v>866</v>
      </c>
      <c r="B821" s="1">
        <v>45975</v>
      </c>
      <c r="C821" s="1">
        <v>45980</v>
      </c>
      <c r="D821" t="s">
        <v>40</v>
      </c>
      <c r="E821" t="s">
        <v>27</v>
      </c>
      <c r="F821">
        <v>572414</v>
      </c>
      <c r="G821" t="s">
        <v>9</v>
      </c>
      <c r="H821" t="s">
        <v>25</v>
      </c>
      <c r="I821" t="s">
        <v>43</v>
      </c>
      <c r="J821">
        <v>14243</v>
      </c>
      <c r="K821" t="s">
        <v>2052</v>
      </c>
    </row>
    <row r="822" spans="1:11" x14ac:dyDescent="0.35">
      <c r="A822" t="s">
        <v>867</v>
      </c>
      <c r="B822" s="1">
        <v>45759</v>
      </c>
      <c r="C822" s="1">
        <v>45764</v>
      </c>
      <c r="D822" t="s">
        <v>40</v>
      </c>
      <c r="E822" t="s">
        <v>20</v>
      </c>
      <c r="F822">
        <v>970550</v>
      </c>
      <c r="G822" t="s">
        <v>26</v>
      </c>
      <c r="H822" t="s">
        <v>31</v>
      </c>
      <c r="I822" t="s">
        <v>34</v>
      </c>
      <c r="J822">
        <v>14321</v>
      </c>
      <c r="K822" t="s">
        <v>2053</v>
      </c>
    </row>
    <row r="823" spans="1:11" x14ac:dyDescent="0.35">
      <c r="A823" t="s">
        <v>868</v>
      </c>
      <c r="B823" s="1">
        <v>45818</v>
      </c>
      <c r="C823" s="1">
        <v>45823</v>
      </c>
      <c r="D823" t="s">
        <v>19</v>
      </c>
      <c r="E823" t="s">
        <v>33</v>
      </c>
      <c r="F823">
        <v>687689</v>
      </c>
      <c r="G823" t="s">
        <v>28</v>
      </c>
      <c r="H823" t="s">
        <v>24</v>
      </c>
      <c r="I823" t="s">
        <v>44</v>
      </c>
      <c r="J823">
        <v>16682</v>
      </c>
      <c r="K823" t="s">
        <v>2054</v>
      </c>
    </row>
    <row r="824" spans="1:11" x14ac:dyDescent="0.35">
      <c r="A824" t="s">
        <v>869</v>
      </c>
      <c r="B824" s="1">
        <v>45832</v>
      </c>
      <c r="C824" s="1">
        <v>45834</v>
      </c>
      <c r="D824" t="s">
        <v>40</v>
      </c>
      <c r="E824" t="s">
        <v>16</v>
      </c>
      <c r="F824">
        <v>331985</v>
      </c>
      <c r="G824" t="s">
        <v>26</v>
      </c>
      <c r="H824" t="s">
        <v>32</v>
      </c>
      <c r="I824" t="s">
        <v>41</v>
      </c>
      <c r="J824">
        <v>14367</v>
      </c>
      <c r="K824" t="s">
        <v>2053</v>
      </c>
    </row>
    <row r="825" spans="1:11" x14ac:dyDescent="0.35">
      <c r="A825" t="s">
        <v>870</v>
      </c>
      <c r="B825" s="1">
        <v>45670</v>
      </c>
      <c r="C825" s="1">
        <v>45675</v>
      </c>
      <c r="D825" t="s">
        <v>40</v>
      </c>
      <c r="E825" t="s">
        <v>38</v>
      </c>
      <c r="F825">
        <v>650417</v>
      </c>
      <c r="G825" t="s">
        <v>28</v>
      </c>
      <c r="H825" t="s">
        <v>31</v>
      </c>
      <c r="I825" t="s">
        <v>32</v>
      </c>
      <c r="J825">
        <v>12900</v>
      </c>
      <c r="K825" t="s">
        <v>2050</v>
      </c>
    </row>
    <row r="826" spans="1:11" x14ac:dyDescent="0.35">
      <c r="A826" t="s">
        <v>871</v>
      </c>
      <c r="B826" s="1">
        <v>45673</v>
      </c>
      <c r="C826" s="1">
        <v>45675</v>
      </c>
      <c r="D826" t="s">
        <v>40</v>
      </c>
      <c r="E826" t="s">
        <v>20</v>
      </c>
      <c r="F826">
        <v>569413</v>
      </c>
      <c r="G826" t="s">
        <v>9</v>
      </c>
      <c r="H826" t="s">
        <v>45</v>
      </c>
      <c r="I826" t="s">
        <v>41</v>
      </c>
      <c r="J826">
        <v>15358</v>
      </c>
      <c r="K826" t="s">
        <v>2051</v>
      </c>
    </row>
    <row r="827" spans="1:11" x14ac:dyDescent="0.35">
      <c r="A827" t="s">
        <v>872</v>
      </c>
      <c r="B827" s="1">
        <v>45921</v>
      </c>
      <c r="C827" s="1">
        <v>45924</v>
      </c>
      <c r="D827" t="s">
        <v>19</v>
      </c>
      <c r="E827" t="s">
        <v>30</v>
      </c>
      <c r="F827">
        <v>976501</v>
      </c>
      <c r="G827" t="s">
        <v>28</v>
      </c>
      <c r="H827" t="s">
        <v>42</v>
      </c>
      <c r="I827" t="s">
        <v>10</v>
      </c>
      <c r="J827">
        <v>16057</v>
      </c>
      <c r="K827" t="s">
        <v>2052</v>
      </c>
    </row>
    <row r="828" spans="1:11" x14ac:dyDescent="0.35">
      <c r="A828" t="s">
        <v>873</v>
      </c>
      <c r="B828" s="1">
        <v>45762</v>
      </c>
      <c r="C828" s="1">
        <v>45767</v>
      </c>
      <c r="D828" t="s">
        <v>39</v>
      </c>
      <c r="E828" t="s">
        <v>12</v>
      </c>
      <c r="F828">
        <v>418839</v>
      </c>
      <c r="G828" t="s">
        <v>28</v>
      </c>
      <c r="H828" t="s">
        <v>10</v>
      </c>
      <c r="I828" t="s">
        <v>10</v>
      </c>
      <c r="J828">
        <v>23708</v>
      </c>
      <c r="K828" t="s">
        <v>2053</v>
      </c>
    </row>
    <row r="829" spans="1:11" x14ac:dyDescent="0.35">
      <c r="A829" t="s">
        <v>874</v>
      </c>
      <c r="B829" s="1">
        <v>45983</v>
      </c>
      <c r="C829" s="1">
        <v>45984</v>
      </c>
      <c r="D829" t="s">
        <v>8</v>
      </c>
      <c r="E829" t="s">
        <v>38</v>
      </c>
      <c r="F829">
        <v>958237</v>
      </c>
      <c r="G829" t="s">
        <v>13</v>
      </c>
      <c r="H829" t="s">
        <v>11</v>
      </c>
      <c r="I829" t="s">
        <v>43</v>
      </c>
      <c r="J829">
        <v>17778</v>
      </c>
      <c r="K829" t="s">
        <v>2054</v>
      </c>
    </row>
    <row r="830" spans="1:11" x14ac:dyDescent="0.35">
      <c r="A830" t="s">
        <v>875</v>
      </c>
      <c r="B830" s="1">
        <v>45745</v>
      </c>
      <c r="C830" s="1">
        <v>45746</v>
      </c>
      <c r="D830" t="s">
        <v>8</v>
      </c>
      <c r="E830" t="s">
        <v>38</v>
      </c>
      <c r="F830">
        <v>888799</v>
      </c>
      <c r="G830" t="s">
        <v>26</v>
      </c>
      <c r="H830" t="s">
        <v>35</v>
      </c>
      <c r="I830" t="s">
        <v>14</v>
      </c>
      <c r="J830">
        <v>18701</v>
      </c>
      <c r="K830" t="s">
        <v>2053</v>
      </c>
    </row>
    <row r="831" spans="1:11" x14ac:dyDescent="0.35">
      <c r="A831" t="s">
        <v>876</v>
      </c>
      <c r="B831" s="1">
        <v>45796</v>
      </c>
      <c r="C831" s="1">
        <v>45799</v>
      </c>
      <c r="D831" t="s">
        <v>19</v>
      </c>
      <c r="E831" t="s">
        <v>30</v>
      </c>
      <c r="F831">
        <v>980747</v>
      </c>
      <c r="G831" t="s">
        <v>28</v>
      </c>
      <c r="H831" t="s">
        <v>43</v>
      </c>
      <c r="I831" t="s">
        <v>36</v>
      </c>
      <c r="J831">
        <v>15991</v>
      </c>
      <c r="K831" t="s">
        <v>2052</v>
      </c>
    </row>
    <row r="832" spans="1:11" x14ac:dyDescent="0.35">
      <c r="A832" t="s">
        <v>877</v>
      </c>
      <c r="B832" s="1">
        <v>45703</v>
      </c>
      <c r="C832" s="1">
        <v>45705</v>
      </c>
      <c r="D832" t="s">
        <v>39</v>
      </c>
      <c r="E832" t="s">
        <v>30</v>
      </c>
      <c r="F832">
        <v>493166</v>
      </c>
      <c r="G832" t="s">
        <v>28</v>
      </c>
      <c r="H832" t="s">
        <v>43</v>
      </c>
      <c r="I832" t="s">
        <v>22</v>
      </c>
      <c r="J832">
        <v>25558</v>
      </c>
      <c r="K832" t="s">
        <v>2052</v>
      </c>
    </row>
    <row r="833" spans="1:11" x14ac:dyDescent="0.35">
      <c r="A833" t="s">
        <v>878</v>
      </c>
      <c r="B833" s="1">
        <v>45726</v>
      </c>
      <c r="C833" s="1">
        <v>45731</v>
      </c>
      <c r="D833" t="s">
        <v>39</v>
      </c>
      <c r="E833" t="s">
        <v>12</v>
      </c>
      <c r="F833">
        <v>512487</v>
      </c>
      <c r="G833" t="s">
        <v>26</v>
      </c>
      <c r="H833" t="s">
        <v>22</v>
      </c>
      <c r="I833" t="s">
        <v>42</v>
      </c>
      <c r="J833">
        <v>23179</v>
      </c>
      <c r="K833" t="s">
        <v>2052</v>
      </c>
    </row>
    <row r="834" spans="1:11" x14ac:dyDescent="0.35">
      <c r="A834" t="s">
        <v>879</v>
      </c>
      <c r="B834" s="1">
        <v>45748</v>
      </c>
      <c r="C834" s="1">
        <v>45751</v>
      </c>
      <c r="D834" t="s">
        <v>39</v>
      </c>
      <c r="E834" t="s">
        <v>27</v>
      </c>
      <c r="F834">
        <v>285893</v>
      </c>
      <c r="G834" t="s">
        <v>9</v>
      </c>
      <c r="H834" t="s">
        <v>44</v>
      </c>
      <c r="I834" t="s">
        <v>25</v>
      </c>
      <c r="J834">
        <v>25018</v>
      </c>
      <c r="K834" t="s">
        <v>2053</v>
      </c>
    </row>
    <row r="835" spans="1:11" x14ac:dyDescent="0.35">
      <c r="A835" t="s">
        <v>880</v>
      </c>
      <c r="B835" s="1">
        <v>45848</v>
      </c>
      <c r="C835" s="1">
        <v>45849</v>
      </c>
      <c r="D835" t="s">
        <v>40</v>
      </c>
      <c r="E835" t="s">
        <v>12</v>
      </c>
      <c r="F835">
        <v>682659</v>
      </c>
      <c r="G835" t="s">
        <v>28</v>
      </c>
      <c r="H835" t="s">
        <v>11</v>
      </c>
      <c r="I835" t="s">
        <v>29</v>
      </c>
      <c r="J835">
        <v>12315</v>
      </c>
      <c r="K835" t="s">
        <v>2053</v>
      </c>
    </row>
    <row r="836" spans="1:11" x14ac:dyDescent="0.35">
      <c r="A836" t="s">
        <v>881</v>
      </c>
      <c r="B836" s="1">
        <v>46018</v>
      </c>
      <c r="C836" s="1">
        <v>46019</v>
      </c>
      <c r="D836" t="s">
        <v>19</v>
      </c>
      <c r="E836" t="s">
        <v>23</v>
      </c>
      <c r="F836">
        <v>139275</v>
      </c>
      <c r="G836" t="s">
        <v>26</v>
      </c>
      <c r="H836" t="s">
        <v>42</v>
      </c>
      <c r="I836" t="s">
        <v>29</v>
      </c>
      <c r="J836">
        <v>17170</v>
      </c>
      <c r="K836" t="s">
        <v>2053</v>
      </c>
    </row>
    <row r="837" spans="1:11" x14ac:dyDescent="0.35">
      <c r="A837" t="s">
        <v>882</v>
      </c>
      <c r="B837" s="1">
        <v>45814</v>
      </c>
      <c r="C837" s="1">
        <v>45818</v>
      </c>
      <c r="D837" t="s">
        <v>40</v>
      </c>
      <c r="E837" t="s">
        <v>23</v>
      </c>
      <c r="F837">
        <v>446559</v>
      </c>
      <c r="G837" t="s">
        <v>9</v>
      </c>
      <c r="H837" t="s">
        <v>25</v>
      </c>
      <c r="I837" t="s">
        <v>36</v>
      </c>
      <c r="J837">
        <v>15203</v>
      </c>
      <c r="K837" t="s">
        <v>2053</v>
      </c>
    </row>
    <row r="838" spans="1:11" x14ac:dyDescent="0.35">
      <c r="A838" t="s">
        <v>883</v>
      </c>
      <c r="B838" s="1">
        <v>45735</v>
      </c>
      <c r="C838" s="1">
        <v>45738</v>
      </c>
      <c r="D838" t="s">
        <v>19</v>
      </c>
      <c r="E838" t="s">
        <v>23</v>
      </c>
      <c r="F838">
        <v>517145</v>
      </c>
      <c r="G838" t="s">
        <v>17</v>
      </c>
      <c r="H838" t="s">
        <v>34</v>
      </c>
      <c r="I838" t="s">
        <v>32</v>
      </c>
      <c r="J838">
        <v>17274</v>
      </c>
      <c r="K838" t="s">
        <v>2050</v>
      </c>
    </row>
    <row r="839" spans="1:11" x14ac:dyDescent="0.35">
      <c r="A839" t="s">
        <v>884</v>
      </c>
      <c r="B839" s="1">
        <v>45985</v>
      </c>
      <c r="C839" s="1">
        <v>45989</v>
      </c>
      <c r="D839" t="s">
        <v>40</v>
      </c>
      <c r="E839" t="s">
        <v>33</v>
      </c>
      <c r="F839">
        <v>765439</v>
      </c>
      <c r="G839" t="s">
        <v>26</v>
      </c>
      <c r="H839" t="s">
        <v>34</v>
      </c>
      <c r="I839" t="s">
        <v>14</v>
      </c>
      <c r="J839">
        <v>15466</v>
      </c>
      <c r="K839" t="s">
        <v>2051</v>
      </c>
    </row>
    <row r="840" spans="1:11" x14ac:dyDescent="0.35">
      <c r="A840" t="s">
        <v>885</v>
      </c>
      <c r="B840" s="1">
        <v>45730</v>
      </c>
      <c r="C840" s="1">
        <v>45734</v>
      </c>
      <c r="D840" t="s">
        <v>39</v>
      </c>
      <c r="E840" t="s">
        <v>12</v>
      </c>
      <c r="F840">
        <v>206416</v>
      </c>
      <c r="G840" t="s">
        <v>28</v>
      </c>
      <c r="H840" t="s">
        <v>11</v>
      </c>
      <c r="I840" t="s">
        <v>15</v>
      </c>
      <c r="J840">
        <v>24151</v>
      </c>
      <c r="K840" t="s">
        <v>2052</v>
      </c>
    </row>
    <row r="841" spans="1:11" x14ac:dyDescent="0.35">
      <c r="A841" t="s">
        <v>886</v>
      </c>
      <c r="B841" s="1">
        <v>45966</v>
      </c>
      <c r="C841" s="1">
        <v>45968</v>
      </c>
      <c r="D841" t="s">
        <v>19</v>
      </c>
      <c r="E841" t="s">
        <v>23</v>
      </c>
      <c r="F841">
        <v>351696</v>
      </c>
      <c r="G841" t="s">
        <v>13</v>
      </c>
      <c r="H841" t="s">
        <v>15</v>
      </c>
      <c r="I841" t="s">
        <v>44</v>
      </c>
      <c r="J841">
        <v>17874</v>
      </c>
      <c r="K841" t="s">
        <v>2053</v>
      </c>
    </row>
    <row r="842" spans="1:11" x14ac:dyDescent="0.35">
      <c r="A842" t="s">
        <v>887</v>
      </c>
      <c r="B842" s="1">
        <v>45990</v>
      </c>
      <c r="C842" s="1">
        <v>45992</v>
      </c>
      <c r="D842" t="s">
        <v>19</v>
      </c>
      <c r="E842" t="s">
        <v>23</v>
      </c>
      <c r="F842">
        <v>672106</v>
      </c>
      <c r="G842" t="s">
        <v>28</v>
      </c>
      <c r="H842" t="s">
        <v>45</v>
      </c>
      <c r="I842" t="s">
        <v>45</v>
      </c>
      <c r="J842">
        <v>17271</v>
      </c>
      <c r="K842" t="s">
        <v>2054</v>
      </c>
    </row>
    <row r="843" spans="1:11" x14ac:dyDescent="0.35">
      <c r="A843" t="s">
        <v>888</v>
      </c>
      <c r="B843" s="1">
        <v>46017</v>
      </c>
      <c r="C843" s="1">
        <v>46022</v>
      </c>
      <c r="D843" t="s">
        <v>8</v>
      </c>
      <c r="E843" t="s">
        <v>12</v>
      </c>
      <c r="F843">
        <v>248858</v>
      </c>
      <c r="G843" t="s">
        <v>9</v>
      </c>
      <c r="H843" t="s">
        <v>10</v>
      </c>
      <c r="I843" t="s">
        <v>25</v>
      </c>
      <c r="J843">
        <v>18522</v>
      </c>
      <c r="K843" t="s">
        <v>2053</v>
      </c>
    </row>
    <row r="844" spans="1:11" x14ac:dyDescent="0.35">
      <c r="A844" t="s">
        <v>889</v>
      </c>
      <c r="B844" s="1">
        <v>46018</v>
      </c>
      <c r="C844" s="1">
        <v>46020</v>
      </c>
      <c r="D844" t="s">
        <v>8</v>
      </c>
      <c r="E844" t="s">
        <v>20</v>
      </c>
      <c r="F844">
        <v>514348</v>
      </c>
      <c r="G844" t="s">
        <v>17</v>
      </c>
      <c r="H844" t="s">
        <v>10</v>
      </c>
      <c r="I844" t="s">
        <v>35</v>
      </c>
      <c r="J844">
        <v>20812</v>
      </c>
      <c r="K844" t="s">
        <v>2053</v>
      </c>
    </row>
    <row r="845" spans="1:11" x14ac:dyDescent="0.35">
      <c r="A845" t="s">
        <v>890</v>
      </c>
      <c r="B845" s="1">
        <v>45987</v>
      </c>
      <c r="C845" s="1">
        <v>45988</v>
      </c>
      <c r="D845" t="s">
        <v>39</v>
      </c>
      <c r="E845" t="s">
        <v>27</v>
      </c>
      <c r="F845">
        <v>712643</v>
      </c>
      <c r="G845" t="s">
        <v>26</v>
      </c>
      <c r="H845" t="s">
        <v>24</v>
      </c>
      <c r="I845" t="s">
        <v>21</v>
      </c>
      <c r="J845">
        <v>25336</v>
      </c>
      <c r="K845" t="s">
        <v>2054</v>
      </c>
    </row>
    <row r="846" spans="1:11" x14ac:dyDescent="0.35">
      <c r="A846" t="s">
        <v>891</v>
      </c>
      <c r="B846" s="1">
        <v>45793</v>
      </c>
      <c r="C846" s="1">
        <v>45795</v>
      </c>
      <c r="D846" t="s">
        <v>39</v>
      </c>
      <c r="E846" t="s">
        <v>27</v>
      </c>
      <c r="F846">
        <v>133494</v>
      </c>
      <c r="G846" t="s">
        <v>9</v>
      </c>
      <c r="H846" t="s">
        <v>18</v>
      </c>
      <c r="I846" t="s">
        <v>21</v>
      </c>
      <c r="J846">
        <v>24819</v>
      </c>
      <c r="K846" t="s">
        <v>2050</v>
      </c>
    </row>
    <row r="847" spans="1:11" x14ac:dyDescent="0.35">
      <c r="A847" t="s">
        <v>892</v>
      </c>
      <c r="B847" s="1">
        <v>45901</v>
      </c>
      <c r="C847" s="1">
        <v>45906</v>
      </c>
      <c r="D847" t="s">
        <v>40</v>
      </c>
      <c r="E847" t="s">
        <v>20</v>
      </c>
      <c r="F847">
        <v>308911</v>
      </c>
      <c r="G847" t="s">
        <v>17</v>
      </c>
      <c r="H847" t="s">
        <v>43</v>
      </c>
      <c r="I847" t="s">
        <v>21</v>
      </c>
      <c r="J847">
        <v>15479</v>
      </c>
      <c r="K847" t="s">
        <v>2050</v>
      </c>
    </row>
    <row r="848" spans="1:11" x14ac:dyDescent="0.35">
      <c r="A848" t="s">
        <v>893</v>
      </c>
      <c r="B848" s="1">
        <v>45824</v>
      </c>
      <c r="C848" s="1">
        <v>45829</v>
      </c>
      <c r="D848" t="s">
        <v>8</v>
      </c>
      <c r="E848" t="s">
        <v>12</v>
      </c>
      <c r="F848">
        <v>495312</v>
      </c>
      <c r="G848" t="s">
        <v>26</v>
      </c>
      <c r="H848" t="s">
        <v>15</v>
      </c>
      <c r="I848" t="s">
        <v>34</v>
      </c>
      <c r="J848">
        <v>17626</v>
      </c>
      <c r="K848" t="s">
        <v>2050</v>
      </c>
    </row>
    <row r="849" spans="1:11" x14ac:dyDescent="0.35">
      <c r="A849" t="s">
        <v>894</v>
      </c>
      <c r="B849" s="1">
        <v>45808</v>
      </c>
      <c r="C849" s="1">
        <v>45812</v>
      </c>
      <c r="D849" t="s">
        <v>40</v>
      </c>
      <c r="E849" t="s">
        <v>27</v>
      </c>
      <c r="F849">
        <v>604436</v>
      </c>
      <c r="G849" t="s">
        <v>28</v>
      </c>
      <c r="H849" t="s">
        <v>42</v>
      </c>
      <c r="I849" t="s">
        <v>31</v>
      </c>
      <c r="J849">
        <v>14254</v>
      </c>
      <c r="K849" t="s">
        <v>2052</v>
      </c>
    </row>
    <row r="850" spans="1:11" x14ac:dyDescent="0.35">
      <c r="A850" t="s">
        <v>895</v>
      </c>
      <c r="B850" s="1">
        <v>45763</v>
      </c>
      <c r="C850" s="1">
        <v>45768</v>
      </c>
      <c r="D850" t="s">
        <v>40</v>
      </c>
      <c r="E850" t="s">
        <v>23</v>
      </c>
      <c r="F850">
        <v>304410</v>
      </c>
      <c r="G850" t="s">
        <v>9</v>
      </c>
      <c r="H850" t="s">
        <v>24</v>
      </c>
      <c r="I850" t="s">
        <v>10</v>
      </c>
      <c r="J850">
        <v>15237</v>
      </c>
      <c r="K850" t="s">
        <v>2053</v>
      </c>
    </row>
    <row r="851" spans="1:11" x14ac:dyDescent="0.35">
      <c r="A851" t="s">
        <v>896</v>
      </c>
      <c r="B851" s="1">
        <v>45961</v>
      </c>
      <c r="C851" s="1">
        <v>45965</v>
      </c>
      <c r="D851" t="s">
        <v>39</v>
      </c>
      <c r="E851" t="s">
        <v>33</v>
      </c>
      <c r="F851">
        <v>860845</v>
      </c>
      <c r="G851" t="s">
        <v>17</v>
      </c>
      <c r="H851" t="s">
        <v>31</v>
      </c>
      <c r="I851" t="s">
        <v>29</v>
      </c>
      <c r="J851">
        <v>26890</v>
      </c>
      <c r="K851" t="s">
        <v>2052</v>
      </c>
    </row>
    <row r="852" spans="1:11" x14ac:dyDescent="0.35">
      <c r="A852" t="s">
        <v>897</v>
      </c>
      <c r="B852" s="1">
        <v>45850</v>
      </c>
      <c r="C852" s="1">
        <v>45855</v>
      </c>
      <c r="D852" t="s">
        <v>19</v>
      </c>
      <c r="E852" t="s">
        <v>33</v>
      </c>
      <c r="F852">
        <v>517988</v>
      </c>
      <c r="G852" t="s">
        <v>13</v>
      </c>
      <c r="H852" t="s">
        <v>25</v>
      </c>
      <c r="I852" t="s">
        <v>44</v>
      </c>
      <c r="J852">
        <v>17285</v>
      </c>
      <c r="K852" t="s">
        <v>2054</v>
      </c>
    </row>
    <row r="853" spans="1:11" x14ac:dyDescent="0.35">
      <c r="A853" t="s">
        <v>898</v>
      </c>
      <c r="B853" s="1">
        <v>45783</v>
      </c>
      <c r="C853" s="1">
        <v>45788</v>
      </c>
      <c r="D853" t="s">
        <v>39</v>
      </c>
      <c r="E853" t="s">
        <v>33</v>
      </c>
      <c r="F853">
        <v>296011</v>
      </c>
      <c r="G853" t="s">
        <v>28</v>
      </c>
      <c r="H853" t="s">
        <v>44</v>
      </c>
      <c r="I853" t="s">
        <v>34</v>
      </c>
      <c r="J853">
        <v>27140</v>
      </c>
      <c r="K853" t="s">
        <v>2054</v>
      </c>
    </row>
    <row r="854" spans="1:11" x14ac:dyDescent="0.35">
      <c r="A854" t="s">
        <v>899</v>
      </c>
      <c r="B854" s="1">
        <v>45844</v>
      </c>
      <c r="C854" s="1">
        <v>45845</v>
      </c>
      <c r="D854" t="s">
        <v>8</v>
      </c>
      <c r="E854" t="s">
        <v>38</v>
      </c>
      <c r="F854">
        <v>383651</v>
      </c>
      <c r="G854" t="s">
        <v>13</v>
      </c>
      <c r="H854" t="s">
        <v>43</v>
      </c>
      <c r="I854" t="s">
        <v>34</v>
      </c>
      <c r="J854">
        <v>18180</v>
      </c>
      <c r="K854" t="s">
        <v>2054</v>
      </c>
    </row>
    <row r="855" spans="1:11" x14ac:dyDescent="0.35">
      <c r="A855" t="s">
        <v>900</v>
      </c>
      <c r="B855" s="1">
        <v>46016</v>
      </c>
      <c r="C855" s="1">
        <v>46021</v>
      </c>
      <c r="D855" t="s">
        <v>40</v>
      </c>
      <c r="E855" t="s">
        <v>38</v>
      </c>
      <c r="F855">
        <v>358455</v>
      </c>
      <c r="G855" t="s">
        <v>9</v>
      </c>
      <c r="H855" t="s">
        <v>25</v>
      </c>
      <c r="I855" t="s">
        <v>31</v>
      </c>
      <c r="J855">
        <v>12855</v>
      </c>
      <c r="K855" t="s">
        <v>2054</v>
      </c>
    </row>
    <row r="856" spans="1:11" x14ac:dyDescent="0.35">
      <c r="A856" t="s">
        <v>901</v>
      </c>
      <c r="B856" s="1">
        <v>45727</v>
      </c>
      <c r="C856" s="1">
        <v>45732</v>
      </c>
      <c r="D856" t="s">
        <v>40</v>
      </c>
      <c r="E856" t="s">
        <v>30</v>
      </c>
      <c r="F856">
        <v>696668</v>
      </c>
      <c r="G856" t="s">
        <v>17</v>
      </c>
      <c r="H856" t="s">
        <v>32</v>
      </c>
      <c r="I856" t="s">
        <v>31</v>
      </c>
      <c r="J856">
        <v>13365</v>
      </c>
      <c r="K856" t="s">
        <v>2054</v>
      </c>
    </row>
    <row r="857" spans="1:11" x14ac:dyDescent="0.35">
      <c r="A857" t="s">
        <v>902</v>
      </c>
      <c r="B857" s="1">
        <v>45821</v>
      </c>
      <c r="C857" s="1">
        <v>45824</v>
      </c>
      <c r="D857" t="s">
        <v>39</v>
      </c>
      <c r="E857" t="s">
        <v>23</v>
      </c>
      <c r="F857">
        <v>922498</v>
      </c>
      <c r="G857" t="s">
        <v>26</v>
      </c>
      <c r="H857" t="s">
        <v>18</v>
      </c>
      <c r="I857" t="s">
        <v>14</v>
      </c>
      <c r="J857">
        <v>25480</v>
      </c>
      <c r="K857" t="s">
        <v>2054</v>
      </c>
    </row>
    <row r="858" spans="1:11" x14ac:dyDescent="0.35">
      <c r="A858" t="s">
        <v>903</v>
      </c>
      <c r="B858" s="1">
        <v>45672</v>
      </c>
      <c r="C858" s="1">
        <v>45675</v>
      </c>
      <c r="D858" t="s">
        <v>39</v>
      </c>
      <c r="E858" t="s">
        <v>38</v>
      </c>
      <c r="F858">
        <v>520927</v>
      </c>
      <c r="G858" t="s">
        <v>13</v>
      </c>
      <c r="H858" t="s">
        <v>18</v>
      </c>
      <c r="I858" t="s">
        <v>43</v>
      </c>
      <c r="J858">
        <v>24486</v>
      </c>
      <c r="K858" t="s">
        <v>2054</v>
      </c>
    </row>
    <row r="859" spans="1:11" x14ac:dyDescent="0.35">
      <c r="A859" t="s">
        <v>904</v>
      </c>
      <c r="B859" s="1">
        <v>45974</v>
      </c>
      <c r="C859" s="1">
        <v>45976</v>
      </c>
      <c r="D859" t="s">
        <v>40</v>
      </c>
      <c r="E859" t="s">
        <v>16</v>
      </c>
      <c r="F859">
        <v>861800</v>
      </c>
      <c r="G859" t="s">
        <v>17</v>
      </c>
      <c r="H859" t="s">
        <v>25</v>
      </c>
      <c r="I859" t="s">
        <v>35</v>
      </c>
      <c r="J859">
        <v>14192</v>
      </c>
      <c r="K859" t="s">
        <v>2050</v>
      </c>
    </row>
    <row r="860" spans="1:11" x14ac:dyDescent="0.35">
      <c r="A860" t="s">
        <v>905</v>
      </c>
      <c r="B860" s="1">
        <v>45747</v>
      </c>
      <c r="C860" s="1">
        <v>45750</v>
      </c>
      <c r="D860" t="s">
        <v>8</v>
      </c>
      <c r="E860" t="s">
        <v>33</v>
      </c>
      <c r="F860">
        <v>557162</v>
      </c>
      <c r="G860" t="s">
        <v>28</v>
      </c>
      <c r="H860" t="s">
        <v>15</v>
      </c>
      <c r="I860" t="s">
        <v>45</v>
      </c>
      <c r="J860">
        <v>20242</v>
      </c>
      <c r="K860" t="s">
        <v>2051</v>
      </c>
    </row>
    <row r="861" spans="1:11" x14ac:dyDescent="0.35">
      <c r="A861" t="s">
        <v>906</v>
      </c>
      <c r="B861" s="1">
        <v>46008</v>
      </c>
      <c r="C861" s="1">
        <v>46013</v>
      </c>
      <c r="D861" t="s">
        <v>40</v>
      </c>
      <c r="E861" t="s">
        <v>38</v>
      </c>
      <c r="F861">
        <v>870244</v>
      </c>
      <c r="G861" t="s">
        <v>17</v>
      </c>
      <c r="H861" t="s">
        <v>15</v>
      </c>
      <c r="I861" t="s">
        <v>32</v>
      </c>
      <c r="J861">
        <v>12122</v>
      </c>
      <c r="K861" t="s">
        <v>2052</v>
      </c>
    </row>
    <row r="862" spans="1:11" x14ac:dyDescent="0.35">
      <c r="A862" t="s">
        <v>907</v>
      </c>
      <c r="B862" s="1">
        <v>45816</v>
      </c>
      <c r="C862" s="1">
        <v>45821</v>
      </c>
      <c r="D862" t="s">
        <v>39</v>
      </c>
      <c r="E862" t="s">
        <v>16</v>
      </c>
      <c r="F862">
        <v>626475</v>
      </c>
      <c r="G862" t="s">
        <v>17</v>
      </c>
      <c r="H862" t="s">
        <v>14</v>
      </c>
      <c r="I862" t="s">
        <v>36</v>
      </c>
      <c r="J862">
        <v>25663</v>
      </c>
      <c r="K862" t="s">
        <v>2053</v>
      </c>
    </row>
    <row r="863" spans="1:11" x14ac:dyDescent="0.35">
      <c r="A863" t="s">
        <v>908</v>
      </c>
      <c r="B863" s="1">
        <v>45814</v>
      </c>
      <c r="C863" s="1">
        <v>45816</v>
      </c>
      <c r="D863" t="s">
        <v>39</v>
      </c>
      <c r="E863" t="s">
        <v>27</v>
      </c>
      <c r="F863">
        <v>125946</v>
      </c>
      <c r="G863" t="s">
        <v>26</v>
      </c>
      <c r="H863" t="s">
        <v>22</v>
      </c>
      <c r="I863" t="s">
        <v>32</v>
      </c>
      <c r="J863">
        <v>24900</v>
      </c>
      <c r="K863" t="s">
        <v>2054</v>
      </c>
    </row>
    <row r="864" spans="1:11" x14ac:dyDescent="0.35">
      <c r="A864" t="s">
        <v>909</v>
      </c>
      <c r="B864" s="1">
        <v>45866</v>
      </c>
      <c r="C864" s="1">
        <v>45870</v>
      </c>
      <c r="D864" t="s">
        <v>39</v>
      </c>
      <c r="E864" t="s">
        <v>38</v>
      </c>
      <c r="F864">
        <v>450974</v>
      </c>
      <c r="G864" t="s">
        <v>17</v>
      </c>
      <c r="H864" t="s">
        <v>10</v>
      </c>
      <c r="I864" t="s">
        <v>18</v>
      </c>
      <c r="J864">
        <v>23984</v>
      </c>
      <c r="K864" t="s">
        <v>2053</v>
      </c>
    </row>
    <row r="865" spans="1:11" x14ac:dyDescent="0.35">
      <c r="A865" t="s">
        <v>910</v>
      </c>
      <c r="B865" s="1">
        <v>46003</v>
      </c>
      <c r="C865" s="1">
        <v>46005</v>
      </c>
      <c r="D865" t="s">
        <v>39</v>
      </c>
      <c r="E865" t="s">
        <v>23</v>
      </c>
      <c r="F865">
        <v>421267</v>
      </c>
      <c r="G865" t="s">
        <v>28</v>
      </c>
      <c r="H865" t="s">
        <v>41</v>
      </c>
      <c r="I865" t="s">
        <v>21</v>
      </c>
      <c r="J865">
        <v>26929</v>
      </c>
      <c r="K865" t="s">
        <v>2053</v>
      </c>
    </row>
    <row r="866" spans="1:11" x14ac:dyDescent="0.35">
      <c r="A866" t="s">
        <v>911</v>
      </c>
      <c r="B866" s="1">
        <v>45754</v>
      </c>
      <c r="C866" s="1">
        <v>45757</v>
      </c>
      <c r="D866" t="s">
        <v>39</v>
      </c>
      <c r="E866" t="s">
        <v>30</v>
      </c>
      <c r="F866">
        <v>956686</v>
      </c>
      <c r="G866" t="s">
        <v>28</v>
      </c>
      <c r="H866" t="s">
        <v>32</v>
      </c>
      <c r="I866" t="s">
        <v>45</v>
      </c>
      <c r="J866">
        <v>24385</v>
      </c>
      <c r="K866" t="s">
        <v>2054</v>
      </c>
    </row>
    <row r="867" spans="1:11" x14ac:dyDescent="0.35">
      <c r="A867" t="s">
        <v>912</v>
      </c>
      <c r="B867" s="1">
        <v>45825</v>
      </c>
      <c r="C867" s="1">
        <v>45830</v>
      </c>
      <c r="D867" t="s">
        <v>39</v>
      </c>
      <c r="E867" t="s">
        <v>33</v>
      </c>
      <c r="F867">
        <v>479680</v>
      </c>
      <c r="G867" t="s">
        <v>17</v>
      </c>
      <c r="H867" t="s">
        <v>31</v>
      </c>
      <c r="I867" t="s">
        <v>22</v>
      </c>
      <c r="J867">
        <v>26744</v>
      </c>
      <c r="K867" t="s">
        <v>2050</v>
      </c>
    </row>
    <row r="868" spans="1:11" x14ac:dyDescent="0.35">
      <c r="A868" t="s">
        <v>913</v>
      </c>
      <c r="B868" s="1">
        <v>45795</v>
      </c>
      <c r="C868" s="1">
        <v>45797</v>
      </c>
      <c r="D868" t="s">
        <v>19</v>
      </c>
      <c r="E868" t="s">
        <v>30</v>
      </c>
      <c r="F868">
        <v>982831</v>
      </c>
      <c r="G868" t="s">
        <v>17</v>
      </c>
      <c r="H868" t="s">
        <v>10</v>
      </c>
      <c r="I868" t="s">
        <v>24</v>
      </c>
      <c r="J868">
        <v>16268</v>
      </c>
      <c r="K868" t="s">
        <v>2050</v>
      </c>
    </row>
    <row r="869" spans="1:11" x14ac:dyDescent="0.35">
      <c r="A869" t="s">
        <v>914</v>
      </c>
      <c r="B869" s="1">
        <v>45942</v>
      </c>
      <c r="C869" s="1">
        <v>45947</v>
      </c>
      <c r="D869" t="s">
        <v>19</v>
      </c>
      <c r="E869" t="s">
        <v>23</v>
      </c>
      <c r="F869">
        <v>155453</v>
      </c>
      <c r="G869" t="s">
        <v>9</v>
      </c>
      <c r="H869" t="s">
        <v>15</v>
      </c>
      <c r="I869" t="s">
        <v>24</v>
      </c>
      <c r="J869">
        <v>16707</v>
      </c>
      <c r="K869" t="s">
        <v>2050</v>
      </c>
    </row>
    <row r="870" spans="1:11" x14ac:dyDescent="0.35">
      <c r="A870" t="s">
        <v>915</v>
      </c>
      <c r="B870" s="1">
        <v>45764</v>
      </c>
      <c r="C870" s="1">
        <v>45769</v>
      </c>
      <c r="D870" t="s">
        <v>8</v>
      </c>
      <c r="E870" t="s">
        <v>27</v>
      </c>
      <c r="F870">
        <v>520212</v>
      </c>
      <c r="G870" t="s">
        <v>17</v>
      </c>
      <c r="H870" t="s">
        <v>31</v>
      </c>
      <c r="I870" t="s">
        <v>15</v>
      </c>
      <c r="J870">
        <v>20267</v>
      </c>
      <c r="K870" t="s">
        <v>2052</v>
      </c>
    </row>
    <row r="871" spans="1:11" x14ac:dyDescent="0.35">
      <c r="A871" t="s">
        <v>916</v>
      </c>
      <c r="B871" s="1">
        <v>45713</v>
      </c>
      <c r="C871" s="1">
        <v>45718</v>
      </c>
      <c r="D871" t="s">
        <v>19</v>
      </c>
      <c r="E871" t="s">
        <v>20</v>
      </c>
      <c r="F871">
        <v>789475</v>
      </c>
      <c r="G871" t="s">
        <v>13</v>
      </c>
      <c r="H871" t="s">
        <v>14</v>
      </c>
      <c r="I871" t="s">
        <v>11</v>
      </c>
      <c r="J871">
        <v>17363</v>
      </c>
      <c r="K871" t="s">
        <v>2053</v>
      </c>
    </row>
    <row r="872" spans="1:11" x14ac:dyDescent="0.35">
      <c r="A872" t="s">
        <v>917</v>
      </c>
      <c r="B872" s="1">
        <v>45814</v>
      </c>
      <c r="C872" s="1">
        <v>45819</v>
      </c>
      <c r="D872" t="s">
        <v>40</v>
      </c>
      <c r="E872" t="s">
        <v>20</v>
      </c>
      <c r="F872">
        <v>258247</v>
      </c>
      <c r="G872" t="s">
        <v>28</v>
      </c>
      <c r="H872" t="s">
        <v>36</v>
      </c>
      <c r="I872" t="s">
        <v>29</v>
      </c>
      <c r="J872">
        <v>15159</v>
      </c>
      <c r="K872" t="s">
        <v>2052</v>
      </c>
    </row>
    <row r="873" spans="1:11" x14ac:dyDescent="0.35">
      <c r="A873" t="s">
        <v>918</v>
      </c>
      <c r="B873" s="1">
        <v>45661</v>
      </c>
      <c r="C873" s="1">
        <v>45666</v>
      </c>
      <c r="D873" t="s">
        <v>39</v>
      </c>
      <c r="E873" t="s">
        <v>20</v>
      </c>
      <c r="F873">
        <v>275707</v>
      </c>
      <c r="G873" t="s">
        <v>9</v>
      </c>
      <c r="H873" t="s">
        <v>36</v>
      </c>
      <c r="I873" t="s">
        <v>32</v>
      </c>
      <c r="J873">
        <v>25459</v>
      </c>
      <c r="K873" t="s">
        <v>2053</v>
      </c>
    </row>
    <row r="874" spans="1:11" x14ac:dyDescent="0.35">
      <c r="A874" t="s">
        <v>919</v>
      </c>
      <c r="B874" s="1">
        <v>45886</v>
      </c>
      <c r="C874" s="1">
        <v>45889</v>
      </c>
      <c r="D874" t="s">
        <v>39</v>
      </c>
      <c r="E874" t="s">
        <v>38</v>
      </c>
      <c r="F874">
        <v>182059</v>
      </c>
      <c r="G874" t="s">
        <v>9</v>
      </c>
      <c r="H874" t="s">
        <v>45</v>
      </c>
      <c r="I874" t="s">
        <v>32</v>
      </c>
      <c r="J874">
        <v>24909</v>
      </c>
      <c r="K874" t="s">
        <v>2050</v>
      </c>
    </row>
    <row r="875" spans="1:11" x14ac:dyDescent="0.35">
      <c r="A875" t="s">
        <v>920</v>
      </c>
      <c r="B875" s="1">
        <v>45742</v>
      </c>
      <c r="C875" s="1">
        <v>45747</v>
      </c>
      <c r="D875" t="s">
        <v>39</v>
      </c>
      <c r="E875" t="s">
        <v>38</v>
      </c>
      <c r="F875">
        <v>655971</v>
      </c>
      <c r="G875" t="s">
        <v>28</v>
      </c>
      <c r="H875" t="s">
        <v>34</v>
      </c>
      <c r="I875" t="s">
        <v>29</v>
      </c>
      <c r="J875">
        <v>24952</v>
      </c>
      <c r="K875" t="s">
        <v>2051</v>
      </c>
    </row>
    <row r="876" spans="1:11" x14ac:dyDescent="0.35">
      <c r="A876" t="s">
        <v>921</v>
      </c>
      <c r="B876" s="1">
        <v>45788</v>
      </c>
      <c r="C876" s="1">
        <v>45792</v>
      </c>
      <c r="D876" t="s">
        <v>19</v>
      </c>
      <c r="E876" t="s">
        <v>23</v>
      </c>
      <c r="F876">
        <v>817435</v>
      </c>
      <c r="G876" t="s">
        <v>9</v>
      </c>
      <c r="H876" t="s">
        <v>35</v>
      </c>
      <c r="I876" t="s">
        <v>36</v>
      </c>
      <c r="J876">
        <v>17135</v>
      </c>
      <c r="K876" t="s">
        <v>2052</v>
      </c>
    </row>
    <row r="877" spans="1:11" x14ac:dyDescent="0.35">
      <c r="A877" t="s">
        <v>922</v>
      </c>
      <c r="B877" s="1">
        <v>45848</v>
      </c>
      <c r="C877" s="1">
        <v>45852</v>
      </c>
      <c r="D877" t="s">
        <v>8</v>
      </c>
      <c r="E877" t="s">
        <v>20</v>
      </c>
      <c r="F877">
        <v>765359</v>
      </c>
      <c r="G877" t="s">
        <v>28</v>
      </c>
      <c r="H877" t="s">
        <v>11</v>
      </c>
      <c r="I877" t="s">
        <v>32</v>
      </c>
      <c r="J877">
        <v>20460</v>
      </c>
      <c r="K877" t="s">
        <v>2053</v>
      </c>
    </row>
    <row r="878" spans="1:11" x14ac:dyDescent="0.35">
      <c r="A878" t="s">
        <v>923</v>
      </c>
      <c r="B878" s="1">
        <v>45720</v>
      </c>
      <c r="C878" s="1">
        <v>45725</v>
      </c>
      <c r="D878" t="s">
        <v>40</v>
      </c>
      <c r="E878" t="s">
        <v>38</v>
      </c>
      <c r="F878">
        <v>833193</v>
      </c>
      <c r="G878" t="s">
        <v>28</v>
      </c>
      <c r="H878" t="s">
        <v>15</v>
      </c>
      <c r="I878" t="s">
        <v>11</v>
      </c>
      <c r="J878">
        <v>12177</v>
      </c>
      <c r="K878" t="s">
        <v>2054</v>
      </c>
    </row>
    <row r="879" spans="1:11" x14ac:dyDescent="0.35">
      <c r="A879" t="s">
        <v>924</v>
      </c>
      <c r="B879" s="1">
        <v>45706</v>
      </c>
      <c r="C879" s="1">
        <v>45707</v>
      </c>
      <c r="D879" t="s">
        <v>39</v>
      </c>
      <c r="E879" t="s">
        <v>38</v>
      </c>
      <c r="F879">
        <v>462604</v>
      </c>
      <c r="G879" t="s">
        <v>9</v>
      </c>
      <c r="H879" t="s">
        <v>34</v>
      </c>
      <c r="I879" t="s">
        <v>10</v>
      </c>
      <c r="J879">
        <v>24864</v>
      </c>
      <c r="K879" t="s">
        <v>2053</v>
      </c>
    </row>
    <row r="880" spans="1:11" x14ac:dyDescent="0.35">
      <c r="A880" t="s">
        <v>925</v>
      </c>
      <c r="B880" s="1">
        <v>45931</v>
      </c>
      <c r="C880" s="1">
        <v>45934</v>
      </c>
      <c r="D880" t="s">
        <v>39</v>
      </c>
      <c r="E880" t="s">
        <v>27</v>
      </c>
      <c r="F880">
        <v>783221</v>
      </c>
      <c r="G880" t="s">
        <v>17</v>
      </c>
      <c r="H880" t="s">
        <v>35</v>
      </c>
      <c r="I880" t="s">
        <v>32</v>
      </c>
      <c r="J880">
        <v>24390</v>
      </c>
      <c r="K880" t="s">
        <v>2053</v>
      </c>
    </row>
    <row r="881" spans="1:11" x14ac:dyDescent="0.35">
      <c r="A881" t="s">
        <v>926</v>
      </c>
      <c r="B881" s="1">
        <v>45671</v>
      </c>
      <c r="C881" s="1">
        <v>45673</v>
      </c>
      <c r="D881" t="s">
        <v>40</v>
      </c>
      <c r="E881" t="s">
        <v>20</v>
      </c>
      <c r="F881">
        <v>651356</v>
      </c>
      <c r="G881" t="s">
        <v>9</v>
      </c>
      <c r="H881" t="s">
        <v>43</v>
      </c>
      <c r="I881" t="s">
        <v>24</v>
      </c>
      <c r="J881">
        <v>14724</v>
      </c>
      <c r="K881" t="s">
        <v>2054</v>
      </c>
    </row>
    <row r="882" spans="1:11" x14ac:dyDescent="0.35">
      <c r="A882" t="s">
        <v>927</v>
      </c>
      <c r="B882" s="1">
        <v>45706</v>
      </c>
      <c r="C882" s="1">
        <v>45708</v>
      </c>
      <c r="D882" t="s">
        <v>40</v>
      </c>
      <c r="E882" t="s">
        <v>38</v>
      </c>
      <c r="F882">
        <v>939529</v>
      </c>
      <c r="G882" t="s">
        <v>28</v>
      </c>
      <c r="H882" t="s">
        <v>36</v>
      </c>
      <c r="I882" t="s">
        <v>18</v>
      </c>
      <c r="J882">
        <v>12425</v>
      </c>
      <c r="K882" t="s">
        <v>2050</v>
      </c>
    </row>
    <row r="883" spans="1:11" x14ac:dyDescent="0.35">
      <c r="A883" t="s">
        <v>928</v>
      </c>
      <c r="B883" s="1">
        <v>45942</v>
      </c>
      <c r="C883" s="1">
        <v>45943</v>
      </c>
      <c r="D883" t="s">
        <v>8</v>
      </c>
      <c r="E883" t="s">
        <v>30</v>
      </c>
      <c r="F883">
        <v>161250</v>
      </c>
      <c r="G883" t="s">
        <v>9</v>
      </c>
      <c r="H883" t="s">
        <v>32</v>
      </c>
      <c r="I883" t="s">
        <v>10</v>
      </c>
      <c r="J883">
        <v>19786</v>
      </c>
      <c r="K883" t="s">
        <v>2050</v>
      </c>
    </row>
    <row r="884" spans="1:11" x14ac:dyDescent="0.35">
      <c r="A884" t="s">
        <v>929</v>
      </c>
      <c r="B884" s="1">
        <v>46019</v>
      </c>
      <c r="C884" s="1">
        <v>46022</v>
      </c>
      <c r="D884" t="s">
        <v>40</v>
      </c>
      <c r="E884" t="s">
        <v>23</v>
      </c>
      <c r="F884">
        <v>100022</v>
      </c>
      <c r="G884" t="s">
        <v>9</v>
      </c>
      <c r="H884" t="s">
        <v>29</v>
      </c>
      <c r="I884" t="s">
        <v>29</v>
      </c>
      <c r="J884">
        <v>15421</v>
      </c>
      <c r="K884" t="s">
        <v>2050</v>
      </c>
    </row>
    <row r="885" spans="1:11" x14ac:dyDescent="0.35">
      <c r="A885" t="s">
        <v>930</v>
      </c>
      <c r="B885" s="1">
        <v>45848</v>
      </c>
      <c r="C885" s="1">
        <v>45851</v>
      </c>
      <c r="D885" t="s">
        <v>19</v>
      </c>
      <c r="E885" t="s">
        <v>16</v>
      </c>
      <c r="F885">
        <v>318111</v>
      </c>
      <c r="G885" t="s">
        <v>17</v>
      </c>
      <c r="H885" t="s">
        <v>32</v>
      </c>
      <c r="I885" t="s">
        <v>41</v>
      </c>
      <c r="J885">
        <v>16021</v>
      </c>
      <c r="K885" t="s">
        <v>2052</v>
      </c>
    </row>
    <row r="886" spans="1:11" x14ac:dyDescent="0.35">
      <c r="A886" t="s">
        <v>931</v>
      </c>
      <c r="B886" s="1">
        <v>45773</v>
      </c>
      <c r="C886" s="1">
        <v>45777</v>
      </c>
      <c r="D886" t="s">
        <v>8</v>
      </c>
      <c r="E886" t="s">
        <v>12</v>
      </c>
      <c r="F886">
        <v>273949</v>
      </c>
      <c r="G886" t="s">
        <v>17</v>
      </c>
      <c r="H886" t="s">
        <v>21</v>
      </c>
      <c r="I886" t="s">
        <v>29</v>
      </c>
      <c r="J886">
        <v>18017</v>
      </c>
      <c r="K886" t="s">
        <v>2053</v>
      </c>
    </row>
    <row r="887" spans="1:11" x14ac:dyDescent="0.35">
      <c r="A887" t="s">
        <v>932</v>
      </c>
      <c r="B887" s="1">
        <v>45822</v>
      </c>
      <c r="C887" s="1">
        <v>45823</v>
      </c>
      <c r="D887" t="s">
        <v>8</v>
      </c>
      <c r="E887" t="s">
        <v>30</v>
      </c>
      <c r="F887">
        <v>299002</v>
      </c>
      <c r="G887" t="s">
        <v>26</v>
      </c>
      <c r="H887" t="s">
        <v>15</v>
      </c>
      <c r="I887" t="s">
        <v>18</v>
      </c>
      <c r="J887">
        <v>19936</v>
      </c>
      <c r="K887" t="s">
        <v>2052</v>
      </c>
    </row>
    <row r="888" spans="1:11" x14ac:dyDescent="0.35">
      <c r="A888" t="s">
        <v>933</v>
      </c>
      <c r="B888" s="1">
        <v>45831</v>
      </c>
      <c r="C888" s="1">
        <v>45833</v>
      </c>
      <c r="D888" t="s">
        <v>19</v>
      </c>
      <c r="E888" t="s">
        <v>23</v>
      </c>
      <c r="F888">
        <v>371385</v>
      </c>
      <c r="G888" t="s">
        <v>13</v>
      </c>
      <c r="H888" t="s">
        <v>43</v>
      </c>
      <c r="I888" t="s">
        <v>10</v>
      </c>
      <c r="J888">
        <v>17070</v>
      </c>
      <c r="K888" t="s">
        <v>2053</v>
      </c>
    </row>
    <row r="889" spans="1:11" x14ac:dyDescent="0.35">
      <c r="A889" t="s">
        <v>934</v>
      </c>
      <c r="B889" s="1">
        <v>46003</v>
      </c>
      <c r="C889" s="1">
        <v>46007</v>
      </c>
      <c r="D889" t="s">
        <v>8</v>
      </c>
      <c r="E889" t="s">
        <v>27</v>
      </c>
      <c r="F889">
        <v>834309</v>
      </c>
      <c r="G889" t="s">
        <v>13</v>
      </c>
      <c r="H889" t="s">
        <v>31</v>
      </c>
      <c r="I889" t="s">
        <v>22</v>
      </c>
      <c r="J889">
        <v>19158</v>
      </c>
      <c r="K889" t="s">
        <v>2054</v>
      </c>
    </row>
    <row r="890" spans="1:11" x14ac:dyDescent="0.35">
      <c r="A890" t="s">
        <v>935</v>
      </c>
      <c r="B890" s="1">
        <v>45798</v>
      </c>
      <c r="C890" s="1">
        <v>45800</v>
      </c>
      <c r="D890" t="s">
        <v>19</v>
      </c>
      <c r="E890" t="s">
        <v>30</v>
      </c>
      <c r="F890">
        <v>663887</v>
      </c>
      <c r="G890" t="s">
        <v>9</v>
      </c>
      <c r="H890" t="s">
        <v>29</v>
      </c>
      <c r="I890" t="s">
        <v>22</v>
      </c>
      <c r="J890">
        <v>15996</v>
      </c>
      <c r="K890" t="s">
        <v>2054</v>
      </c>
    </row>
    <row r="891" spans="1:11" x14ac:dyDescent="0.35">
      <c r="A891" t="s">
        <v>936</v>
      </c>
      <c r="B891" s="1">
        <v>45997</v>
      </c>
      <c r="C891" s="1">
        <v>46002</v>
      </c>
      <c r="D891" t="s">
        <v>39</v>
      </c>
      <c r="E891" t="s">
        <v>12</v>
      </c>
      <c r="F891">
        <v>171772</v>
      </c>
      <c r="G891" t="s">
        <v>28</v>
      </c>
      <c r="H891" t="s">
        <v>15</v>
      </c>
      <c r="I891" t="s">
        <v>21</v>
      </c>
      <c r="J891">
        <v>23450</v>
      </c>
      <c r="K891" t="s">
        <v>2054</v>
      </c>
    </row>
    <row r="892" spans="1:11" x14ac:dyDescent="0.35">
      <c r="A892" t="s">
        <v>937</v>
      </c>
      <c r="B892" s="1">
        <v>45993</v>
      </c>
      <c r="C892" s="1">
        <v>45994</v>
      </c>
      <c r="D892" t="s">
        <v>39</v>
      </c>
      <c r="E892" t="s">
        <v>38</v>
      </c>
      <c r="F892">
        <v>643364</v>
      </c>
      <c r="G892" t="s">
        <v>9</v>
      </c>
      <c r="H892" t="s">
        <v>21</v>
      </c>
      <c r="I892" t="s">
        <v>18</v>
      </c>
      <c r="J892">
        <v>23247</v>
      </c>
      <c r="K892" t="s">
        <v>2054</v>
      </c>
    </row>
    <row r="893" spans="1:11" x14ac:dyDescent="0.35">
      <c r="A893" t="s">
        <v>938</v>
      </c>
      <c r="B893" s="1">
        <v>45904</v>
      </c>
      <c r="C893" s="1">
        <v>45907</v>
      </c>
      <c r="D893" t="s">
        <v>19</v>
      </c>
      <c r="E893" t="s">
        <v>33</v>
      </c>
      <c r="F893">
        <v>956365</v>
      </c>
      <c r="G893" t="s">
        <v>9</v>
      </c>
      <c r="H893" t="s">
        <v>35</v>
      </c>
      <c r="I893" t="s">
        <v>14</v>
      </c>
      <c r="J893">
        <v>17342</v>
      </c>
      <c r="K893" t="s">
        <v>2052</v>
      </c>
    </row>
    <row r="894" spans="1:11" x14ac:dyDescent="0.35">
      <c r="A894" t="s">
        <v>939</v>
      </c>
      <c r="B894" s="1">
        <v>45825</v>
      </c>
      <c r="C894" s="1">
        <v>45829</v>
      </c>
      <c r="D894" t="s">
        <v>39</v>
      </c>
      <c r="E894" t="s">
        <v>38</v>
      </c>
      <c r="F894">
        <v>423017</v>
      </c>
      <c r="G894" t="s">
        <v>28</v>
      </c>
      <c r="H894" t="s">
        <v>36</v>
      </c>
      <c r="I894" t="s">
        <v>45</v>
      </c>
      <c r="J894">
        <v>24157</v>
      </c>
      <c r="K894" t="s">
        <v>2052</v>
      </c>
    </row>
    <row r="895" spans="1:11" x14ac:dyDescent="0.35">
      <c r="A895" t="s">
        <v>940</v>
      </c>
      <c r="B895" s="1">
        <v>45891</v>
      </c>
      <c r="C895" s="1">
        <v>45896</v>
      </c>
      <c r="D895" t="s">
        <v>40</v>
      </c>
      <c r="E895" t="s">
        <v>30</v>
      </c>
      <c r="F895">
        <v>196232</v>
      </c>
      <c r="G895" t="s">
        <v>17</v>
      </c>
      <c r="H895" t="s">
        <v>10</v>
      </c>
      <c r="I895" t="s">
        <v>24</v>
      </c>
      <c r="J895">
        <v>14067</v>
      </c>
      <c r="K895" t="s">
        <v>2052</v>
      </c>
    </row>
    <row r="896" spans="1:11" x14ac:dyDescent="0.35">
      <c r="A896" t="s">
        <v>941</v>
      </c>
      <c r="B896" s="1">
        <v>45947</v>
      </c>
      <c r="C896" s="1">
        <v>45952</v>
      </c>
      <c r="D896" t="s">
        <v>39</v>
      </c>
      <c r="E896" t="s">
        <v>33</v>
      </c>
      <c r="F896">
        <v>223449</v>
      </c>
      <c r="G896" t="s">
        <v>17</v>
      </c>
      <c r="H896" t="s">
        <v>45</v>
      </c>
      <c r="I896" t="s">
        <v>32</v>
      </c>
      <c r="J896">
        <v>26824</v>
      </c>
      <c r="K896" t="s">
        <v>2053</v>
      </c>
    </row>
    <row r="897" spans="1:11" x14ac:dyDescent="0.35">
      <c r="A897" t="s">
        <v>942</v>
      </c>
      <c r="B897" s="1">
        <v>45788</v>
      </c>
      <c r="C897" s="1">
        <v>45789</v>
      </c>
      <c r="D897" t="s">
        <v>39</v>
      </c>
      <c r="E897" t="s">
        <v>20</v>
      </c>
      <c r="F897">
        <v>357303</v>
      </c>
      <c r="G897" t="s">
        <v>9</v>
      </c>
      <c r="H897" t="s">
        <v>14</v>
      </c>
      <c r="I897" t="s">
        <v>35</v>
      </c>
      <c r="J897">
        <v>26120</v>
      </c>
      <c r="K897" t="s">
        <v>2053</v>
      </c>
    </row>
    <row r="898" spans="1:11" x14ac:dyDescent="0.35">
      <c r="A898" t="s">
        <v>943</v>
      </c>
      <c r="B898" s="1">
        <v>45900</v>
      </c>
      <c r="C898" s="1">
        <v>45904</v>
      </c>
      <c r="D898" t="s">
        <v>19</v>
      </c>
      <c r="E898" t="s">
        <v>16</v>
      </c>
      <c r="F898">
        <v>915419</v>
      </c>
      <c r="G898" t="s">
        <v>9</v>
      </c>
      <c r="H898" t="s">
        <v>22</v>
      </c>
      <c r="I898" t="s">
        <v>44</v>
      </c>
      <c r="J898">
        <v>15996</v>
      </c>
      <c r="K898" t="s">
        <v>2053</v>
      </c>
    </row>
    <row r="899" spans="1:11" x14ac:dyDescent="0.35">
      <c r="A899" t="s">
        <v>944</v>
      </c>
      <c r="B899" s="1">
        <v>45890</v>
      </c>
      <c r="C899" s="1">
        <v>45891</v>
      </c>
      <c r="D899" t="s">
        <v>8</v>
      </c>
      <c r="E899" t="s">
        <v>27</v>
      </c>
      <c r="F899">
        <v>383046</v>
      </c>
      <c r="G899" t="s">
        <v>17</v>
      </c>
      <c r="H899" t="s">
        <v>41</v>
      </c>
      <c r="I899" t="s">
        <v>21</v>
      </c>
      <c r="J899">
        <v>20292</v>
      </c>
      <c r="K899" t="s">
        <v>2050</v>
      </c>
    </row>
    <row r="900" spans="1:11" x14ac:dyDescent="0.35">
      <c r="A900" t="s">
        <v>945</v>
      </c>
      <c r="B900" s="1">
        <v>45746</v>
      </c>
      <c r="C900" s="1">
        <v>45750</v>
      </c>
      <c r="D900" t="s">
        <v>39</v>
      </c>
      <c r="E900" t="s">
        <v>20</v>
      </c>
      <c r="F900">
        <v>170377</v>
      </c>
      <c r="G900" t="s">
        <v>9</v>
      </c>
      <c r="H900" t="s">
        <v>44</v>
      </c>
      <c r="I900" t="s">
        <v>14</v>
      </c>
      <c r="J900">
        <v>25485</v>
      </c>
      <c r="K900" t="s">
        <v>2050</v>
      </c>
    </row>
    <row r="901" spans="1:11" x14ac:dyDescent="0.35">
      <c r="A901" t="s">
        <v>946</v>
      </c>
      <c r="B901" s="1">
        <v>45804</v>
      </c>
      <c r="C901" s="1">
        <v>45809</v>
      </c>
      <c r="D901" t="s">
        <v>39</v>
      </c>
      <c r="E901" t="s">
        <v>20</v>
      </c>
      <c r="F901">
        <v>152823</v>
      </c>
      <c r="G901" t="s">
        <v>17</v>
      </c>
      <c r="H901" t="s">
        <v>10</v>
      </c>
      <c r="I901" t="s">
        <v>41</v>
      </c>
      <c r="J901">
        <v>25628</v>
      </c>
      <c r="K901" t="s">
        <v>2050</v>
      </c>
    </row>
    <row r="902" spans="1:11" x14ac:dyDescent="0.35">
      <c r="A902" t="s">
        <v>947</v>
      </c>
      <c r="B902" s="1">
        <v>45816</v>
      </c>
      <c r="C902" s="1">
        <v>45818</v>
      </c>
      <c r="D902" t="s">
        <v>8</v>
      </c>
      <c r="E902" t="s">
        <v>27</v>
      </c>
      <c r="F902">
        <v>620658</v>
      </c>
      <c r="G902" t="s">
        <v>9</v>
      </c>
      <c r="H902" t="s">
        <v>41</v>
      </c>
      <c r="I902" t="s">
        <v>25</v>
      </c>
      <c r="J902">
        <v>20361</v>
      </c>
      <c r="K902" t="s">
        <v>2050</v>
      </c>
    </row>
    <row r="903" spans="1:11" x14ac:dyDescent="0.35">
      <c r="A903" t="s">
        <v>948</v>
      </c>
      <c r="B903" s="1">
        <v>45777</v>
      </c>
      <c r="C903" s="1">
        <v>45778</v>
      </c>
      <c r="D903" t="s">
        <v>40</v>
      </c>
      <c r="E903" t="s">
        <v>27</v>
      </c>
      <c r="F903">
        <v>299797</v>
      </c>
      <c r="G903" t="s">
        <v>17</v>
      </c>
      <c r="H903" t="s">
        <v>25</v>
      </c>
      <c r="I903" t="s">
        <v>32</v>
      </c>
      <c r="J903">
        <v>14048</v>
      </c>
      <c r="K903" t="s">
        <v>2050</v>
      </c>
    </row>
    <row r="904" spans="1:11" x14ac:dyDescent="0.35">
      <c r="A904" t="s">
        <v>949</v>
      </c>
      <c r="B904" s="1">
        <v>45988</v>
      </c>
      <c r="C904" s="1">
        <v>45992</v>
      </c>
      <c r="D904" t="s">
        <v>8</v>
      </c>
      <c r="E904" t="s">
        <v>33</v>
      </c>
      <c r="F904">
        <v>501519</v>
      </c>
      <c r="G904" t="s">
        <v>28</v>
      </c>
      <c r="H904" t="s">
        <v>21</v>
      </c>
      <c r="I904" t="s">
        <v>35</v>
      </c>
      <c r="J904">
        <v>20090</v>
      </c>
      <c r="K904" t="s">
        <v>2051</v>
      </c>
    </row>
    <row r="905" spans="1:11" x14ac:dyDescent="0.35">
      <c r="A905" t="s">
        <v>950</v>
      </c>
      <c r="B905" s="1">
        <v>45985</v>
      </c>
      <c r="C905" s="1">
        <v>45990</v>
      </c>
      <c r="D905" t="s">
        <v>8</v>
      </c>
      <c r="E905" t="s">
        <v>23</v>
      </c>
      <c r="F905">
        <v>110154</v>
      </c>
      <c r="G905" t="s">
        <v>26</v>
      </c>
      <c r="H905" t="s">
        <v>36</v>
      </c>
      <c r="I905" t="s">
        <v>22</v>
      </c>
      <c r="J905">
        <v>21247</v>
      </c>
      <c r="K905" t="s">
        <v>2052</v>
      </c>
    </row>
    <row r="906" spans="1:11" x14ac:dyDescent="0.35">
      <c r="A906" t="s">
        <v>951</v>
      </c>
      <c r="B906" s="1">
        <v>45749</v>
      </c>
      <c r="C906" s="1">
        <v>45752</v>
      </c>
      <c r="D906" t="s">
        <v>8</v>
      </c>
      <c r="E906" t="s">
        <v>23</v>
      </c>
      <c r="F906">
        <v>327313</v>
      </c>
      <c r="G906" t="s">
        <v>28</v>
      </c>
      <c r="H906" t="s">
        <v>31</v>
      </c>
      <c r="I906" t="s">
        <v>18</v>
      </c>
      <c r="J906">
        <v>19826</v>
      </c>
      <c r="K906" t="s">
        <v>2053</v>
      </c>
    </row>
    <row r="907" spans="1:11" x14ac:dyDescent="0.35">
      <c r="A907" t="s">
        <v>952</v>
      </c>
      <c r="B907" s="1">
        <v>45877</v>
      </c>
      <c r="C907" s="1">
        <v>45881</v>
      </c>
      <c r="D907" t="s">
        <v>8</v>
      </c>
      <c r="E907" t="s">
        <v>16</v>
      </c>
      <c r="F907">
        <v>221716</v>
      </c>
      <c r="G907" t="s">
        <v>28</v>
      </c>
      <c r="H907" t="s">
        <v>25</v>
      </c>
      <c r="I907" t="s">
        <v>32</v>
      </c>
      <c r="J907">
        <v>19347</v>
      </c>
      <c r="K907" t="s">
        <v>2054</v>
      </c>
    </row>
    <row r="908" spans="1:11" x14ac:dyDescent="0.35">
      <c r="A908" t="s">
        <v>953</v>
      </c>
      <c r="B908" s="1">
        <v>46015</v>
      </c>
      <c r="C908" s="1">
        <v>46020</v>
      </c>
      <c r="D908" t="s">
        <v>8</v>
      </c>
      <c r="E908" t="s">
        <v>23</v>
      </c>
      <c r="F908">
        <v>315257</v>
      </c>
      <c r="G908" t="s">
        <v>28</v>
      </c>
      <c r="H908" t="s">
        <v>45</v>
      </c>
      <c r="I908" t="s">
        <v>29</v>
      </c>
      <c r="J908">
        <v>21480</v>
      </c>
      <c r="K908" t="s">
        <v>2053</v>
      </c>
    </row>
    <row r="909" spans="1:11" x14ac:dyDescent="0.35">
      <c r="A909" t="s">
        <v>954</v>
      </c>
      <c r="B909" s="1">
        <v>45734</v>
      </c>
      <c r="C909" s="1">
        <v>45739</v>
      </c>
      <c r="D909" t="s">
        <v>39</v>
      </c>
      <c r="E909" t="s">
        <v>30</v>
      </c>
      <c r="F909">
        <v>137873</v>
      </c>
      <c r="G909" t="s">
        <v>17</v>
      </c>
      <c r="H909" t="s">
        <v>18</v>
      </c>
      <c r="I909" t="s">
        <v>41</v>
      </c>
      <c r="J909">
        <v>24744</v>
      </c>
      <c r="K909" t="s">
        <v>2050</v>
      </c>
    </row>
    <row r="910" spans="1:11" x14ac:dyDescent="0.35">
      <c r="A910" t="s">
        <v>955</v>
      </c>
      <c r="B910" s="1">
        <v>45752</v>
      </c>
      <c r="C910" s="1">
        <v>45754</v>
      </c>
      <c r="D910" t="s">
        <v>40</v>
      </c>
      <c r="E910" t="s">
        <v>16</v>
      </c>
      <c r="F910">
        <v>967819</v>
      </c>
      <c r="G910" t="s">
        <v>9</v>
      </c>
      <c r="H910" t="s">
        <v>11</v>
      </c>
      <c r="I910" t="s">
        <v>15</v>
      </c>
      <c r="J910">
        <v>13630</v>
      </c>
      <c r="K910" t="s">
        <v>2051</v>
      </c>
    </row>
    <row r="911" spans="1:11" x14ac:dyDescent="0.35">
      <c r="A911" t="s">
        <v>956</v>
      </c>
      <c r="B911" s="1">
        <v>45747</v>
      </c>
      <c r="C911" s="1">
        <v>45752</v>
      </c>
      <c r="D911" t="s">
        <v>19</v>
      </c>
      <c r="E911" t="s">
        <v>27</v>
      </c>
      <c r="F911">
        <v>442690</v>
      </c>
      <c r="G911" t="s">
        <v>28</v>
      </c>
      <c r="H911" t="s">
        <v>22</v>
      </c>
      <c r="I911" t="s">
        <v>45</v>
      </c>
      <c r="J911">
        <v>15683</v>
      </c>
      <c r="K911" t="s">
        <v>2052</v>
      </c>
    </row>
    <row r="912" spans="1:11" x14ac:dyDescent="0.35">
      <c r="A912" t="s">
        <v>957</v>
      </c>
      <c r="B912" s="1">
        <v>45672</v>
      </c>
      <c r="C912" s="1">
        <v>45673</v>
      </c>
      <c r="D912" t="s">
        <v>39</v>
      </c>
      <c r="E912" t="s">
        <v>33</v>
      </c>
      <c r="F912">
        <v>466356</v>
      </c>
      <c r="G912" t="s">
        <v>13</v>
      </c>
      <c r="H912" t="s">
        <v>15</v>
      </c>
      <c r="I912" t="s">
        <v>15</v>
      </c>
      <c r="J912">
        <v>26315</v>
      </c>
      <c r="K912" t="s">
        <v>2053</v>
      </c>
    </row>
    <row r="913" spans="1:11" x14ac:dyDescent="0.35">
      <c r="A913" t="s">
        <v>958</v>
      </c>
      <c r="B913" s="1">
        <v>45919</v>
      </c>
      <c r="C913" s="1">
        <v>45923</v>
      </c>
      <c r="D913" t="s">
        <v>8</v>
      </c>
      <c r="E913" t="s">
        <v>12</v>
      </c>
      <c r="F913">
        <v>282581</v>
      </c>
      <c r="G913" t="s">
        <v>17</v>
      </c>
      <c r="H913" t="s">
        <v>44</v>
      </c>
      <c r="I913" t="s">
        <v>34</v>
      </c>
      <c r="J913">
        <v>18887</v>
      </c>
      <c r="K913" t="s">
        <v>2054</v>
      </c>
    </row>
    <row r="914" spans="1:11" x14ac:dyDescent="0.35">
      <c r="A914" t="s">
        <v>959</v>
      </c>
      <c r="B914" s="1">
        <v>45897</v>
      </c>
      <c r="C914" s="1">
        <v>45900</v>
      </c>
      <c r="D914" t="s">
        <v>8</v>
      </c>
      <c r="E914" t="s">
        <v>27</v>
      </c>
      <c r="F914">
        <v>663292</v>
      </c>
      <c r="G914" t="s">
        <v>9</v>
      </c>
      <c r="H914" t="s">
        <v>10</v>
      </c>
      <c r="I914" t="s">
        <v>35</v>
      </c>
      <c r="J914">
        <v>19455</v>
      </c>
      <c r="K914" t="s">
        <v>2053</v>
      </c>
    </row>
    <row r="915" spans="1:11" x14ac:dyDescent="0.35">
      <c r="A915" t="s">
        <v>960</v>
      </c>
      <c r="B915" s="1">
        <v>45872</v>
      </c>
      <c r="C915" s="1">
        <v>45877</v>
      </c>
      <c r="D915" t="s">
        <v>40</v>
      </c>
      <c r="E915" t="s">
        <v>30</v>
      </c>
      <c r="F915">
        <v>280008</v>
      </c>
      <c r="G915" t="s">
        <v>17</v>
      </c>
      <c r="H915" t="s">
        <v>35</v>
      </c>
      <c r="I915" t="s">
        <v>34</v>
      </c>
      <c r="J915">
        <v>13509</v>
      </c>
      <c r="K915" t="s">
        <v>2052</v>
      </c>
    </row>
    <row r="916" spans="1:11" x14ac:dyDescent="0.35">
      <c r="A916" t="s">
        <v>961</v>
      </c>
      <c r="B916" s="1">
        <v>45964</v>
      </c>
      <c r="C916" s="1">
        <v>45965</v>
      </c>
      <c r="D916" t="s">
        <v>19</v>
      </c>
      <c r="E916" t="s">
        <v>16</v>
      </c>
      <c r="F916">
        <v>555942</v>
      </c>
      <c r="G916" t="s">
        <v>26</v>
      </c>
      <c r="H916" t="s">
        <v>14</v>
      </c>
      <c r="I916" t="s">
        <v>45</v>
      </c>
      <c r="J916">
        <v>15746</v>
      </c>
      <c r="K916" t="s">
        <v>2050</v>
      </c>
    </row>
    <row r="917" spans="1:11" x14ac:dyDescent="0.35">
      <c r="A917" t="s">
        <v>962</v>
      </c>
      <c r="B917" s="1">
        <v>45925</v>
      </c>
      <c r="C917" s="1">
        <v>45930</v>
      </c>
      <c r="D917" t="s">
        <v>8</v>
      </c>
      <c r="E917" t="s">
        <v>33</v>
      </c>
      <c r="F917">
        <v>324168</v>
      </c>
      <c r="G917" t="s">
        <v>9</v>
      </c>
      <c r="H917" t="s">
        <v>41</v>
      </c>
      <c r="I917" t="s">
        <v>14</v>
      </c>
      <c r="J917">
        <v>21470</v>
      </c>
      <c r="K917" t="s">
        <v>2051</v>
      </c>
    </row>
    <row r="918" spans="1:11" x14ac:dyDescent="0.35">
      <c r="A918" t="s">
        <v>963</v>
      </c>
      <c r="B918" s="1">
        <v>45712</v>
      </c>
      <c r="C918" s="1">
        <v>45715</v>
      </c>
      <c r="D918" t="s">
        <v>8</v>
      </c>
      <c r="E918" t="s">
        <v>30</v>
      </c>
      <c r="F918">
        <v>935206</v>
      </c>
      <c r="G918" t="s">
        <v>28</v>
      </c>
      <c r="H918" t="s">
        <v>21</v>
      </c>
      <c r="I918" t="s">
        <v>25</v>
      </c>
      <c r="J918">
        <v>19223</v>
      </c>
      <c r="K918" t="s">
        <v>2052</v>
      </c>
    </row>
    <row r="919" spans="1:11" x14ac:dyDescent="0.35">
      <c r="A919" t="s">
        <v>964</v>
      </c>
      <c r="B919" s="1">
        <v>45835</v>
      </c>
      <c r="C919" s="1">
        <v>45838</v>
      </c>
      <c r="D919" t="s">
        <v>19</v>
      </c>
      <c r="E919" t="s">
        <v>38</v>
      </c>
      <c r="F919">
        <v>720723</v>
      </c>
      <c r="G919" t="s">
        <v>13</v>
      </c>
      <c r="H919" t="s">
        <v>10</v>
      </c>
      <c r="I919" t="s">
        <v>21</v>
      </c>
      <c r="J919">
        <v>15549</v>
      </c>
      <c r="K919" t="s">
        <v>2053</v>
      </c>
    </row>
    <row r="920" spans="1:11" x14ac:dyDescent="0.35">
      <c r="A920" t="s">
        <v>965</v>
      </c>
      <c r="B920" s="1">
        <v>45878</v>
      </c>
      <c r="C920" s="1">
        <v>45881</v>
      </c>
      <c r="D920" t="s">
        <v>19</v>
      </c>
      <c r="E920" t="s">
        <v>12</v>
      </c>
      <c r="F920">
        <v>756161</v>
      </c>
      <c r="G920" t="s">
        <v>26</v>
      </c>
      <c r="H920" t="s">
        <v>15</v>
      </c>
      <c r="I920" t="s">
        <v>14</v>
      </c>
      <c r="J920">
        <v>15266</v>
      </c>
      <c r="K920" t="s">
        <v>2054</v>
      </c>
    </row>
    <row r="921" spans="1:11" x14ac:dyDescent="0.35">
      <c r="A921" t="s">
        <v>966</v>
      </c>
      <c r="B921" s="1">
        <v>45920</v>
      </c>
      <c r="C921" s="1">
        <v>45922</v>
      </c>
      <c r="D921" t="s">
        <v>40</v>
      </c>
      <c r="E921" t="s">
        <v>16</v>
      </c>
      <c r="F921">
        <v>558939</v>
      </c>
      <c r="G921" t="s">
        <v>17</v>
      </c>
      <c r="H921" t="s">
        <v>36</v>
      </c>
      <c r="I921" t="s">
        <v>31</v>
      </c>
      <c r="J921">
        <v>13697</v>
      </c>
      <c r="K921" t="s">
        <v>2053</v>
      </c>
    </row>
    <row r="922" spans="1:11" x14ac:dyDescent="0.35">
      <c r="A922" t="s">
        <v>967</v>
      </c>
      <c r="B922" s="1">
        <v>45732</v>
      </c>
      <c r="C922" s="1">
        <v>45734</v>
      </c>
      <c r="D922" t="s">
        <v>39</v>
      </c>
      <c r="E922" t="s">
        <v>30</v>
      </c>
      <c r="F922">
        <v>874308</v>
      </c>
      <c r="G922" t="s">
        <v>9</v>
      </c>
      <c r="H922" t="s">
        <v>22</v>
      </c>
      <c r="I922" t="s">
        <v>18</v>
      </c>
      <c r="J922">
        <v>25065</v>
      </c>
      <c r="K922" t="s">
        <v>2050</v>
      </c>
    </row>
    <row r="923" spans="1:11" x14ac:dyDescent="0.35">
      <c r="A923" t="s">
        <v>968</v>
      </c>
      <c r="B923" s="1">
        <v>45744</v>
      </c>
      <c r="C923" s="1">
        <v>45745</v>
      </c>
      <c r="D923" t="s">
        <v>39</v>
      </c>
      <c r="E923" t="s">
        <v>12</v>
      </c>
      <c r="F923">
        <v>202823</v>
      </c>
      <c r="G923" t="s">
        <v>17</v>
      </c>
      <c r="H923" t="s">
        <v>32</v>
      </c>
      <c r="I923" t="s">
        <v>35</v>
      </c>
      <c r="J923">
        <v>24194</v>
      </c>
      <c r="K923" t="s">
        <v>2051</v>
      </c>
    </row>
    <row r="924" spans="1:11" x14ac:dyDescent="0.35">
      <c r="A924" t="s">
        <v>969</v>
      </c>
      <c r="B924" s="1">
        <v>45677</v>
      </c>
      <c r="C924" s="1">
        <v>45680</v>
      </c>
      <c r="D924" t="s">
        <v>39</v>
      </c>
      <c r="E924" t="s">
        <v>20</v>
      </c>
      <c r="F924">
        <v>400219</v>
      </c>
      <c r="G924" t="s">
        <v>13</v>
      </c>
      <c r="H924" t="s">
        <v>21</v>
      </c>
      <c r="I924" t="s">
        <v>45</v>
      </c>
      <c r="J924">
        <v>25585</v>
      </c>
      <c r="K924" t="s">
        <v>2052</v>
      </c>
    </row>
    <row r="925" spans="1:11" x14ac:dyDescent="0.35">
      <c r="A925" t="s">
        <v>970</v>
      </c>
      <c r="B925" s="1">
        <v>45888</v>
      </c>
      <c r="C925" s="1">
        <v>45891</v>
      </c>
      <c r="D925" t="s">
        <v>19</v>
      </c>
      <c r="E925" t="s">
        <v>20</v>
      </c>
      <c r="F925">
        <v>551869</v>
      </c>
      <c r="G925" t="s">
        <v>28</v>
      </c>
      <c r="H925" t="s">
        <v>18</v>
      </c>
      <c r="I925" t="s">
        <v>22</v>
      </c>
      <c r="J925">
        <v>17966</v>
      </c>
      <c r="K925" t="s">
        <v>2053</v>
      </c>
    </row>
    <row r="926" spans="1:11" x14ac:dyDescent="0.35">
      <c r="A926" t="s">
        <v>971</v>
      </c>
      <c r="B926" s="1">
        <v>45713</v>
      </c>
      <c r="C926" s="1">
        <v>45718</v>
      </c>
      <c r="D926" t="s">
        <v>8</v>
      </c>
      <c r="E926" t="s">
        <v>27</v>
      </c>
      <c r="F926">
        <v>314218</v>
      </c>
      <c r="G926" t="s">
        <v>28</v>
      </c>
      <c r="H926" t="s">
        <v>15</v>
      </c>
      <c r="I926" t="s">
        <v>44</v>
      </c>
      <c r="J926">
        <v>20273</v>
      </c>
      <c r="K926" t="s">
        <v>2054</v>
      </c>
    </row>
    <row r="927" spans="1:11" x14ac:dyDescent="0.35">
      <c r="A927" t="s">
        <v>972</v>
      </c>
      <c r="B927" s="1">
        <v>45927</v>
      </c>
      <c r="C927" s="1">
        <v>45929</v>
      </c>
      <c r="D927" t="s">
        <v>19</v>
      </c>
      <c r="E927" t="s">
        <v>38</v>
      </c>
      <c r="F927">
        <v>782115</v>
      </c>
      <c r="G927" t="s">
        <v>28</v>
      </c>
      <c r="H927" t="s">
        <v>18</v>
      </c>
      <c r="I927" t="s">
        <v>45</v>
      </c>
      <c r="J927">
        <v>15239</v>
      </c>
      <c r="K927" t="s">
        <v>2053</v>
      </c>
    </row>
    <row r="928" spans="1:11" x14ac:dyDescent="0.35">
      <c r="A928" t="s">
        <v>973</v>
      </c>
      <c r="B928" s="1">
        <v>45745</v>
      </c>
      <c r="C928" s="1">
        <v>45748</v>
      </c>
      <c r="D928" t="s">
        <v>19</v>
      </c>
      <c r="E928" t="s">
        <v>20</v>
      </c>
      <c r="F928">
        <v>810048</v>
      </c>
      <c r="G928" t="s">
        <v>26</v>
      </c>
      <c r="H928" t="s">
        <v>24</v>
      </c>
      <c r="I928" t="s">
        <v>14</v>
      </c>
      <c r="J928">
        <v>17906</v>
      </c>
      <c r="K928" t="s">
        <v>2052</v>
      </c>
    </row>
    <row r="929" spans="1:11" x14ac:dyDescent="0.35">
      <c r="A929" t="s">
        <v>974</v>
      </c>
      <c r="B929" s="1">
        <v>45967</v>
      </c>
      <c r="C929" s="1">
        <v>45971</v>
      </c>
      <c r="D929" t="s">
        <v>19</v>
      </c>
      <c r="E929" t="s">
        <v>38</v>
      </c>
      <c r="F929">
        <v>423109</v>
      </c>
      <c r="G929" t="s">
        <v>26</v>
      </c>
      <c r="H929" t="s">
        <v>36</v>
      </c>
      <c r="I929" t="s">
        <v>25</v>
      </c>
      <c r="J929">
        <v>15175</v>
      </c>
      <c r="K929" t="s">
        <v>2052</v>
      </c>
    </row>
    <row r="930" spans="1:11" x14ac:dyDescent="0.35">
      <c r="A930" t="s">
        <v>975</v>
      </c>
      <c r="B930" s="1">
        <v>45825</v>
      </c>
      <c r="C930" s="1">
        <v>45829</v>
      </c>
      <c r="D930" t="s">
        <v>19</v>
      </c>
      <c r="E930" t="s">
        <v>30</v>
      </c>
      <c r="F930">
        <v>609076</v>
      </c>
      <c r="G930" t="s">
        <v>9</v>
      </c>
      <c r="H930" t="s">
        <v>21</v>
      </c>
      <c r="I930" t="s">
        <v>44</v>
      </c>
      <c r="J930">
        <v>15759</v>
      </c>
      <c r="K930" t="s">
        <v>2052</v>
      </c>
    </row>
    <row r="931" spans="1:11" x14ac:dyDescent="0.35">
      <c r="A931" t="s">
        <v>976</v>
      </c>
      <c r="B931" s="1">
        <v>45863</v>
      </c>
      <c r="C931" s="1">
        <v>45867</v>
      </c>
      <c r="D931" t="s">
        <v>39</v>
      </c>
      <c r="E931" t="s">
        <v>23</v>
      </c>
      <c r="F931">
        <v>425307</v>
      </c>
      <c r="G931" t="s">
        <v>13</v>
      </c>
      <c r="H931" t="s">
        <v>24</v>
      </c>
      <c r="I931" t="s">
        <v>44</v>
      </c>
      <c r="J931">
        <v>27539</v>
      </c>
      <c r="K931" t="s">
        <v>2053</v>
      </c>
    </row>
    <row r="932" spans="1:11" x14ac:dyDescent="0.35">
      <c r="A932" t="s">
        <v>977</v>
      </c>
      <c r="B932" s="1">
        <v>45790</v>
      </c>
      <c r="C932" s="1">
        <v>45793</v>
      </c>
      <c r="D932" t="s">
        <v>39</v>
      </c>
      <c r="E932" t="s">
        <v>27</v>
      </c>
      <c r="F932">
        <v>695929</v>
      </c>
      <c r="G932" t="s">
        <v>9</v>
      </c>
      <c r="H932" t="s">
        <v>34</v>
      </c>
      <c r="I932" t="s">
        <v>24</v>
      </c>
      <c r="J932">
        <v>25483</v>
      </c>
      <c r="K932" t="s">
        <v>2053</v>
      </c>
    </row>
    <row r="933" spans="1:11" x14ac:dyDescent="0.35">
      <c r="A933" t="s">
        <v>978</v>
      </c>
      <c r="B933" s="1">
        <v>45725</v>
      </c>
      <c r="C933" s="1">
        <v>45728</v>
      </c>
      <c r="D933" t="s">
        <v>39</v>
      </c>
      <c r="E933" t="s">
        <v>12</v>
      </c>
      <c r="F933">
        <v>684419</v>
      </c>
      <c r="G933" t="s">
        <v>13</v>
      </c>
      <c r="H933" t="s">
        <v>45</v>
      </c>
      <c r="I933" t="s">
        <v>25</v>
      </c>
      <c r="J933">
        <v>24407</v>
      </c>
      <c r="K933" t="s">
        <v>2053</v>
      </c>
    </row>
    <row r="934" spans="1:11" x14ac:dyDescent="0.35">
      <c r="A934" t="s">
        <v>979</v>
      </c>
      <c r="B934" s="1">
        <v>45821</v>
      </c>
      <c r="C934" s="1">
        <v>45826</v>
      </c>
      <c r="D934" t="s">
        <v>39</v>
      </c>
      <c r="E934" t="s">
        <v>38</v>
      </c>
      <c r="F934">
        <v>967126</v>
      </c>
      <c r="G934" t="s">
        <v>9</v>
      </c>
      <c r="H934" t="s">
        <v>32</v>
      </c>
      <c r="I934" t="s">
        <v>22</v>
      </c>
      <c r="J934">
        <v>23722</v>
      </c>
      <c r="K934" t="s">
        <v>2053</v>
      </c>
    </row>
    <row r="935" spans="1:11" x14ac:dyDescent="0.35">
      <c r="A935" t="s">
        <v>980</v>
      </c>
      <c r="B935" s="1">
        <v>45994</v>
      </c>
      <c r="C935" s="1">
        <v>45999</v>
      </c>
      <c r="D935" t="s">
        <v>19</v>
      </c>
      <c r="E935" t="s">
        <v>20</v>
      </c>
      <c r="F935">
        <v>863080</v>
      </c>
      <c r="G935" t="s">
        <v>13</v>
      </c>
      <c r="H935" t="s">
        <v>36</v>
      </c>
      <c r="I935" t="s">
        <v>36</v>
      </c>
      <c r="J935">
        <v>17103</v>
      </c>
      <c r="K935" t="s">
        <v>2050</v>
      </c>
    </row>
    <row r="936" spans="1:11" x14ac:dyDescent="0.35">
      <c r="A936" t="s">
        <v>981</v>
      </c>
      <c r="B936" s="1">
        <v>45888</v>
      </c>
      <c r="C936" s="1">
        <v>45892</v>
      </c>
      <c r="D936" t="s">
        <v>39</v>
      </c>
      <c r="E936" t="s">
        <v>33</v>
      </c>
      <c r="F936">
        <v>512790</v>
      </c>
      <c r="G936" t="s">
        <v>26</v>
      </c>
      <c r="H936" t="s">
        <v>41</v>
      </c>
      <c r="I936" t="s">
        <v>31</v>
      </c>
      <c r="J936">
        <v>26744</v>
      </c>
      <c r="K936" t="s">
        <v>2051</v>
      </c>
    </row>
    <row r="937" spans="1:11" x14ac:dyDescent="0.35">
      <c r="A937" t="s">
        <v>982</v>
      </c>
      <c r="B937" s="1">
        <v>45970</v>
      </c>
      <c r="C937" s="1">
        <v>45971</v>
      </c>
      <c r="D937" t="s">
        <v>39</v>
      </c>
      <c r="E937" t="s">
        <v>23</v>
      </c>
      <c r="F937">
        <v>882709</v>
      </c>
      <c r="G937" t="s">
        <v>17</v>
      </c>
      <c r="H937" t="s">
        <v>10</v>
      </c>
      <c r="I937" t="s">
        <v>14</v>
      </c>
      <c r="J937">
        <v>27398</v>
      </c>
      <c r="K937" t="s">
        <v>2052</v>
      </c>
    </row>
    <row r="938" spans="1:11" x14ac:dyDescent="0.35">
      <c r="A938" t="s">
        <v>983</v>
      </c>
      <c r="B938" s="1">
        <v>45833</v>
      </c>
      <c r="C938" s="1">
        <v>45837</v>
      </c>
      <c r="D938" t="s">
        <v>19</v>
      </c>
      <c r="E938" t="s">
        <v>12</v>
      </c>
      <c r="F938">
        <v>113945</v>
      </c>
      <c r="G938" t="s">
        <v>28</v>
      </c>
      <c r="H938" t="s">
        <v>43</v>
      </c>
      <c r="I938" t="s">
        <v>22</v>
      </c>
      <c r="J938">
        <v>14454</v>
      </c>
      <c r="K938" t="s">
        <v>2053</v>
      </c>
    </row>
    <row r="939" spans="1:11" x14ac:dyDescent="0.35">
      <c r="A939" t="s">
        <v>984</v>
      </c>
      <c r="B939" s="1">
        <v>46007</v>
      </c>
      <c r="C939" s="1">
        <v>46010</v>
      </c>
      <c r="D939" t="s">
        <v>19</v>
      </c>
      <c r="E939" t="s">
        <v>38</v>
      </c>
      <c r="F939">
        <v>182549</v>
      </c>
      <c r="G939" t="s">
        <v>13</v>
      </c>
      <c r="H939" t="s">
        <v>14</v>
      </c>
      <c r="I939" t="s">
        <v>18</v>
      </c>
      <c r="J939">
        <v>15274</v>
      </c>
      <c r="K939" t="s">
        <v>2054</v>
      </c>
    </row>
    <row r="940" spans="1:11" x14ac:dyDescent="0.35">
      <c r="A940" t="s">
        <v>985</v>
      </c>
      <c r="B940" s="1">
        <v>45702</v>
      </c>
      <c r="C940" s="1">
        <v>45707</v>
      </c>
      <c r="D940" t="s">
        <v>8</v>
      </c>
      <c r="E940" t="s">
        <v>27</v>
      </c>
      <c r="F940">
        <v>704532</v>
      </c>
      <c r="G940" t="s">
        <v>9</v>
      </c>
      <c r="H940" t="s">
        <v>32</v>
      </c>
      <c r="I940" t="s">
        <v>42</v>
      </c>
      <c r="J940">
        <v>19501</v>
      </c>
      <c r="K940" t="s">
        <v>2053</v>
      </c>
    </row>
    <row r="941" spans="1:11" x14ac:dyDescent="0.35">
      <c r="A941" t="s">
        <v>986</v>
      </c>
      <c r="B941" s="1">
        <v>45917</v>
      </c>
      <c r="C941" s="1">
        <v>45922</v>
      </c>
      <c r="D941" t="s">
        <v>40</v>
      </c>
      <c r="E941" t="s">
        <v>12</v>
      </c>
      <c r="F941">
        <v>448014</v>
      </c>
      <c r="G941" t="s">
        <v>13</v>
      </c>
      <c r="H941" t="s">
        <v>32</v>
      </c>
      <c r="I941" t="s">
        <v>41</v>
      </c>
      <c r="J941">
        <v>12204</v>
      </c>
      <c r="K941" t="s">
        <v>2050</v>
      </c>
    </row>
    <row r="942" spans="1:11" x14ac:dyDescent="0.35">
      <c r="A942" t="s">
        <v>987</v>
      </c>
      <c r="B942" s="1">
        <v>45732</v>
      </c>
      <c r="C942" s="1">
        <v>45735</v>
      </c>
      <c r="D942" t="s">
        <v>39</v>
      </c>
      <c r="E942" t="s">
        <v>38</v>
      </c>
      <c r="F942">
        <v>155690</v>
      </c>
      <c r="G942" t="s">
        <v>9</v>
      </c>
      <c r="H942" t="s">
        <v>34</v>
      </c>
      <c r="I942" t="s">
        <v>45</v>
      </c>
      <c r="J942">
        <v>23639</v>
      </c>
      <c r="K942" t="s">
        <v>2051</v>
      </c>
    </row>
    <row r="943" spans="1:11" x14ac:dyDescent="0.35">
      <c r="A943" t="s">
        <v>988</v>
      </c>
      <c r="B943" s="1">
        <v>45858</v>
      </c>
      <c r="C943" s="1">
        <v>45863</v>
      </c>
      <c r="D943" t="s">
        <v>8</v>
      </c>
      <c r="E943" t="s">
        <v>38</v>
      </c>
      <c r="F943">
        <v>306949</v>
      </c>
      <c r="G943" t="s">
        <v>13</v>
      </c>
      <c r="H943" t="s">
        <v>18</v>
      </c>
      <c r="I943" t="s">
        <v>24</v>
      </c>
      <c r="J943">
        <v>18031</v>
      </c>
      <c r="K943" t="s">
        <v>2052</v>
      </c>
    </row>
    <row r="944" spans="1:11" x14ac:dyDescent="0.35">
      <c r="A944" t="s">
        <v>989</v>
      </c>
      <c r="B944" s="1">
        <v>45711</v>
      </c>
      <c r="C944" s="1">
        <v>45715</v>
      </c>
      <c r="D944" t="s">
        <v>40</v>
      </c>
      <c r="E944" t="s">
        <v>33</v>
      </c>
      <c r="F944">
        <v>443096</v>
      </c>
      <c r="G944" t="s">
        <v>9</v>
      </c>
      <c r="H944" t="s">
        <v>10</v>
      </c>
      <c r="I944" t="s">
        <v>42</v>
      </c>
      <c r="J944">
        <v>15536</v>
      </c>
      <c r="K944" t="s">
        <v>2053</v>
      </c>
    </row>
    <row r="945" spans="1:11" x14ac:dyDescent="0.35">
      <c r="A945" t="s">
        <v>990</v>
      </c>
      <c r="B945" s="1">
        <v>45922</v>
      </c>
      <c r="C945" s="1">
        <v>45927</v>
      </c>
      <c r="D945" t="s">
        <v>8</v>
      </c>
      <c r="E945" t="s">
        <v>12</v>
      </c>
      <c r="F945">
        <v>736591</v>
      </c>
      <c r="G945" t="s">
        <v>26</v>
      </c>
      <c r="H945" t="s">
        <v>41</v>
      </c>
      <c r="I945" t="s">
        <v>18</v>
      </c>
      <c r="J945">
        <v>17683</v>
      </c>
      <c r="K945" t="s">
        <v>2054</v>
      </c>
    </row>
    <row r="946" spans="1:11" x14ac:dyDescent="0.35">
      <c r="A946" t="s">
        <v>991</v>
      </c>
      <c r="B946" s="1">
        <v>45693</v>
      </c>
      <c r="C946" s="1">
        <v>45698</v>
      </c>
      <c r="D946" t="s">
        <v>39</v>
      </c>
      <c r="E946" t="s">
        <v>27</v>
      </c>
      <c r="F946">
        <v>534215</v>
      </c>
      <c r="G946" t="s">
        <v>17</v>
      </c>
      <c r="H946" t="s">
        <v>35</v>
      </c>
      <c r="I946" t="s">
        <v>25</v>
      </c>
      <c r="J946">
        <v>24569</v>
      </c>
      <c r="K946" t="s">
        <v>2053</v>
      </c>
    </row>
    <row r="947" spans="1:11" x14ac:dyDescent="0.35">
      <c r="A947" t="s">
        <v>992</v>
      </c>
      <c r="B947" s="1">
        <v>45890</v>
      </c>
      <c r="C947" s="1">
        <v>45894</v>
      </c>
      <c r="D947" t="s">
        <v>8</v>
      </c>
      <c r="E947" t="s">
        <v>23</v>
      </c>
      <c r="F947">
        <v>344687</v>
      </c>
      <c r="G947" t="s">
        <v>26</v>
      </c>
      <c r="H947" t="s">
        <v>22</v>
      </c>
      <c r="I947" t="s">
        <v>43</v>
      </c>
      <c r="J947">
        <v>20044</v>
      </c>
      <c r="K947" t="s">
        <v>2052</v>
      </c>
    </row>
    <row r="948" spans="1:11" x14ac:dyDescent="0.35">
      <c r="A948" t="s">
        <v>993</v>
      </c>
      <c r="B948" s="1">
        <v>45850</v>
      </c>
      <c r="C948" s="1">
        <v>45851</v>
      </c>
      <c r="D948" t="s">
        <v>19</v>
      </c>
      <c r="E948" t="s">
        <v>30</v>
      </c>
      <c r="F948">
        <v>438443</v>
      </c>
      <c r="G948" t="s">
        <v>28</v>
      </c>
      <c r="H948" t="s">
        <v>41</v>
      </c>
      <c r="I948" t="s">
        <v>41</v>
      </c>
      <c r="J948">
        <v>16786</v>
      </c>
      <c r="K948" t="s">
        <v>2052</v>
      </c>
    </row>
    <row r="949" spans="1:11" x14ac:dyDescent="0.35">
      <c r="A949" t="s">
        <v>994</v>
      </c>
      <c r="B949" s="1">
        <v>45817</v>
      </c>
      <c r="C949" s="1">
        <v>45822</v>
      </c>
      <c r="D949" t="s">
        <v>19</v>
      </c>
      <c r="E949" t="s">
        <v>12</v>
      </c>
      <c r="F949">
        <v>273694</v>
      </c>
      <c r="G949" t="s">
        <v>28</v>
      </c>
      <c r="H949" t="s">
        <v>22</v>
      </c>
      <c r="I949" t="s">
        <v>43</v>
      </c>
      <c r="J949">
        <v>15500</v>
      </c>
      <c r="K949" t="s">
        <v>2052</v>
      </c>
    </row>
    <row r="950" spans="1:11" x14ac:dyDescent="0.35">
      <c r="A950" t="s">
        <v>995</v>
      </c>
      <c r="B950" s="1">
        <v>45830</v>
      </c>
      <c r="C950" s="1">
        <v>45831</v>
      </c>
      <c r="D950" t="s">
        <v>40</v>
      </c>
      <c r="E950" t="s">
        <v>16</v>
      </c>
      <c r="F950">
        <v>885998</v>
      </c>
      <c r="G950" t="s">
        <v>28</v>
      </c>
      <c r="H950" t="s">
        <v>44</v>
      </c>
      <c r="I950" t="s">
        <v>45</v>
      </c>
      <c r="J950">
        <v>14087</v>
      </c>
      <c r="K950" t="s">
        <v>2053</v>
      </c>
    </row>
    <row r="951" spans="1:11" x14ac:dyDescent="0.35">
      <c r="A951" t="s">
        <v>996</v>
      </c>
      <c r="B951" s="1">
        <v>45806</v>
      </c>
      <c r="C951" s="1">
        <v>45811</v>
      </c>
      <c r="D951" t="s">
        <v>40</v>
      </c>
      <c r="E951" t="s">
        <v>27</v>
      </c>
      <c r="F951">
        <v>375997</v>
      </c>
      <c r="G951" t="s">
        <v>17</v>
      </c>
      <c r="H951" t="s">
        <v>18</v>
      </c>
      <c r="I951" t="s">
        <v>42</v>
      </c>
      <c r="J951">
        <v>14277</v>
      </c>
      <c r="K951" t="s">
        <v>2053</v>
      </c>
    </row>
    <row r="952" spans="1:11" x14ac:dyDescent="0.35">
      <c r="A952" t="s">
        <v>997</v>
      </c>
      <c r="B952" s="1">
        <v>45974</v>
      </c>
      <c r="C952" s="1">
        <v>45979</v>
      </c>
      <c r="D952" t="s">
        <v>8</v>
      </c>
      <c r="E952" t="s">
        <v>38</v>
      </c>
      <c r="F952">
        <v>300947</v>
      </c>
      <c r="G952" t="s">
        <v>13</v>
      </c>
      <c r="H952" t="s">
        <v>42</v>
      </c>
      <c r="I952" t="s">
        <v>41</v>
      </c>
      <c r="J952">
        <v>18442</v>
      </c>
      <c r="K952" t="s">
        <v>2053</v>
      </c>
    </row>
    <row r="953" spans="1:11" x14ac:dyDescent="0.35">
      <c r="A953" t="s">
        <v>998</v>
      </c>
      <c r="B953" s="1">
        <v>45832</v>
      </c>
      <c r="C953" s="1">
        <v>45836</v>
      </c>
      <c r="D953" t="s">
        <v>39</v>
      </c>
      <c r="E953" t="s">
        <v>27</v>
      </c>
      <c r="F953">
        <v>870989</v>
      </c>
      <c r="G953" t="s">
        <v>9</v>
      </c>
      <c r="H953" t="s">
        <v>10</v>
      </c>
      <c r="I953" t="s">
        <v>34</v>
      </c>
      <c r="J953">
        <v>24614</v>
      </c>
      <c r="K953" t="s">
        <v>2053</v>
      </c>
    </row>
    <row r="954" spans="1:11" x14ac:dyDescent="0.35">
      <c r="A954" t="s">
        <v>999</v>
      </c>
      <c r="B954" s="1">
        <v>45862</v>
      </c>
      <c r="C954" s="1">
        <v>45864</v>
      </c>
      <c r="D954" t="s">
        <v>40</v>
      </c>
      <c r="E954" t="s">
        <v>38</v>
      </c>
      <c r="F954">
        <v>547373</v>
      </c>
      <c r="G954" t="s">
        <v>9</v>
      </c>
      <c r="H954" t="s">
        <v>25</v>
      </c>
      <c r="I954" t="s">
        <v>29</v>
      </c>
      <c r="J954">
        <v>12607</v>
      </c>
      <c r="K954" t="s">
        <v>2050</v>
      </c>
    </row>
    <row r="955" spans="1:11" x14ac:dyDescent="0.35">
      <c r="A955" t="s">
        <v>1000</v>
      </c>
      <c r="B955" s="1">
        <v>45943</v>
      </c>
      <c r="C955" s="1">
        <v>45947</v>
      </c>
      <c r="D955" t="s">
        <v>40</v>
      </c>
      <c r="E955" t="s">
        <v>38</v>
      </c>
      <c r="F955">
        <v>155613</v>
      </c>
      <c r="G955" t="s">
        <v>13</v>
      </c>
      <c r="H955" t="s">
        <v>14</v>
      </c>
      <c r="I955" t="s">
        <v>29</v>
      </c>
      <c r="J955">
        <v>12628</v>
      </c>
      <c r="K955" t="s">
        <v>2051</v>
      </c>
    </row>
    <row r="956" spans="1:11" x14ac:dyDescent="0.35">
      <c r="A956" t="s">
        <v>1001</v>
      </c>
      <c r="B956" s="1">
        <v>45730</v>
      </c>
      <c r="C956" s="1">
        <v>45735</v>
      </c>
      <c r="D956" t="s">
        <v>8</v>
      </c>
      <c r="E956" t="s">
        <v>27</v>
      </c>
      <c r="F956">
        <v>744242</v>
      </c>
      <c r="G956" t="s">
        <v>26</v>
      </c>
      <c r="H956" t="s">
        <v>14</v>
      </c>
      <c r="I956" t="s">
        <v>32</v>
      </c>
      <c r="J956">
        <v>19552</v>
      </c>
      <c r="K956" t="s">
        <v>2052</v>
      </c>
    </row>
    <row r="957" spans="1:11" x14ac:dyDescent="0.35">
      <c r="A957" t="s">
        <v>1002</v>
      </c>
      <c r="B957" s="1">
        <v>45993</v>
      </c>
      <c r="C957" s="1">
        <v>45996</v>
      </c>
      <c r="D957" t="s">
        <v>39</v>
      </c>
      <c r="E957" t="s">
        <v>33</v>
      </c>
      <c r="F957">
        <v>180044</v>
      </c>
      <c r="G957" t="s">
        <v>13</v>
      </c>
      <c r="H957" t="s">
        <v>24</v>
      </c>
      <c r="I957" t="s">
        <v>34</v>
      </c>
      <c r="J957">
        <v>26081</v>
      </c>
      <c r="K957" t="s">
        <v>2053</v>
      </c>
    </row>
    <row r="958" spans="1:11" x14ac:dyDescent="0.35">
      <c r="A958" t="s">
        <v>1003</v>
      </c>
      <c r="B958" s="1">
        <v>45698</v>
      </c>
      <c r="C958" s="1">
        <v>45703</v>
      </c>
      <c r="D958" t="s">
        <v>19</v>
      </c>
      <c r="E958" t="s">
        <v>38</v>
      </c>
      <c r="F958">
        <v>428938</v>
      </c>
      <c r="G958" t="s">
        <v>28</v>
      </c>
      <c r="H958" t="s">
        <v>15</v>
      </c>
      <c r="I958" t="s">
        <v>18</v>
      </c>
      <c r="J958">
        <v>15345</v>
      </c>
      <c r="K958" t="s">
        <v>2054</v>
      </c>
    </row>
    <row r="959" spans="1:11" x14ac:dyDescent="0.35">
      <c r="A959" t="s">
        <v>1004</v>
      </c>
      <c r="B959" s="1">
        <v>45927</v>
      </c>
      <c r="C959" s="1">
        <v>45930</v>
      </c>
      <c r="D959" t="s">
        <v>8</v>
      </c>
      <c r="E959" t="s">
        <v>16</v>
      </c>
      <c r="F959">
        <v>555577</v>
      </c>
      <c r="G959" t="s">
        <v>26</v>
      </c>
      <c r="H959" t="s">
        <v>15</v>
      </c>
      <c r="I959" t="s">
        <v>25</v>
      </c>
      <c r="J959">
        <v>19943</v>
      </c>
      <c r="K959" t="s">
        <v>2053</v>
      </c>
    </row>
    <row r="960" spans="1:11" x14ac:dyDescent="0.35">
      <c r="A960" t="s">
        <v>1005</v>
      </c>
      <c r="B960" s="1">
        <v>45765</v>
      </c>
      <c r="C960" s="1">
        <v>45769</v>
      </c>
      <c r="D960" t="s">
        <v>39</v>
      </c>
      <c r="E960" t="s">
        <v>27</v>
      </c>
      <c r="F960">
        <v>635380</v>
      </c>
      <c r="G960" t="s">
        <v>17</v>
      </c>
      <c r="H960" t="s">
        <v>15</v>
      </c>
      <c r="I960" t="s">
        <v>44</v>
      </c>
      <c r="J960">
        <v>25724</v>
      </c>
      <c r="K960" t="s">
        <v>2053</v>
      </c>
    </row>
    <row r="961" spans="1:11" x14ac:dyDescent="0.35">
      <c r="A961" t="s">
        <v>1006</v>
      </c>
      <c r="B961" s="1">
        <v>45800</v>
      </c>
      <c r="C961" s="1">
        <v>45805</v>
      </c>
      <c r="D961" t="s">
        <v>19</v>
      </c>
      <c r="E961" t="s">
        <v>12</v>
      </c>
      <c r="F961">
        <v>722023</v>
      </c>
      <c r="G961" t="s">
        <v>13</v>
      </c>
      <c r="H961" t="s">
        <v>45</v>
      </c>
      <c r="I961" t="s">
        <v>35</v>
      </c>
      <c r="J961">
        <v>14734</v>
      </c>
      <c r="K961" t="s">
        <v>2054</v>
      </c>
    </row>
    <row r="962" spans="1:11" x14ac:dyDescent="0.35">
      <c r="A962" t="s">
        <v>1007</v>
      </c>
      <c r="B962" s="1">
        <v>45807</v>
      </c>
      <c r="C962" s="1">
        <v>45810</v>
      </c>
      <c r="D962" t="s">
        <v>19</v>
      </c>
      <c r="E962" t="s">
        <v>30</v>
      </c>
      <c r="F962">
        <v>334465</v>
      </c>
      <c r="G962" t="s">
        <v>26</v>
      </c>
      <c r="H962" t="s">
        <v>15</v>
      </c>
      <c r="I962" t="s">
        <v>29</v>
      </c>
      <c r="J962">
        <v>16052</v>
      </c>
      <c r="K962" t="s">
        <v>2050</v>
      </c>
    </row>
    <row r="963" spans="1:11" x14ac:dyDescent="0.35">
      <c r="A963" t="s">
        <v>1008</v>
      </c>
      <c r="B963" s="1">
        <v>45740</v>
      </c>
      <c r="C963" s="1">
        <v>45742</v>
      </c>
      <c r="D963" t="s">
        <v>19</v>
      </c>
      <c r="E963" t="s">
        <v>12</v>
      </c>
      <c r="F963">
        <v>819457</v>
      </c>
      <c r="G963" t="s">
        <v>28</v>
      </c>
      <c r="H963" t="s">
        <v>22</v>
      </c>
      <c r="I963" t="s">
        <v>32</v>
      </c>
      <c r="J963">
        <v>14942</v>
      </c>
      <c r="K963" t="s">
        <v>2050</v>
      </c>
    </row>
    <row r="964" spans="1:11" x14ac:dyDescent="0.35">
      <c r="A964" t="s">
        <v>1009</v>
      </c>
      <c r="B964" s="1">
        <v>45908</v>
      </c>
      <c r="C964" s="1">
        <v>45909</v>
      </c>
      <c r="D964" t="s">
        <v>8</v>
      </c>
      <c r="E964" t="s">
        <v>38</v>
      </c>
      <c r="F964">
        <v>836043</v>
      </c>
      <c r="G964" t="s">
        <v>26</v>
      </c>
      <c r="H964" t="s">
        <v>44</v>
      </c>
      <c r="I964" t="s">
        <v>15</v>
      </c>
      <c r="J964">
        <v>17794</v>
      </c>
      <c r="K964" t="s">
        <v>2050</v>
      </c>
    </row>
    <row r="965" spans="1:11" x14ac:dyDescent="0.35">
      <c r="A965" t="s">
        <v>1010</v>
      </c>
      <c r="B965" s="1">
        <v>45860</v>
      </c>
      <c r="C965" s="1">
        <v>45864</v>
      </c>
      <c r="D965" t="s">
        <v>39</v>
      </c>
      <c r="E965" t="s">
        <v>33</v>
      </c>
      <c r="F965">
        <v>508306</v>
      </c>
      <c r="G965" t="s">
        <v>17</v>
      </c>
      <c r="H965" t="s">
        <v>34</v>
      </c>
      <c r="I965" t="s">
        <v>41</v>
      </c>
      <c r="J965">
        <v>26073</v>
      </c>
      <c r="K965" t="s">
        <v>2052</v>
      </c>
    </row>
    <row r="966" spans="1:11" x14ac:dyDescent="0.35">
      <c r="A966" t="s">
        <v>1011</v>
      </c>
      <c r="B966" s="1">
        <v>45673</v>
      </c>
      <c r="C966" s="1">
        <v>45676</v>
      </c>
      <c r="D966" t="s">
        <v>8</v>
      </c>
      <c r="E966" t="s">
        <v>30</v>
      </c>
      <c r="F966">
        <v>170572</v>
      </c>
      <c r="G966" t="s">
        <v>26</v>
      </c>
      <c r="H966" t="s">
        <v>25</v>
      </c>
      <c r="I966" t="s">
        <v>41</v>
      </c>
      <c r="J966">
        <v>20299</v>
      </c>
      <c r="K966" t="s">
        <v>2053</v>
      </c>
    </row>
    <row r="967" spans="1:11" x14ac:dyDescent="0.35">
      <c r="A967" t="s">
        <v>1012</v>
      </c>
      <c r="B967" s="1">
        <v>45794</v>
      </c>
      <c r="C967" s="1">
        <v>45795</v>
      </c>
      <c r="D967" t="s">
        <v>19</v>
      </c>
      <c r="E967" t="s">
        <v>27</v>
      </c>
      <c r="F967">
        <v>423864</v>
      </c>
      <c r="G967" t="s">
        <v>9</v>
      </c>
      <c r="H967" t="s">
        <v>36</v>
      </c>
      <c r="I967" t="s">
        <v>34</v>
      </c>
      <c r="J967">
        <v>15631</v>
      </c>
      <c r="K967" t="s">
        <v>2052</v>
      </c>
    </row>
    <row r="968" spans="1:11" x14ac:dyDescent="0.35">
      <c r="A968" t="s">
        <v>1013</v>
      </c>
      <c r="B968" s="1">
        <v>45956</v>
      </c>
      <c r="C968" s="1">
        <v>45959</v>
      </c>
      <c r="D968" t="s">
        <v>19</v>
      </c>
      <c r="E968" t="s">
        <v>33</v>
      </c>
      <c r="F968">
        <v>522229</v>
      </c>
      <c r="G968" t="s">
        <v>17</v>
      </c>
      <c r="H968" t="s">
        <v>22</v>
      </c>
      <c r="I968" t="s">
        <v>14</v>
      </c>
      <c r="J968">
        <v>17332</v>
      </c>
      <c r="K968" t="s">
        <v>2054</v>
      </c>
    </row>
    <row r="969" spans="1:11" x14ac:dyDescent="0.35">
      <c r="A969" t="s">
        <v>1014</v>
      </c>
      <c r="B969" s="1">
        <v>45712</v>
      </c>
      <c r="C969" s="1">
        <v>45716</v>
      </c>
      <c r="D969" t="s">
        <v>40</v>
      </c>
      <c r="E969" t="s">
        <v>20</v>
      </c>
      <c r="F969">
        <v>706016</v>
      </c>
      <c r="G969" t="s">
        <v>26</v>
      </c>
      <c r="H969" t="s">
        <v>18</v>
      </c>
      <c r="I969" t="s">
        <v>21</v>
      </c>
      <c r="J969">
        <v>14662</v>
      </c>
      <c r="K969" t="s">
        <v>2054</v>
      </c>
    </row>
    <row r="970" spans="1:11" x14ac:dyDescent="0.35">
      <c r="A970" t="s">
        <v>1015</v>
      </c>
      <c r="B970" s="1">
        <v>45904</v>
      </c>
      <c r="C970" s="1">
        <v>45906</v>
      </c>
      <c r="D970" t="s">
        <v>19</v>
      </c>
      <c r="E970" t="s">
        <v>12</v>
      </c>
      <c r="F970">
        <v>463147</v>
      </c>
      <c r="G970" t="s">
        <v>26</v>
      </c>
      <c r="H970" t="s">
        <v>10</v>
      </c>
      <c r="I970" t="s">
        <v>14</v>
      </c>
      <c r="J970">
        <v>14945</v>
      </c>
      <c r="K970" t="s">
        <v>2054</v>
      </c>
    </row>
    <row r="971" spans="1:11" x14ac:dyDescent="0.35">
      <c r="A971" t="s">
        <v>1016</v>
      </c>
      <c r="B971" s="1">
        <v>45690</v>
      </c>
      <c r="C971" s="1">
        <v>45691</v>
      </c>
      <c r="D971" t="s">
        <v>19</v>
      </c>
      <c r="E971" t="s">
        <v>33</v>
      </c>
      <c r="F971">
        <v>748993</v>
      </c>
      <c r="G971" t="s">
        <v>26</v>
      </c>
      <c r="H971" t="s">
        <v>31</v>
      </c>
      <c r="I971" t="s">
        <v>14</v>
      </c>
      <c r="J971">
        <v>17890</v>
      </c>
      <c r="K971" t="s">
        <v>2054</v>
      </c>
    </row>
    <row r="972" spans="1:11" x14ac:dyDescent="0.35">
      <c r="A972" t="s">
        <v>1017</v>
      </c>
      <c r="B972" s="1">
        <v>45743</v>
      </c>
      <c r="C972" s="1">
        <v>45746</v>
      </c>
      <c r="D972" t="s">
        <v>19</v>
      </c>
      <c r="E972" t="s">
        <v>33</v>
      </c>
      <c r="F972">
        <v>319040</v>
      </c>
      <c r="G972" t="s">
        <v>26</v>
      </c>
      <c r="H972" t="s">
        <v>24</v>
      </c>
      <c r="I972" t="s">
        <v>35</v>
      </c>
      <c r="J972">
        <v>16765</v>
      </c>
      <c r="K972" t="s">
        <v>2054</v>
      </c>
    </row>
    <row r="973" spans="1:11" x14ac:dyDescent="0.35">
      <c r="A973" t="s">
        <v>1018</v>
      </c>
      <c r="B973" s="1">
        <v>45974</v>
      </c>
      <c r="C973" s="1">
        <v>45976</v>
      </c>
      <c r="D973" t="s">
        <v>40</v>
      </c>
      <c r="E973" t="s">
        <v>23</v>
      </c>
      <c r="F973">
        <v>712194</v>
      </c>
      <c r="G973" t="s">
        <v>26</v>
      </c>
      <c r="H973" t="s">
        <v>15</v>
      </c>
      <c r="I973" t="s">
        <v>35</v>
      </c>
      <c r="J973">
        <v>15331</v>
      </c>
      <c r="K973" t="s">
        <v>2054</v>
      </c>
    </row>
    <row r="974" spans="1:11" x14ac:dyDescent="0.35">
      <c r="A974" t="s">
        <v>1019</v>
      </c>
      <c r="B974" s="1">
        <v>45917</v>
      </c>
      <c r="C974" s="1">
        <v>45921</v>
      </c>
      <c r="D974" t="s">
        <v>39</v>
      </c>
      <c r="E974" t="s">
        <v>20</v>
      </c>
      <c r="F974">
        <v>567558</v>
      </c>
      <c r="G974" t="s">
        <v>17</v>
      </c>
      <c r="H974" t="s">
        <v>36</v>
      </c>
      <c r="I974" t="s">
        <v>22</v>
      </c>
      <c r="J974">
        <v>25900</v>
      </c>
      <c r="K974" t="s">
        <v>2054</v>
      </c>
    </row>
    <row r="975" spans="1:11" x14ac:dyDescent="0.35">
      <c r="A975" t="s">
        <v>1020</v>
      </c>
      <c r="B975" s="1">
        <v>45756</v>
      </c>
      <c r="C975" s="1">
        <v>45757</v>
      </c>
      <c r="D975" t="s">
        <v>19</v>
      </c>
      <c r="E975" t="s">
        <v>16</v>
      </c>
      <c r="F975">
        <v>659968</v>
      </c>
      <c r="G975" t="s">
        <v>28</v>
      </c>
      <c r="H975" t="s">
        <v>14</v>
      </c>
      <c r="I975" t="s">
        <v>31</v>
      </c>
      <c r="J975">
        <v>16165</v>
      </c>
      <c r="K975" t="s">
        <v>2050</v>
      </c>
    </row>
    <row r="976" spans="1:11" x14ac:dyDescent="0.35">
      <c r="A976" t="s">
        <v>1021</v>
      </c>
      <c r="B976" s="1">
        <v>45665</v>
      </c>
      <c r="C976" s="1">
        <v>45668</v>
      </c>
      <c r="D976" t="s">
        <v>40</v>
      </c>
      <c r="E976" t="s">
        <v>23</v>
      </c>
      <c r="F976">
        <v>910971</v>
      </c>
      <c r="G976" t="s">
        <v>9</v>
      </c>
      <c r="H976" t="s">
        <v>31</v>
      </c>
      <c r="I976" t="s">
        <v>14</v>
      </c>
      <c r="J976">
        <v>14854</v>
      </c>
      <c r="K976" t="s">
        <v>2051</v>
      </c>
    </row>
    <row r="977" spans="1:11" x14ac:dyDescent="0.35">
      <c r="A977" t="s">
        <v>1022</v>
      </c>
      <c r="B977" s="1">
        <v>45784</v>
      </c>
      <c r="C977" s="1">
        <v>45788</v>
      </c>
      <c r="D977" t="s">
        <v>39</v>
      </c>
      <c r="E977" t="s">
        <v>38</v>
      </c>
      <c r="F977">
        <v>105654</v>
      </c>
      <c r="G977" t="s">
        <v>17</v>
      </c>
      <c r="H977" t="s">
        <v>22</v>
      </c>
      <c r="I977" t="s">
        <v>11</v>
      </c>
      <c r="J977">
        <v>23792</v>
      </c>
      <c r="K977" t="s">
        <v>2052</v>
      </c>
    </row>
    <row r="978" spans="1:11" x14ac:dyDescent="0.35">
      <c r="A978" t="s">
        <v>1023</v>
      </c>
      <c r="B978" s="1">
        <v>45861</v>
      </c>
      <c r="C978" s="1">
        <v>45866</v>
      </c>
      <c r="D978" t="s">
        <v>8</v>
      </c>
      <c r="E978" t="s">
        <v>12</v>
      </c>
      <c r="F978">
        <v>724631</v>
      </c>
      <c r="G978" t="s">
        <v>28</v>
      </c>
      <c r="H978" t="s">
        <v>36</v>
      </c>
      <c r="I978" t="s">
        <v>11</v>
      </c>
      <c r="J978">
        <v>18706</v>
      </c>
      <c r="K978" t="s">
        <v>2053</v>
      </c>
    </row>
    <row r="979" spans="1:11" x14ac:dyDescent="0.35">
      <c r="A979" t="s">
        <v>1024</v>
      </c>
      <c r="B979" s="1">
        <v>45764</v>
      </c>
      <c r="C979" s="1">
        <v>45769</v>
      </c>
      <c r="D979" t="s">
        <v>19</v>
      </c>
      <c r="E979" t="s">
        <v>30</v>
      </c>
      <c r="F979">
        <v>339699</v>
      </c>
      <c r="G979" t="s">
        <v>9</v>
      </c>
      <c r="H979" t="s">
        <v>32</v>
      </c>
      <c r="I979" t="s">
        <v>22</v>
      </c>
      <c r="J979">
        <v>15721</v>
      </c>
      <c r="K979" t="s">
        <v>2054</v>
      </c>
    </row>
    <row r="980" spans="1:11" x14ac:dyDescent="0.35">
      <c r="A980" t="s">
        <v>1025</v>
      </c>
      <c r="B980" s="1">
        <v>45741</v>
      </c>
      <c r="C980" s="1">
        <v>45745</v>
      </c>
      <c r="D980" t="s">
        <v>40</v>
      </c>
      <c r="E980" t="s">
        <v>12</v>
      </c>
      <c r="F980">
        <v>655839</v>
      </c>
      <c r="G980" t="s">
        <v>26</v>
      </c>
      <c r="H980" t="s">
        <v>36</v>
      </c>
      <c r="I980" t="s">
        <v>41</v>
      </c>
      <c r="J980">
        <v>12907</v>
      </c>
      <c r="K980" t="s">
        <v>2053</v>
      </c>
    </row>
    <row r="981" spans="1:11" x14ac:dyDescent="0.35">
      <c r="A981" t="s">
        <v>1026</v>
      </c>
      <c r="B981" s="1">
        <v>45723</v>
      </c>
      <c r="C981" s="1">
        <v>45726</v>
      </c>
      <c r="D981" t="s">
        <v>39</v>
      </c>
      <c r="E981" t="s">
        <v>27</v>
      </c>
      <c r="F981">
        <v>597850</v>
      </c>
      <c r="G981" t="s">
        <v>28</v>
      </c>
      <c r="H981" t="s">
        <v>34</v>
      </c>
      <c r="I981" t="s">
        <v>36</v>
      </c>
      <c r="J981">
        <v>24785</v>
      </c>
      <c r="K981" t="s">
        <v>2053</v>
      </c>
    </row>
    <row r="982" spans="1:11" x14ac:dyDescent="0.35">
      <c r="A982" t="s">
        <v>1027</v>
      </c>
      <c r="B982" s="1">
        <v>45956</v>
      </c>
      <c r="C982" s="1">
        <v>45961</v>
      </c>
      <c r="D982" t="s">
        <v>8</v>
      </c>
      <c r="E982" t="s">
        <v>33</v>
      </c>
      <c r="F982">
        <v>621756</v>
      </c>
      <c r="G982" t="s">
        <v>13</v>
      </c>
      <c r="H982" t="s">
        <v>14</v>
      </c>
      <c r="I982" t="s">
        <v>32</v>
      </c>
      <c r="J982">
        <v>20966</v>
      </c>
      <c r="K982" t="s">
        <v>2054</v>
      </c>
    </row>
    <row r="983" spans="1:11" x14ac:dyDescent="0.35">
      <c r="A983" t="s">
        <v>1028</v>
      </c>
      <c r="B983" s="1">
        <v>45779</v>
      </c>
      <c r="C983" s="1">
        <v>45781</v>
      </c>
      <c r="D983" t="s">
        <v>40</v>
      </c>
      <c r="E983" t="s">
        <v>16</v>
      </c>
      <c r="F983">
        <v>354925</v>
      </c>
      <c r="G983" t="s">
        <v>13</v>
      </c>
      <c r="H983" t="s">
        <v>41</v>
      </c>
      <c r="I983" t="s">
        <v>45</v>
      </c>
      <c r="J983">
        <v>13494</v>
      </c>
      <c r="K983" t="s">
        <v>2050</v>
      </c>
    </row>
    <row r="984" spans="1:11" x14ac:dyDescent="0.35">
      <c r="A984" t="s">
        <v>1029</v>
      </c>
      <c r="B984" s="1">
        <v>45856</v>
      </c>
      <c r="C984" s="1">
        <v>45861</v>
      </c>
      <c r="D984" t="s">
        <v>40</v>
      </c>
      <c r="E984" t="s">
        <v>23</v>
      </c>
      <c r="F984">
        <v>224463</v>
      </c>
      <c r="G984" t="s">
        <v>17</v>
      </c>
      <c r="H984" t="s">
        <v>22</v>
      </c>
      <c r="I984" t="s">
        <v>43</v>
      </c>
      <c r="J984">
        <v>14341</v>
      </c>
      <c r="K984" t="s">
        <v>2050</v>
      </c>
    </row>
    <row r="985" spans="1:11" x14ac:dyDescent="0.35">
      <c r="A985" t="s">
        <v>1030</v>
      </c>
      <c r="B985" s="1">
        <v>45858</v>
      </c>
      <c r="C985" s="1">
        <v>45860</v>
      </c>
      <c r="D985" t="s">
        <v>39</v>
      </c>
      <c r="E985" t="s">
        <v>12</v>
      </c>
      <c r="F985">
        <v>332114</v>
      </c>
      <c r="G985" t="s">
        <v>9</v>
      </c>
      <c r="H985" t="s">
        <v>24</v>
      </c>
      <c r="I985" t="s">
        <v>24</v>
      </c>
      <c r="J985">
        <v>23927</v>
      </c>
      <c r="K985" t="s">
        <v>2050</v>
      </c>
    </row>
    <row r="986" spans="1:11" x14ac:dyDescent="0.35">
      <c r="A986" t="s">
        <v>1031</v>
      </c>
      <c r="B986" s="1">
        <v>46012</v>
      </c>
      <c r="C986" s="1">
        <v>46013</v>
      </c>
      <c r="D986" t="s">
        <v>40</v>
      </c>
      <c r="E986" t="s">
        <v>23</v>
      </c>
      <c r="F986">
        <v>424392</v>
      </c>
      <c r="G986" t="s">
        <v>26</v>
      </c>
      <c r="H986" t="s">
        <v>41</v>
      </c>
      <c r="I986" t="s">
        <v>29</v>
      </c>
      <c r="J986">
        <v>15220</v>
      </c>
      <c r="K986" t="s">
        <v>2052</v>
      </c>
    </row>
    <row r="987" spans="1:11" x14ac:dyDescent="0.35">
      <c r="A987" t="s">
        <v>1032</v>
      </c>
      <c r="B987" s="1">
        <v>45690</v>
      </c>
      <c r="C987" s="1">
        <v>45693</v>
      </c>
      <c r="D987" t="s">
        <v>40</v>
      </c>
      <c r="E987" t="s">
        <v>12</v>
      </c>
      <c r="F987">
        <v>168639</v>
      </c>
      <c r="G987" t="s">
        <v>9</v>
      </c>
      <c r="H987" t="s">
        <v>25</v>
      </c>
      <c r="I987" t="s">
        <v>22</v>
      </c>
      <c r="J987">
        <v>12166</v>
      </c>
      <c r="K987" t="s">
        <v>2053</v>
      </c>
    </row>
    <row r="988" spans="1:11" x14ac:dyDescent="0.35">
      <c r="A988" t="s">
        <v>1033</v>
      </c>
      <c r="B988" s="1">
        <v>45926</v>
      </c>
      <c r="C988" s="1">
        <v>45929</v>
      </c>
      <c r="D988" t="s">
        <v>8</v>
      </c>
      <c r="E988" t="s">
        <v>33</v>
      </c>
      <c r="F988">
        <v>277556</v>
      </c>
      <c r="G988" t="s">
        <v>9</v>
      </c>
      <c r="H988" t="s">
        <v>41</v>
      </c>
      <c r="I988" t="s">
        <v>25</v>
      </c>
      <c r="J988">
        <v>21334</v>
      </c>
      <c r="K988" t="s">
        <v>2052</v>
      </c>
    </row>
    <row r="989" spans="1:11" x14ac:dyDescent="0.35">
      <c r="A989" t="s">
        <v>1034</v>
      </c>
      <c r="B989" s="1">
        <v>45782</v>
      </c>
      <c r="C989" s="1">
        <v>45786</v>
      </c>
      <c r="D989" t="s">
        <v>40</v>
      </c>
      <c r="E989" t="s">
        <v>33</v>
      </c>
      <c r="F989">
        <v>261289</v>
      </c>
      <c r="G989" t="s">
        <v>9</v>
      </c>
      <c r="H989" t="s">
        <v>21</v>
      </c>
      <c r="I989" t="s">
        <v>44</v>
      </c>
      <c r="J989">
        <v>14798</v>
      </c>
      <c r="K989" t="s">
        <v>2053</v>
      </c>
    </row>
    <row r="990" spans="1:11" x14ac:dyDescent="0.35">
      <c r="A990" t="s">
        <v>1035</v>
      </c>
      <c r="B990" s="1">
        <v>45935</v>
      </c>
      <c r="C990" s="1">
        <v>45940</v>
      </c>
      <c r="D990" t="s">
        <v>39</v>
      </c>
      <c r="E990" t="s">
        <v>16</v>
      </c>
      <c r="F990">
        <v>844847</v>
      </c>
      <c r="G990" t="s">
        <v>9</v>
      </c>
      <c r="H990" t="s">
        <v>34</v>
      </c>
      <c r="I990" t="s">
        <v>41</v>
      </c>
      <c r="J990">
        <v>25464</v>
      </c>
      <c r="K990" t="s">
        <v>2050</v>
      </c>
    </row>
    <row r="991" spans="1:11" x14ac:dyDescent="0.35">
      <c r="A991" t="s">
        <v>1036</v>
      </c>
      <c r="B991" s="1">
        <v>45715</v>
      </c>
      <c r="C991" s="1">
        <v>45717</v>
      </c>
      <c r="D991" t="s">
        <v>39</v>
      </c>
      <c r="E991" t="s">
        <v>27</v>
      </c>
      <c r="F991">
        <v>446895</v>
      </c>
      <c r="G991" t="s">
        <v>28</v>
      </c>
      <c r="H991" t="s">
        <v>31</v>
      </c>
      <c r="I991" t="s">
        <v>24</v>
      </c>
      <c r="J991">
        <v>25580</v>
      </c>
      <c r="K991" t="s">
        <v>2051</v>
      </c>
    </row>
    <row r="992" spans="1:11" x14ac:dyDescent="0.35">
      <c r="A992" t="s">
        <v>1037</v>
      </c>
      <c r="B992" s="1">
        <v>45666</v>
      </c>
      <c r="C992" s="1">
        <v>45668</v>
      </c>
      <c r="D992" t="s">
        <v>40</v>
      </c>
      <c r="E992" t="s">
        <v>38</v>
      </c>
      <c r="F992">
        <v>733517</v>
      </c>
      <c r="G992" t="s">
        <v>26</v>
      </c>
      <c r="H992" t="s">
        <v>22</v>
      </c>
      <c r="I992" t="s">
        <v>43</v>
      </c>
      <c r="J992">
        <v>12892</v>
      </c>
      <c r="K992" t="s">
        <v>2052</v>
      </c>
    </row>
    <row r="993" spans="1:11" x14ac:dyDescent="0.35">
      <c r="A993" t="s">
        <v>1038</v>
      </c>
      <c r="B993" s="1">
        <v>45692</v>
      </c>
      <c r="C993" s="1">
        <v>45695</v>
      </c>
      <c r="D993" t="s">
        <v>40</v>
      </c>
      <c r="E993" t="s">
        <v>33</v>
      </c>
      <c r="F993">
        <v>202139</v>
      </c>
      <c r="G993" t="s">
        <v>13</v>
      </c>
      <c r="H993" t="s">
        <v>14</v>
      </c>
      <c r="I993" t="s">
        <v>44</v>
      </c>
      <c r="J993">
        <v>14424</v>
      </c>
      <c r="K993" t="s">
        <v>2053</v>
      </c>
    </row>
    <row r="994" spans="1:11" x14ac:dyDescent="0.35">
      <c r="A994" t="s">
        <v>1039</v>
      </c>
      <c r="B994" s="1">
        <v>45667</v>
      </c>
      <c r="C994" s="1">
        <v>45672</v>
      </c>
      <c r="D994" t="s">
        <v>39</v>
      </c>
      <c r="E994" t="s">
        <v>20</v>
      </c>
      <c r="F994">
        <v>277074</v>
      </c>
      <c r="G994" t="s">
        <v>9</v>
      </c>
      <c r="H994" t="s">
        <v>44</v>
      </c>
      <c r="I994" t="s">
        <v>21</v>
      </c>
      <c r="J994">
        <v>25454</v>
      </c>
      <c r="K994" t="s">
        <v>2054</v>
      </c>
    </row>
    <row r="995" spans="1:11" x14ac:dyDescent="0.35">
      <c r="A995" t="s">
        <v>1040</v>
      </c>
      <c r="B995" s="1">
        <v>45673</v>
      </c>
      <c r="C995" s="1">
        <v>45675</v>
      </c>
      <c r="D995" t="s">
        <v>39</v>
      </c>
      <c r="E995" t="s">
        <v>20</v>
      </c>
      <c r="F995">
        <v>564880</v>
      </c>
      <c r="G995" t="s">
        <v>17</v>
      </c>
      <c r="H995" t="s">
        <v>42</v>
      </c>
      <c r="I995" t="s">
        <v>36</v>
      </c>
      <c r="J995">
        <v>27420</v>
      </c>
      <c r="K995" t="s">
        <v>2053</v>
      </c>
    </row>
    <row r="996" spans="1:11" x14ac:dyDescent="0.35">
      <c r="A996" t="s">
        <v>1041</v>
      </c>
      <c r="B996" s="1">
        <v>45723</v>
      </c>
      <c r="C996" s="1">
        <v>45727</v>
      </c>
      <c r="D996" t="s">
        <v>40</v>
      </c>
      <c r="E996" t="s">
        <v>33</v>
      </c>
      <c r="F996">
        <v>931460</v>
      </c>
      <c r="G996" t="s">
        <v>28</v>
      </c>
      <c r="H996" t="s">
        <v>22</v>
      </c>
      <c r="I996" t="s">
        <v>25</v>
      </c>
      <c r="J996">
        <v>15568</v>
      </c>
      <c r="K996" t="s">
        <v>2053</v>
      </c>
    </row>
    <row r="997" spans="1:11" x14ac:dyDescent="0.35">
      <c r="A997" t="s">
        <v>1042</v>
      </c>
      <c r="B997" s="1">
        <v>45801</v>
      </c>
      <c r="C997" s="1">
        <v>45803</v>
      </c>
      <c r="D997" t="s">
        <v>39</v>
      </c>
      <c r="E997" t="s">
        <v>27</v>
      </c>
      <c r="F997">
        <v>421502</v>
      </c>
      <c r="G997" t="s">
        <v>13</v>
      </c>
      <c r="H997" t="s">
        <v>44</v>
      </c>
      <c r="I997" t="s">
        <v>25</v>
      </c>
      <c r="J997">
        <v>25597</v>
      </c>
      <c r="K997" t="s">
        <v>2054</v>
      </c>
    </row>
    <row r="998" spans="1:11" x14ac:dyDescent="0.35">
      <c r="A998" t="s">
        <v>1043</v>
      </c>
      <c r="B998" s="1">
        <v>45715</v>
      </c>
      <c r="C998" s="1">
        <v>45719</v>
      </c>
      <c r="D998" t="s">
        <v>8</v>
      </c>
      <c r="E998" t="s">
        <v>38</v>
      </c>
      <c r="F998">
        <v>700387</v>
      </c>
      <c r="G998" t="s">
        <v>28</v>
      </c>
      <c r="H998" t="s">
        <v>21</v>
      </c>
      <c r="I998" t="s">
        <v>44</v>
      </c>
      <c r="J998">
        <v>18027</v>
      </c>
      <c r="K998" t="s">
        <v>2050</v>
      </c>
    </row>
    <row r="999" spans="1:11" x14ac:dyDescent="0.35">
      <c r="A999" t="s">
        <v>1044</v>
      </c>
      <c r="B999" s="1">
        <v>45941</v>
      </c>
      <c r="C999" s="1">
        <v>45943</v>
      </c>
      <c r="D999" t="s">
        <v>19</v>
      </c>
      <c r="E999" t="s">
        <v>27</v>
      </c>
      <c r="F999">
        <v>694121</v>
      </c>
      <c r="G999" t="s">
        <v>13</v>
      </c>
      <c r="H999" t="s">
        <v>25</v>
      </c>
      <c r="I999" t="s">
        <v>21</v>
      </c>
      <c r="J999">
        <v>15670</v>
      </c>
      <c r="K999" t="s">
        <v>2050</v>
      </c>
    </row>
    <row r="1000" spans="1:11" x14ac:dyDescent="0.35">
      <c r="A1000" t="s">
        <v>1045</v>
      </c>
      <c r="B1000" s="1">
        <v>46000</v>
      </c>
      <c r="C1000" s="1">
        <v>46002</v>
      </c>
      <c r="D1000" t="s">
        <v>40</v>
      </c>
      <c r="E1000" t="s">
        <v>33</v>
      </c>
      <c r="F1000">
        <v>861963</v>
      </c>
      <c r="G1000" t="s">
        <v>17</v>
      </c>
      <c r="H1000" t="s">
        <v>25</v>
      </c>
      <c r="I1000" t="s">
        <v>18</v>
      </c>
      <c r="J1000">
        <v>14800</v>
      </c>
      <c r="K1000" t="s">
        <v>2050</v>
      </c>
    </row>
    <row r="1001" spans="1:11" x14ac:dyDescent="0.35">
      <c r="A1001" t="s">
        <v>1046</v>
      </c>
      <c r="B1001" s="1">
        <v>45746</v>
      </c>
      <c r="C1001" s="1">
        <v>45749</v>
      </c>
      <c r="D1001" t="s">
        <v>19</v>
      </c>
      <c r="E1001" t="s">
        <v>27</v>
      </c>
      <c r="F1001">
        <v>489988</v>
      </c>
      <c r="G1001" t="s">
        <v>28</v>
      </c>
      <c r="H1001" t="s">
        <v>15</v>
      </c>
      <c r="I1001" t="s">
        <v>24</v>
      </c>
      <c r="J1001">
        <v>16376</v>
      </c>
      <c r="K1001" t="s">
        <v>2052</v>
      </c>
    </row>
  </sheetData>
  <autoFilter ref="B1:J1001" xr:uid="{3B1A9AC2-6A1C-4026-A765-A2A597B8B20A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CFB9-A38A-4ACD-B7DE-24852B4BAC73}">
  <dimension ref="A1:D2001"/>
  <sheetViews>
    <sheetView workbookViewId="0">
      <selection activeCell="I1994" sqref="I1994"/>
    </sheetView>
  </sheetViews>
  <sheetFormatPr defaultRowHeight="14.5" x14ac:dyDescent="0.35"/>
  <cols>
    <col min="1" max="1" width="12.7265625" customWidth="1"/>
    <col min="2" max="2" width="15.90625" bestFit="1" customWidth="1"/>
    <col min="3" max="3" width="15.81640625" bestFit="1" customWidth="1"/>
    <col min="4" max="4" width="13.54296875" bestFit="1" customWidth="1"/>
  </cols>
  <sheetData>
    <row r="1" spans="1:4" x14ac:dyDescent="0.35">
      <c r="A1" t="s">
        <v>46</v>
      </c>
      <c r="B1" t="s">
        <v>37</v>
      </c>
      <c r="C1" t="s">
        <v>2047</v>
      </c>
      <c r="D1" t="s">
        <v>2048</v>
      </c>
    </row>
    <row r="2" spans="1:4" x14ac:dyDescent="0.35">
      <c r="A2" t="s">
        <v>47</v>
      </c>
      <c r="B2">
        <v>19079</v>
      </c>
      <c r="C2">
        <f>B2*30/100</f>
        <v>5723.7</v>
      </c>
      <c r="D2">
        <f>B2+C2</f>
        <v>24802.7</v>
      </c>
    </row>
    <row r="3" spans="1:4" x14ac:dyDescent="0.35">
      <c r="A3" t="s">
        <v>49</v>
      </c>
      <c r="B3">
        <v>12686</v>
      </c>
      <c r="C3">
        <f t="shared" ref="C3:C8" si="0">B3*30/100</f>
        <v>3805.8</v>
      </c>
      <c r="D3">
        <f t="shared" ref="D3:D66" si="1">B3+C3</f>
        <v>16491.8</v>
      </c>
    </row>
    <row r="4" spans="1:4" x14ac:dyDescent="0.35">
      <c r="A4" t="s">
        <v>48</v>
      </c>
      <c r="B4">
        <v>24673</v>
      </c>
      <c r="C4">
        <f t="shared" si="0"/>
        <v>7401.9</v>
      </c>
      <c r="D4">
        <f t="shared" si="1"/>
        <v>32074.9</v>
      </c>
    </row>
    <row r="5" spans="1:4" x14ac:dyDescent="0.35">
      <c r="A5" t="s">
        <v>52</v>
      </c>
      <c r="B5">
        <v>16823</v>
      </c>
      <c r="C5">
        <f t="shared" si="0"/>
        <v>5046.8999999999996</v>
      </c>
      <c r="D5">
        <f t="shared" si="1"/>
        <v>21869.9</v>
      </c>
    </row>
    <row r="6" spans="1:4" x14ac:dyDescent="0.35">
      <c r="A6" t="s">
        <v>51</v>
      </c>
      <c r="B6">
        <v>20052</v>
      </c>
      <c r="C6">
        <f t="shared" si="0"/>
        <v>6015.6</v>
      </c>
      <c r="D6">
        <f t="shared" si="1"/>
        <v>26067.599999999999</v>
      </c>
    </row>
    <row r="7" spans="1:4" x14ac:dyDescent="0.35">
      <c r="A7" t="s">
        <v>53</v>
      </c>
      <c r="B7">
        <v>14648</v>
      </c>
      <c r="C7">
        <f t="shared" si="0"/>
        <v>4394.3999999999996</v>
      </c>
      <c r="D7">
        <f t="shared" si="1"/>
        <v>19042.400000000001</v>
      </c>
    </row>
    <row r="8" spans="1:4" x14ac:dyDescent="0.35">
      <c r="A8" t="s">
        <v>54</v>
      </c>
      <c r="B8">
        <v>20149</v>
      </c>
      <c r="C8">
        <f t="shared" si="0"/>
        <v>6044.7</v>
      </c>
      <c r="D8">
        <f t="shared" si="1"/>
        <v>26193.7</v>
      </c>
    </row>
    <row r="9" spans="1:4" x14ac:dyDescent="0.35">
      <c r="A9" t="s">
        <v>55</v>
      </c>
      <c r="B9">
        <v>19649</v>
      </c>
      <c r="C9">
        <f>B9*30/100</f>
        <v>5894.7</v>
      </c>
      <c r="D9">
        <f t="shared" si="1"/>
        <v>25543.7</v>
      </c>
    </row>
    <row r="10" spans="1:4" x14ac:dyDescent="0.35">
      <c r="A10" t="s">
        <v>50</v>
      </c>
      <c r="B10">
        <v>17115</v>
      </c>
      <c r="C10">
        <f>B9*20/100</f>
        <v>3929.8</v>
      </c>
      <c r="D10">
        <f t="shared" si="1"/>
        <v>21044.799999999999</v>
      </c>
    </row>
    <row r="11" spans="1:4" x14ac:dyDescent="0.35">
      <c r="A11" t="s">
        <v>56</v>
      </c>
      <c r="B11">
        <v>13701</v>
      </c>
      <c r="C11">
        <f t="shared" ref="C11:C21" si="2">B10*20/100</f>
        <v>3423</v>
      </c>
      <c r="D11">
        <f t="shared" si="1"/>
        <v>17124</v>
      </c>
    </row>
    <row r="12" spans="1:4" x14ac:dyDescent="0.35">
      <c r="A12" t="s">
        <v>57</v>
      </c>
      <c r="B12">
        <v>12552</v>
      </c>
      <c r="C12">
        <f t="shared" si="2"/>
        <v>2740.2</v>
      </c>
      <c r="D12">
        <f t="shared" si="1"/>
        <v>15292.2</v>
      </c>
    </row>
    <row r="13" spans="1:4" x14ac:dyDescent="0.35">
      <c r="A13" t="s">
        <v>58</v>
      </c>
      <c r="B13">
        <v>21511</v>
      </c>
      <c r="C13">
        <f t="shared" si="2"/>
        <v>2510.4</v>
      </c>
      <c r="D13">
        <f t="shared" si="1"/>
        <v>24021.4</v>
      </c>
    </row>
    <row r="14" spans="1:4" x14ac:dyDescent="0.35">
      <c r="A14" t="s">
        <v>59</v>
      </c>
      <c r="B14">
        <v>20729</v>
      </c>
      <c r="C14">
        <f t="shared" si="2"/>
        <v>4302.2</v>
      </c>
      <c r="D14">
        <f t="shared" si="1"/>
        <v>25031.200000000001</v>
      </c>
    </row>
    <row r="15" spans="1:4" x14ac:dyDescent="0.35">
      <c r="A15" t="s">
        <v>60</v>
      </c>
      <c r="B15">
        <v>25216</v>
      </c>
      <c r="C15">
        <f t="shared" si="2"/>
        <v>4145.8</v>
      </c>
      <c r="D15">
        <f t="shared" si="1"/>
        <v>29361.8</v>
      </c>
    </row>
    <row r="16" spans="1:4" x14ac:dyDescent="0.35">
      <c r="A16" t="s">
        <v>61</v>
      </c>
      <c r="B16">
        <v>26788</v>
      </c>
      <c r="C16">
        <f t="shared" si="2"/>
        <v>5043.2</v>
      </c>
      <c r="D16">
        <f t="shared" si="1"/>
        <v>31831.200000000001</v>
      </c>
    </row>
    <row r="17" spans="1:4" x14ac:dyDescent="0.35">
      <c r="A17" t="s">
        <v>62</v>
      </c>
      <c r="B17">
        <v>20138</v>
      </c>
      <c r="C17">
        <f t="shared" si="2"/>
        <v>5357.6</v>
      </c>
      <c r="D17">
        <f t="shared" si="1"/>
        <v>25495.599999999999</v>
      </c>
    </row>
    <row r="18" spans="1:4" x14ac:dyDescent="0.35">
      <c r="A18" t="s">
        <v>63</v>
      </c>
      <c r="B18">
        <v>14534</v>
      </c>
      <c r="C18">
        <f t="shared" si="2"/>
        <v>4027.6</v>
      </c>
      <c r="D18">
        <f t="shared" si="1"/>
        <v>18561.599999999999</v>
      </c>
    </row>
    <row r="19" spans="1:4" x14ac:dyDescent="0.35">
      <c r="A19" t="s">
        <v>64</v>
      </c>
      <c r="B19">
        <v>24441</v>
      </c>
      <c r="C19">
        <f t="shared" si="2"/>
        <v>2906.8</v>
      </c>
      <c r="D19">
        <f t="shared" si="1"/>
        <v>27347.8</v>
      </c>
    </row>
    <row r="20" spans="1:4" x14ac:dyDescent="0.35">
      <c r="A20" t="s">
        <v>65</v>
      </c>
      <c r="B20">
        <v>20509</v>
      </c>
      <c r="C20">
        <f t="shared" si="2"/>
        <v>4888.2</v>
      </c>
      <c r="D20">
        <f t="shared" si="1"/>
        <v>25397.200000000001</v>
      </c>
    </row>
    <row r="21" spans="1:4" x14ac:dyDescent="0.35">
      <c r="A21" t="s">
        <v>66</v>
      </c>
      <c r="B21">
        <v>21319</v>
      </c>
      <c r="C21">
        <f t="shared" si="2"/>
        <v>4101.8</v>
      </c>
      <c r="D21">
        <f t="shared" si="1"/>
        <v>25420.799999999999</v>
      </c>
    </row>
    <row r="22" spans="1:4" x14ac:dyDescent="0.35">
      <c r="A22" t="s">
        <v>67</v>
      </c>
      <c r="B22">
        <v>25571</v>
      </c>
      <c r="C22">
        <f>B9*10/100</f>
        <v>1964.9</v>
      </c>
      <c r="D22">
        <f t="shared" si="1"/>
        <v>27535.9</v>
      </c>
    </row>
    <row r="23" spans="1:4" x14ac:dyDescent="0.35">
      <c r="A23" t="s">
        <v>68</v>
      </c>
      <c r="B23">
        <v>21459</v>
      </c>
      <c r="C23">
        <f t="shared" ref="C23:C31" si="3">B10*10/100</f>
        <v>1711.5</v>
      </c>
      <c r="D23">
        <f t="shared" si="1"/>
        <v>23170.5</v>
      </c>
    </row>
    <row r="24" spans="1:4" x14ac:dyDescent="0.35">
      <c r="A24" t="s">
        <v>69</v>
      </c>
      <c r="B24">
        <v>15517</v>
      </c>
      <c r="C24">
        <f t="shared" si="3"/>
        <v>1370.1</v>
      </c>
      <c r="D24">
        <f t="shared" si="1"/>
        <v>16887.099999999999</v>
      </c>
    </row>
    <row r="25" spans="1:4" x14ac:dyDescent="0.35">
      <c r="A25" t="s">
        <v>70</v>
      </c>
      <c r="B25">
        <v>13645</v>
      </c>
      <c r="C25">
        <f t="shared" si="3"/>
        <v>1255.2</v>
      </c>
      <c r="D25">
        <f t="shared" si="1"/>
        <v>14900.2</v>
      </c>
    </row>
    <row r="26" spans="1:4" x14ac:dyDescent="0.35">
      <c r="A26" t="s">
        <v>71</v>
      </c>
      <c r="B26">
        <v>12420</v>
      </c>
      <c r="C26">
        <f t="shared" si="3"/>
        <v>2151.1</v>
      </c>
      <c r="D26">
        <f t="shared" si="1"/>
        <v>14571.1</v>
      </c>
    </row>
    <row r="27" spans="1:4" x14ac:dyDescent="0.35">
      <c r="A27" t="s">
        <v>72</v>
      </c>
      <c r="B27">
        <v>13888</v>
      </c>
      <c r="C27">
        <f t="shared" si="3"/>
        <v>2072.9</v>
      </c>
      <c r="D27">
        <f t="shared" si="1"/>
        <v>15960.9</v>
      </c>
    </row>
    <row r="28" spans="1:4" x14ac:dyDescent="0.35">
      <c r="A28" t="s">
        <v>73</v>
      </c>
      <c r="B28">
        <v>17244</v>
      </c>
      <c r="C28">
        <f t="shared" si="3"/>
        <v>2521.6</v>
      </c>
      <c r="D28">
        <f t="shared" si="1"/>
        <v>19765.599999999999</v>
      </c>
    </row>
    <row r="29" spans="1:4" x14ac:dyDescent="0.35">
      <c r="A29" t="s">
        <v>74</v>
      </c>
      <c r="B29">
        <v>27037</v>
      </c>
      <c r="C29">
        <f t="shared" si="3"/>
        <v>2678.8</v>
      </c>
      <c r="D29">
        <f t="shared" si="1"/>
        <v>29715.8</v>
      </c>
    </row>
    <row r="30" spans="1:4" x14ac:dyDescent="0.35">
      <c r="A30" t="s">
        <v>75</v>
      </c>
      <c r="B30">
        <v>24798</v>
      </c>
      <c r="C30">
        <f t="shared" si="3"/>
        <v>2013.8</v>
      </c>
      <c r="D30">
        <f t="shared" si="1"/>
        <v>26811.8</v>
      </c>
    </row>
    <row r="31" spans="1:4" x14ac:dyDescent="0.35">
      <c r="A31" t="s">
        <v>76</v>
      </c>
      <c r="B31">
        <v>15513</v>
      </c>
      <c r="C31">
        <f t="shared" si="3"/>
        <v>1453.4</v>
      </c>
      <c r="D31">
        <f t="shared" si="1"/>
        <v>16966.400000000001</v>
      </c>
    </row>
    <row r="32" spans="1:4" x14ac:dyDescent="0.35">
      <c r="A32" t="s">
        <v>77</v>
      </c>
      <c r="B32">
        <v>24234</v>
      </c>
      <c r="C32">
        <f>B9*30/100</f>
        <v>5894.7</v>
      </c>
      <c r="D32">
        <f t="shared" si="1"/>
        <v>30128.7</v>
      </c>
    </row>
    <row r="33" spans="1:4" x14ac:dyDescent="0.35">
      <c r="A33" t="s">
        <v>78</v>
      </c>
      <c r="B33">
        <v>20966</v>
      </c>
      <c r="C33">
        <f t="shared" ref="C33:C96" si="4">B10*30/100</f>
        <v>5134.5</v>
      </c>
      <c r="D33">
        <f t="shared" si="1"/>
        <v>26100.5</v>
      </c>
    </row>
    <row r="34" spans="1:4" x14ac:dyDescent="0.35">
      <c r="A34" t="s">
        <v>79</v>
      </c>
      <c r="B34">
        <v>26313</v>
      </c>
      <c r="C34">
        <f t="shared" si="4"/>
        <v>4110.3</v>
      </c>
      <c r="D34">
        <f t="shared" si="1"/>
        <v>30423.3</v>
      </c>
    </row>
    <row r="35" spans="1:4" x14ac:dyDescent="0.35">
      <c r="A35" t="s">
        <v>80</v>
      </c>
      <c r="B35">
        <v>17555</v>
      </c>
      <c r="C35">
        <f t="shared" si="4"/>
        <v>3765.6</v>
      </c>
      <c r="D35">
        <f t="shared" si="1"/>
        <v>21320.6</v>
      </c>
    </row>
    <row r="36" spans="1:4" x14ac:dyDescent="0.35">
      <c r="A36" t="s">
        <v>81</v>
      </c>
      <c r="B36">
        <v>23458</v>
      </c>
      <c r="C36">
        <f t="shared" si="4"/>
        <v>6453.3</v>
      </c>
      <c r="D36">
        <f t="shared" si="1"/>
        <v>29911.3</v>
      </c>
    </row>
    <row r="37" spans="1:4" x14ac:dyDescent="0.35">
      <c r="A37" t="s">
        <v>82</v>
      </c>
      <c r="B37">
        <v>25644</v>
      </c>
      <c r="C37">
        <f t="shared" si="4"/>
        <v>6218.7</v>
      </c>
      <c r="D37">
        <f t="shared" si="1"/>
        <v>31862.7</v>
      </c>
    </row>
    <row r="38" spans="1:4" x14ac:dyDescent="0.35">
      <c r="A38" t="s">
        <v>83</v>
      </c>
      <c r="B38">
        <v>15019</v>
      </c>
      <c r="C38">
        <f t="shared" si="4"/>
        <v>7564.8</v>
      </c>
      <c r="D38">
        <f t="shared" si="1"/>
        <v>22583.8</v>
      </c>
    </row>
    <row r="39" spans="1:4" x14ac:dyDescent="0.35">
      <c r="A39" t="s">
        <v>84</v>
      </c>
      <c r="B39">
        <v>25664</v>
      </c>
      <c r="C39">
        <f t="shared" si="4"/>
        <v>8036.4</v>
      </c>
      <c r="D39">
        <f t="shared" si="1"/>
        <v>33700.400000000001</v>
      </c>
    </row>
    <row r="40" spans="1:4" x14ac:dyDescent="0.35">
      <c r="A40" t="s">
        <v>85</v>
      </c>
      <c r="B40">
        <v>25848</v>
      </c>
      <c r="C40">
        <f t="shared" si="4"/>
        <v>6041.4</v>
      </c>
      <c r="D40">
        <f t="shared" si="1"/>
        <v>31889.4</v>
      </c>
    </row>
    <row r="41" spans="1:4" x14ac:dyDescent="0.35">
      <c r="A41" t="s">
        <v>86</v>
      </c>
      <c r="B41">
        <v>16015</v>
      </c>
      <c r="C41">
        <f t="shared" si="4"/>
        <v>4360.2</v>
      </c>
      <c r="D41">
        <f t="shared" si="1"/>
        <v>20375.2</v>
      </c>
    </row>
    <row r="42" spans="1:4" x14ac:dyDescent="0.35">
      <c r="A42" t="s">
        <v>87</v>
      </c>
      <c r="B42">
        <v>19519</v>
      </c>
      <c r="C42">
        <f t="shared" si="4"/>
        <v>7332.3</v>
      </c>
      <c r="D42">
        <f t="shared" si="1"/>
        <v>26851.3</v>
      </c>
    </row>
    <row r="43" spans="1:4" x14ac:dyDescent="0.35">
      <c r="A43" t="s">
        <v>88</v>
      </c>
      <c r="B43">
        <v>16104</v>
      </c>
      <c r="C43">
        <f t="shared" si="4"/>
        <v>6152.7</v>
      </c>
      <c r="D43">
        <f t="shared" si="1"/>
        <v>22256.7</v>
      </c>
    </row>
    <row r="44" spans="1:4" x14ac:dyDescent="0.35">
      <c r="A44" t="s">
        <v>89</v>
      </c>
      <c r="B44">
        <v>19601</v>
      </c>
      <c r="C44">
        <f t="shared" si="4"/>
        <v>6395.7</v>
      </c>
      <c r="D44">
        <f t="shared" si="1"/>
        <v>25996.7</v>
      </c>
    </row>
    <row r="45" spans="1:4" x14ac:dyDescent="0.35">
      <c r="A45" t="s">
        <v>90</v>
      </c>
      <c r="B45">
        <v>17387</v>
      </c>
      <c r="C45">
        <f t="shared" si="4"/>
        <v>7671.3</v>
      </c>
      <c r="D45">
        <f t="shared" si="1"/>
        <v>25058.3</v>
      </c>
    </row>
    <row r="46" spans="1:4" x14ac:dyDescent="0.35">
      <c r="A46" t="s">
        <v>91</v>
      </c>
      <c r="B46">
        <v>15215</v>
      </c>
      <c r="C46">
        <f t="shared" si="4"/>
        <v>6437.7</v>
      </c>
      <c r="D46">
        <f t="shared" si="1"/>
        <v>21652.7</v>
      </c>
    </row>
    <row r="47" spans="1:4" x14ac:dyDescent="0.35">
      <c r="A47" t="s">
        <v>92</v>
      </c>
      <c r="B47">
        <v>17805</v>
      </c>
      <c r="C47">
        <f t="shared" si="4"/>
        <v>4655.1000000000004</v>
      </c>
      <c r="D47">
        <f t="shared" si="1"/>
        <v>22460.1</v>
      </c>
    </row>
    <row r="48" spans="1:4" x14ac:dyDescent="0.35">
      <c r="A48" t="s">
        <v>93</v>
      </c>
      <c r="B48">
        <v>25091</v>
      </c>
      <c r="C48">
        <f t="shared" si="4"/>
        <v>4093.5</v>
      </c>
      <c r="D48">
        <f t="shared" si="1"/>
        <v>29184.5</v>
      </c>
    </row>
    <row r="49" spans="1:4" x14ac:dyDescent="0.35">
      <c r="A49" t="s">
        <v>94</v>
      </c>
      <c r="B49">
        <v>25618</v>
      </c>
      <c r="C49">
        <f t="shared" si="4"/>
        <v>3726</v>
      </c>
      <c r="D49">
        <f t="shared" si="1"/>
        <v>29344</v>
      </c>
    </row>
    <row r="50" spans="1:4" x14ac:dyDescent="0.35">
      <c r="A50" t="s">
        <v>95</v>
      </c>
      <c r="B50">
        <v>12468</v>
      </c>
      <c r="C50">
        <f t="shared" si="4"/>
        <v>4166.3999999999996</v>
      </c>
      <c r="D50">
        <f t="shared" si="1"/>
        <v>16634.400000000001</v>
      </c>
    </row>
    <row r="51" spans="1:4" x14ac:dyDescent="0.35">
      <c r="A51" t="s">
        <v>96</v>
      </c>
      <c r="B51">
        <v>15690</v>
      </c>
      <c r="C51">
        <f t="shared" si="4"/>
        <v>5173.2</v>
      </c>
      <c r="D51">
        <f t="shared" si="1"/>
        <v>20863.2</v>
      </c>
    </row>
    <row r="52" spans="1:4" x14ac:dyDescent="0.35">
      <c r="A52" t="s">
        <v>97</v>
      </c>
      <c r="B52">
        <v>24452</v>
      </c>
      <c r="C52">
        <f t="shared" si="4"/>
        <v>8111.1</v>
      </c>
      <c r="D52">
        <f t="shared" si="1"/>
        <v>32563.1</v>
      </c>
    </row>
    <row r="53" spans="1:4" x14ac:dyDescent="0.35">
      <c r="A53" t="s">
        <v>98</v>
      </c>
      <c r="B53">
        <v>21328</v>
      </c>
      <c r="C53">
        <f t="shared" si="4"/>
        <v>7439.4</v>
      </c>
      <c r="D53">
        <f t="shared" si="1"/>
        <v>28767.4</v>
      </c>
    </row>
    <row r="54" spans="1:4" x14ac:dyDescent="0.35">
      <c r="A54" t="s">
        <v>99</v>
      </c>
      <c r="B54">
        <v>25708</v>
      </c>
      <c r="C54">
        <f t="shared" si="4"/>
        <v>4653.8999999999996</v>
      </c>
      <c r="D54">
        <f t="shared" si="1"/>
        <v>30361.9</v>
      </c>
    </row>
    <row r="55" spans="1:4" x14ac:dyDescent="0.35">
      <c r="A55" t="s">
        <v>100</v>
      </c>
      <c r="B55">
        <v>19333</v>
      </c>
      <c r="C55">
        <f t="shared" si="4"/>
        <v>7270.2</v>
      </c>
      <c r="D55">
        <f t="shared" si="1"/>
        <v>26603.200000000001</v>
      </c>
    </row>
    <row r="56" spans="1:4" x14ac:dyDescent="0.35">
      <c r="A56" t="s">
        <v>101</v>
      </c>
      <c r="B56">
        <v>13303</v>
      </c>
      <c r="C56">
        <f t="shared" si="4"/>
        <v>6289.8</v>
      </c>
      <c r="D56">
        <f t="shared" si="1"/>
        <v>19592.8</v>
      </c>
    </row>
    <row r="57" spans="1:4" x14ac:dyDescent="0.35">
      <c r="A57" t="s">
        <v>102</v>
      </c>
      <c r="B57">
        <v>18824</v>
      </c>
      <c r="C57">
        <f t="shared" si="4"/>
        <v>7893.9</v>
      </c>
      <c r="D57">
        <f t="shared" si="1"/>
        <v>26717.9</v>
      </c>
    </row>
    <row r="58" spans="1:4" x14ac:dyDescent="0.35">
      <c r="A58" t="s">
        <v>103</v>
      </c>
      <c r="B58">
        <v>18301</v>
      </c>
      <c r="C58">
        <f t="shared" si="4"/>
        <v>5266.5</v>
      </c>
      <c r="D58">
        <f t="shared" si="1"/>
        <v>23567.5</v>
      </c>
    </row>
    <row r="59" spans="1:4" x14ac:dyDescent="0.35">
      <c r="A59" t="s">
        <v>104</v>
      </c>
      <c r="B59">
        <v>16668</v>
      </c>
      <c r="C59">
        <f t="shared" si="4"/>
        <v>7037.4</v>
      </c>
      <c r="D59">
        <f t="shared" si="1"/>
        <v>23705.4</v>
      </c>
    </row>
    <row r="60" spans="1:4" x14ac:dyDescent="0.35">
      <c r="A60" t="s">
        <v>105</v>
      </c>
      <c r="B60">
        <v>16453</v>
      </c>
      <c r="C60">
        <f t="shared" si="4"/>
        <v>7693.2</v>
      </c>
      <c r="D60">
        <f t="shared" si="1"/>
        <v>24146.2</v>
      </c>
    </row>
    <row r="61" spans="1:4" x14ac:dyDescent="0.35">
      <c r="A61" t="s">
        <v>106</v>
      </c>
      <c r="B61">
        <v>24807</v>
      </c>
      <c r="C61">
        <f t="shared" si="4"/>
        <v>4505.7</v>
      </c>
      <c r="D61">
        <f t="shared" si="1"/>
        <v>29312.7</v>
      </c>
    </row>
    <row r="62" spans="1:4" x14ac:dyDescent="0.35">
      <c r="A62" t="s">
        <v>107</v>
      </c>
      <c r="B62">
        <v>20348</v>
      </c>
      <c r="C62">
        <f t="shared" si="4"/>
        <v>7699.2</v>
      </c>
      <c r="D62">
        <f t="shared" si="1"/>
        <v>28047.200000000001</v>
      </c>
    </row>
    <row r="63" spans="1:4" x14ac:dyDescent="0.35">
      <c r="A63" t="s">
        <v>108</v>
      </c>
      <c r="B63">
        <v>26911</v>
      </c>
      <c r="C63">
        <f t="shared" si="4"/>
        <v>7754.4</v>
      </c>
      <c r="D63">
        <f t="shared" si="1"/>
        <v>34665.4</v>
      </c>
    </row>
    <row r="64" spans="1:4" x14ac:dyDescent="0.35">
      <c r="A64" t="s">
        <v>109</v>
      </c>
      <c r="B64">
        <v>19409</v>
      </c>
      <c r="C64">
        <f t="shared" si="4"/>
        <v>4804.5</v>
      </c>
      <c r="D64">
        <f t="shared" si="1"/>
        <v>24213.5</v>
      </c>
    </row>
    <row r="65" spans="1:4" x14ac:dyDescent="0.35">
      <c r="A65" t="s">
        <v>110</v>
      </c>
      <c r="B65">
        <v>26360</v>
      </c>
      <c r="C65">
        <f t="shared" si="4"/>
        <v>5855.7</v>
      </c>
      <c r="D65">
        <f t="shared" si="1"/>
        <v>32215.7</v>
      </c>
    </row>
    <row r="66" spans="1:4" x14ac:dyDescent="0.35">
      <c r="A66" t="s">
        <v>111</v>
      </c>
      <c r="B66">
        <v>19101</v>
      </c>
      <c r="C66">
        <f t="shared" si="4"/>
        <v>4831.2</v>
      </c>
      <c r="D66">
        <f t="shared" si="1"/>
        <v>23932.2</v>
      </c>
    </row>
    <row r="67" spans="1:4" x14ac:dyDescent="0.35">
      <c r="A67" t="s">
        <v>112</v>
      </c>
      <c r="B67">
        <v>23593</v>
      </c>
      <c r="C67">
        <f t="shared" si="4"/>
        <v>5880.3</v>
      </c>
      <c r="D67">
        <f t="shared" ref="D67:D130" si="5">B67+C67</f>
        <v>29473.3</v>
      </c>
    </row>
    <row r="68" spans="1:4" x14ac:dyDescent="0.35">
      <c r="A68" t="s">
        <v>113</v>
      </c>
      <c r="B68">
        <v>16515</v>
      </c>
      <c r="C68">
        <f t="shared" si="4"/>
        <v>5216.1000000000004</v>
      </c>
      <c r="D68">
        <f t="shared" si="5"/>
        <v>21731.1</v>
      </c>
    </row>
    <row r="69" spans="1:4" x14ac:dyDescent="0.35">
      <c r="A69" t="s">
        <v>114</v>
      </c>
      <c r="B69">
        <v>16849</v>
      </c>
      <c r="C69">
        <f t="shared" si="4"/>
        <v>4564.5</v>
      </c>
      <c r="D69">
        <f t="shared" si="5"/>
        <v>21413.5</v>
      </c>
    </row>
    <row r="70" spans="1:4" x14ac:dyDescent="0.35">
      <c r="A70" t="s">
        <v>115</v>
      </c>
      <c r="B70">
        <v>14546</v>
      </c>
      <c r="C70">
        <f t="shared" si="4"/>
        <v>5341.5</v>
      </c>
      <c r="D70">
        <f t="shared" si="5"/>
        <v>19887.5</v>
      </c>
    </row>
    <row r="71" spans="1:4" x14ac:dyDescent="0.35">
      <c r="A71" t="s">
        <v>116</v>
      </c>
      <c r="B71">
        <v>15539</v>
      </c>
      <c r="C71">
        <f t="shared" si="4"/>
        <v>7527.3</v>
      </c>
      <c r="D71">
        <f t="shared" si="5"/>
        <v>23066.3</v>
      </c>
    </row>
    <row r="72" spans="1:4" x14ac:dyDescent="0.35">
      <c r="A72" t="s">
        <v>117</v>
      </c>
      <c r="B72">
        <v>19649</v>
      </c>
      <c r="C72">
        <f t="shared" si="4"/>
        <v>7685.4</v>
      </c>
      <c r="D72">
        <f t="shared" si="5"/>
        <v>27334.400000000001</v>
      </c>
    </row>
    <row r="73" spans="1:4" x14ac:dyDescent="0.35">
      <c r="A73" t="s">
        <v>118</v>
      </c>
      <c r="B73">
        <v>18190</v>
      </c>
      <c r="C73">
        <f t="shared" si="4"/>
        <v>3740.4</v>
      </c>
      <c r="D73">
        <f t="shared" si="5"/>
        <v>21930.400000000001</v>
      </c>
    </row>
    <row r="74" spans="1:4" x14ac:dyDescent="0.35">
      <c r="A74" t="s">
        <v>119</v>
      </c>
      <c r="B74">
        <v>25540</v>
      </c>
      <c r="C74">
        <f t="shared" si="4"/>
        <v>4707</v>
      </c>
      <c r="D74">
        <f t="shared" si="5"/>
        <v>30247</v>
      </c>
    </row>
    <row r="75" spans="1:4" x14ac:dyDescent="0.35">
      <c r="A75" t="s">
        <v>120</v>
      </c>
      <c r="B75">
        <v>15110</v>
      </c>
      <c r="C75">
        <f t="shared" si="4"/>
        <v>7335.6</v>
      </c>
      <c r="D75">
        <f t="shared" si="5"/>
        <v>22445.599999999999</v>
      </c>
    </row>
    <row r="76" spans="1:4" x14ac:dyDescent="0.35">
      <c r="A76" t="s">
        <v>121</v>
      </c>
      <c r="B76">
        <v>18931</v>
      </c>
      <c r="C76">
        <f t="shared" si="4"/>
        <v>6398.4</v>
      </c>
      <c r="D76">
        <f t="shared" si="5"/>
        <v>25329.4</v>
      </c>
    </row>
    <row r="77" spans="1:4" x14ac:dyDescent="0.35">
      <c r="A77" t="s">
        <v>122</v>
      </c>
      <c r="B77">
        <v>13578</v>
      </c>
      <c r="C77">
        <f t="shared" si="4"/>
        <v>7712.4</v>
      </c>
      <c r="D77">
        <f t="shared" si="5"/>
        <v>21290.400000000001</v>
      </c>
    </row>
    <row r="78" spans="1:4" x14ac:dyDescent="0.35">
      <c r="A78" t="s">
        <v>123</v>
      </c>
      <c r="B78">
        <v>13574</v>
      </c>
      <c r="C78">
        <f t="shared" si="4"/>
        <v>5799.9</v>
      </c>
      <c r="D78">
        <f t="shared" si="5"/>
        <v>19373.900000000001</v>
      </c>
    </row>
    <row r="79" spans="1:4" x14ac:dyDescent="0.35">
      <c r="A79" t="s">
        <v>124</v>
      </c>
      <c r="B79">
        <v>23612</v>
      </c>
      <c r="C79">
        <f t="shared" si="4"/>
        <v>3990.9</v>
      </c>
      <c r="D79">
        <f t="shared" si="5"/>
        <v>27602.9</v>
      </c>
    </row>
    <row r="80" spans="1:4" x14ac:dyDescent="0.35">
      <c r="A80" t="s">
        <v>125</v>
      </c>
      <c r="B80">
        <v>16570</v>
      </c>
      <c r="C80">
        <f t="shared" si="4"/>
        <v>5647.2</v>
      </c>
      <c r="D80">
        <f t="shared" si="5"/>
        <v>22217.200000000001</v>
      </c>
    </row>
    <row r="81" spans="1:4" x14ac:dyDescent="0.35">
      <c r="A81" t="s">
        <v>126</v>
      </c>
      <c r="B81">
        <v>20957</v>
      </c>
      <c r="C81">
        <f t="shared" si="4"/>
        <v>5490.3</v>
      </c>
      <c r="D81">
        <f t="shared" si="5"/>
        <v>26447.3</v>
      </c>
    </row>
    <row r="82" spans="1:4" x14ac:dyDescent="0.35">
      <c r="A82" t="s">
        <v>127</v>
      </c>
      <c r="B82">
        <v>14350</v>
      </c>
      <c r="C82">
        <f t="shared" si="4"/>
        <v>5000.3999999999996</v>
      </c>
      <c r="D82">
        <f t="shared" si="5"/>
        <v>19350.400000000001</v>
      </c>
    </row>
    <row r="83" spans="1:4" x14ac:dyDescent="0.35">
      <c r="A83" t="s">
        <v>128</v>
      </c>
      <c r="B83">
        <v>18638</v>
      </c>
      <c r="C83">
        <f t="shared" si="4"/>
        <v>4935.8999999999996</v>
      </c>
      <c r="D83">
        <f t="shared" si="5"/>
        <v>23573.9</v>
      </c>
    </row>
    <row r="84" spans="1:4" x14ac:dyDescent="0.35">
      <c r="A84" t="s">
        <v>129</v>
      </c>
      <c r="B84">
        <v>24236</v>
      </c>
      <c r="C84">
        <f t="shared" si="4"/>
        <v>7442.1</v>
      </c>
      <c r="D84">
        <f t="shared" si="5"/>
        <v>31678.1</v>
      </c>
    </row>
    <row r="85" spans="1:4" x14ac:dyDescent="0.35">
      <c r="A85" t="s">
        <v>130</v>
      </c>
      <c r="B85">
        <v>19280</v>
      </c>
      <c r="C85">
        <f t="shared" si="4"/>
        <v>6104.4</v>
      </c>
      <c r="D85">
        <f t="shared" si="5"/>
        <v>25384.400000000001</v>
      </c>
    </row>
    <row r="86" spans="1:4" x14ac:dyDescent="0.35">
      <c r="A86" t="s">
        <v>131</v>
      </c>
      <c r="B86">
        <v>24082</v>
      </c>
      <c r="C86">
        <f t="shared" si="4"/>
        <v>8073.3</v>
      </c>
      <c r="D86">
        <f t="shared" si="5"/>
        <v>32155.3</v>
      </c>
    </row>
    <row r="87" spans="1:4" x14ac:dyDescent="0.35">
      <c r="A87" t="s">
        <v>132</v>
      </c>
      <c r="B87">
        <v>25327</v>
      </c>
      <c r="C87">
        <f t="shared" si="4"/>
        <v>5822.7</v>
      </c>
      <c r="D87">
        <f t="shared" si="5"/>
        <v>31149.7</v>
      </c>
    </row>
    <row r="88" spans="1:4" x14ac:dyDescent="0.35">
      <c r="A88" t="s">
        <v>133</v>
      </c>
      <c r="B88">
        <v>16640</v>
      </c>
      <c r="C88">
        <f t="shared" si="4"/>
        <v>7908</v>
      </c>
      <c r="D88">
        <f t="shared" si="5"/>
        <v>24548</v>
      </c>
    </row>
    <row r="89" spans="1:4" x14ac:dyDescent="0.35">
      <c r="A89" t="s">
        <v>134</v>
      </c>
      <c r="B89">
        <v>13076</v>
      </c>
      <c r="C89">
        <f t="shared" si="4"/>
        <v>5730.3</v>
      </c>
      <c r="D89">
        <f t="shared" si="5"/>
        <v>18806.3</v>
      </c>
    </row>
    <row r="90" spans="1:4" x14ac:dyDescent="0.35">
      <c r="A90" t="s">
        <v>135</v>
      </c>
      <c r="B90">
        <v>21313</v>
      </c>
      <c r="C90">
        <f t="shared" si="4"/>
        <v>7077.9</v>
      </c>
      <c r="D90">
        <f t="shared" si="5"/>
        <v>28390.9</v>
      </c>
    </row>
    <row r="91" spans="1:4" x14ac:dyDescent="0.35">
      <c r="A91" t="s">
        <v>136</v>
      </c>
      <c r="B91">
        <v>17369</v>
      </c>
      <c r="C91">
        <f t="shared" si="4"/>
        <v>4954.5</v>
      </c>
      <c r="D91">
        <f t="shared" si="5"/>
        <v>22323.5</v>
      </c>
    </row>
    <row r="92" spans="1:4" x14ac:dyDescent="0.35">
      <c r="A92" t="s">
        <v>137</v>
      </c>
      <c r="B92">
        <v>12707</v>
      </c>
      <c r="C92">
        <f t="shared" si="4"/>
        <v>5054.7</v>
      </c>
      <c r="D92">
        <f t="shared" si="5"/>
        <v>17761.7</v>
      </c>
    </row>
    <row r="93" spans="1:4" x14ac:dyDescent="0.35">
      <c r="A93" t="s">
        <v>138</v>
      </c>
      <c r="B93">
        <v>20894</v>
      </c>
      <c r="C93">
        <f t="shared" si="4"/>
        <v>4363.8</v>
      </c>
      <c r="D93">
        <f t="shared" si="5"/>
        <v>25257.8</v>
      </c>
    </row>
    <row r="94" spans="1:4" x14ac:dyDescent="0.35">
      <c r="A94" t="s">
        <v>139</v>
      </c>
      <c r="B94">
        <v>16884</v>
      </c>
      <c r="C94">
        <f t="shared" si="4"/>
        <v>4661.7</v>
      </c>
      <c r="D94">
        <f t="shared" si="5"/>
        <v>21545.7</v>
      </c>
    </row>
    <row r="95" spans="1:4" x14ac:dyDescent="0.35">
      <c r="A95" t="s">
        <v>140</v>
      </c>
      <c r="B95">
        <v>24847</v>
      </c>
      <c r="C95">
        <f t="shared" si="4"/>
        <v>5894.7</v>
      </c>
      <c r="D95">
        <f t="shared" si="5"/>
        <v>30741.7</v>
      </c>
    </row>
    <row r="96" spans="1:4" x14ac:dyDescent="0.35">
      <c r="A96" t="s">
        <v>141</v>
      </c>
      <c r="B96">
        <v>14389</v>
      </c>
      <c r="C96">
        <f t="shared" si="4"/>
        <v>5457</v>
      </c>
      <c r="D96">
        <f t="shared" si="5"/>
        <v>19846</v>
      </c>
    </row>
    <row r="97" spans="1:4" x14ac:dyDescent="0.35">
      <c r="A97" t="s">
        <v>142</v>
      </c>
      <c r="B97">
        <v>18683</v>
      </c>
      <c r="C97">
        <f t="shared" ref="C97:C121" si="6">B74*30/100</f>
        <v>7662</v>
      </c>
      <c r="D97">
        <f t="shared" si="5"/>
        <v>26345</v>
      </c>
    </row>
    <row r="98" spans="1:4" x14ac:dyDescent="0.35">
      <c r="A98" t="s">
        <v>143</v>
      </c>
      <c r="B98">
        <v>19967</v>
      </c>
      <c r="C98">
        <f t="shared" si="6"/>
        <v>4533</v>
      </c>
      <c r="D98">
        <f t="shared" si="5"/>
        <v>24500</v>
      </c>
    </row>
    <row r="99" spans="1:4" x14ac:dyDescent="0.35">
      <c r="A99" t="s">
        <v>144</v>
      </c>
      <c r="B99">
        <v>14680</v>
      </c>
      <c r="C99">
        <f t="shared" si="6"/>
        <v>5679.3</v>
      </c>
      <c r="D99">
        <f t="shared" si="5"/>
        <v>20359.3</v>
      </c>
    </row>
    <row r="100" spans="1:4" x14ac:dyDescent="0.35">
      <c r="A100" t="s">
        <v>145</v>
      </c>
      <c r="B100">
        <v>16508</v>
      </c>
      <c r="C100">
        <f t="shared" si="6"/>
        <v>4073.4</v>
      </c>
      <c r="D100">
        <f t="shared" si="5"/>
        <v>20581.400000000001</v>
      </c>
    </row>
    <row r="101" spans="1:4" x14ac:dyDescent="0.35">
      <c r="A101" t="s">
        <v>146</v>
      </c>
      <c r="B101">
        <v>24350</v>
      </c>
      <c r="C101">
        <f t="shared" si="6"/>
        <v>4072.2</v>
      </c>
      <c r="D101">
        <f t="shared" si="5"/>
        <v>28422.2</v>
      </c>
    </row>
    <row r="102" spans="1:4" x14ac:dyDescent="0.35">
      <c r="A102" t="s">
        <v>147</v>
      </c>
      <c r="B102">
        <v>26673</v>
      </c>
      <c r="C102">
        <f t="shared" si="6"/>
        <v>7083.6</v>
      </c>
      <c r="D102">
        <f t="shared" si="5"/>
        <v>33756.6</v>
      </c>
    </row>
    <row r="103" spans="1:4" x14ac:dyDescent="0.35">
      <c r="A103" t="s">
        <v>148</v>
      </c>
      <c r="B103">
        <v>18431</v>
      </c>
      <c r="C103">
        <f t="shared" si="6"/>
        <v>4971</v>
      </c>
      <c r="D103">
        <f t="shared" si="5"/>
        <v>23402</v>
      </c>
    </row>
    <row r="104" spans="1:4" x14ac:dyDescent="0.35">
      <c r="A104" t="s">
        <v>149</v>
      </c>
      <c r="B104">
        <v>15011</v>
      </c>
      <c r="C104">
        <f t="shared" si="6"/>
        <v>6287.1</v>
      </c>
      <c r="D104">
        <f t="shared" si="5"/>
        <v>21298.1</v>
      </c>
    </row>
    <row r="105" spans="1:4" x14ac:dyDescent="0.35">
      <c r="A105" t="s">
        <v>150</v>
      </c>
      <c r="B105">
        <v>18538</v>
      </c>
      <c r="C105">
        <f t="shared" si="6"/>
        <v>4305</v>
      </c>
      <c r="D105">
        <f t="shared" si="5"/>
        <v>22843</v>
      </c>
    </row>
    <row r="106" spans="1:4" x14ac:dyDescent="0.35">
      <c r="A106" t="s">
        <v>151</v>
      </c>
      <c r="B106">
        <v>13263</v>
      </c>
      <c r="C106">
        <f t="shared" si="6"/>
        <v>5591.4</v>
      </c>
      <c r="D106">
        <f t="shared" si="5"/>
        <v>18854.400000000001</v>
      </c>
    </row>
    <row r="107" spans="1:4" x14ac:dyDescent="0.35">
      <c r="A107" t="s">
        <v>152</v>
      </c>
      <c r="B107">
        <v>19138</v>
      </c>
      <c r="C107">
        <f t="shared" si="6"/>
        <v>7270.8</v>
      </c>
      <c r="D107">
        <f t="shared" si="5"/>
        <v>26408.799999999999</v>
      </c>
    </row>
    <row r="108" spans="1:4" x14ac:dyDescent="0.35">
      <c r="A108" t="s">
        <v>153</v>
      </c>
      <c r="B108">
        <v>19800</v>
      </c>
      <c r="C108">
        <f t="shared" si="6"/>
        <v>5784</v>
      </c>
      <c r="D108">
        <f t="shared" si="5"/>
        <v>25584</v>
      </c>
    </row>
    <row r="109" spans="1:4" x14ac:dyDescent="0.35">
      <c r="A109" t="s">
        <v>154</v>
      </c>
      <c r="B109">
        <v>19042</v>
      </c>
      <c r="C109">
        <f t="shared" si="6"/>
        <v>7224.6</v>
      </c>
      <c r="D109">
        <f t="shared" si="5"/>
        <v>26266.6</v>
      </c>
    </row>
    <row r="110" spans="1:4" x14ac:dyDescent="0.35">
      <c r="A110" t="s">
        <v>155</v>
      </c>
      <c r="B110">
        <v>20919</v>
      </c>
      <c r="C110">
        <f t="shared" si="6"/>
        <v>7598.1</v>
      </c>
      <c r="D110">
        <f t="shared" si="5"/>
        <v>28517.1</v>
      </c>
    </row>
    <row r="111" spans="1:4" x14ac:dyDescent="0.35">
      <c r="A111" t="s">
        <v>156</v>
      </c>
      <c r="B111">
        <v>19685</v>
      </c>
      <c r="C111">
        <f t="shared" si="6"/>
        <v>4992</v>
      </c>
      <c r="D111">
        <f t="shared" si="5"/>
        <v>24677</v>
      </c>
    </row>
    <row r="112" spans="1:4" x14ac:dyDescent="0.35">
      <c r="A112" t="s">
        <v>157</v>
      </c>
      <c r="B112">
        <v>20048</v>
      </c>
      <c r="C112">
        <f t="shared" si="6"/>
        <v>3922.8</v>
      </c>
      <c r="D112">
        <f t="shared" si="5"/>
        <v>23970.799999999999</v>
      </c>
    </row>
    <row r="113" spans="1:4" x14ac:dyDescent="0.35">
      <c r="A113" t="s">
        <v>158</v>
      </c>
      <c r="B113">
        <v>26572</v>
      </c>
      <c r="C113">
        <f t="shared" si="6"/>
        <v>6393.9</v>
      </c>
      <c r="D113">
        <f t="shared" si="5"/>
        <v>32965.9</v>
      </c>
    </row>
    <row r="114" spans="1:4" x14ac:dyDescent="0.35">
      <c r="A114" t="s">
        <v>159</v>
      </c>
      <c r="B114">
        <v>12563</v>
      </c>
      <c r="C114">
        <f t="shared" si="6"/>
        <v>5210.7</v>
      </c>
      <c r="D114">
        <f t="shared" si="5"/>
        <v>17773.7</v>
      </c>
    </row>
    <row r="115" spans="1:4" x14ac:dyDescent="0.35">
      <c r="A115" t="s">
        <v>160</v>
      </c>
      <c r="B115">
        <v>23662</v>
      </c>
      <c r="C115">
        <f t="shared" si="6"/>
        <v>3812.1</v>
      </c>
      <c r="D115">
        <f t="shared" si="5"/>
        <v>27474.1</v>
      </c>
    </row>
    <row r="116" spans="1:4" x14ac:dyDescent="0.35">
      <c r="A116" t="s">
        <v>161</v>
      </c>
      <c r="B116">
        <v>13258</v>
      </c>
      <c r="C116">
        <f t="shared" si="6"/>
        <v>6268.2</v>
      </c>
      <c r="D116">
        <f t="shared" si="5"/>
        <v>19526.2</v>
      </c>
    </row>
    <row r="117" spans="1:4" x14ac:dyDescent="0.35">
      <c r="A117" t="s">
        <v>162</v>
      </c>
      <c r="B117">
        <v>12386</v>
      </c>
      <c r="C117">
        <f t="shared" si="6"/>
        <v>5065.2</v>
      </c>
      <c r="D117">
        <f t="shared" si="5"/>
        <v>17451.2</v>
      </c>
    </row>
    <row r="118" spans="1:4" x14ac:dyDescent="0.35">
      <c r="A118" t="s">
        <v>163</v>
      </c>
      <c r="B118">
        <v>13629</v>
      </c>
      <c r="C118">
        <f t="shared" si="6"/>
        <v>7454.1</v>
      </c>
      <c r="D118">
        <f t="shared" si="5"/>
        <v>21083.1</v>
      </c>
    </row>
    <row r="119" spans="1:4" x14ac:dyDescent="0.35">
      <c r="A119" t="s">
        <v>164</v>
      </c>
      <c r="B119">
        <v>21334</v>
      </c>
      <c r="C119">
        <f t="shared" si="6"/>
        <v>4316.7</v>
      </c>
      <c r="D119">
        <f t="shared" si="5"/>
        <v>25650.7</v>
      </c>
    </row>
    <row r="120" spans="1:4" x14ac:dyDescent="0.35">
      <c r="A120" t="s">
        <v>165</v>
      </c>
      <c r="B120">
        <v>12854</v>
      </c>
      <c r="C120">
        <f t="shared" si="6"/>
        <v>5604.9</v>
      </c>
      <c r="D120">
        <f t="shared" si="5"/>
        <v>18458.900000000001</v>
      </c>
    </row>
    <row r="121" spans="1:4" x14ac:dyDescent="0.35">
      <c r="A121" t="s">
        <v>166</v>
      </c>
      <c r="B121">
        <v>20022</v>
      </c>
      <c r="C121">
        <f t="shared" si="6"/>
        <v>5990.1</v>
      </c>
      <c r="D121">
        <f t="shared" si="5"/>
        <v>26012.1</v>
      </c>
    </row>
    <row r="122" spans="1:4" x14ac:dyDescent="0.35">
      <c r="A122" t="s">
        <v>167</v>
      </c>
      <c r="B122">
        <v>25729</v>
      </c>
      <c r="C122">
        <f>B9*20/100</f>
        <v>3929.8</v>
      </c>
      <c r="D122">
        <f t="shared" si="5"/>
        <v>29658.799999999999</v>
      </c>
    </row>
    <row r="123" spans="1:4" x14ac:dyDescent="0.35">
      <c r="A123" t="s">
        <v>168</v>
      </c>
      <c r="B123">
        <v>15513</v>
      </c>
      <c r="C123">
        <f t="shared" ref="C123:C164" si="7">B10*20/100</f>
        <v>3423</v>
      </c>
      <c r="D123">
        <f t="shared" si="5"/>
        <v>18936</v>
      </c>
    </row>
    <row r="124" spans="1:4" x14ac:dyDescent="0.35">
      <c r="A124" t="s">
        <v>169</v>
      </c>
      <c r="B124">
        <v>14671</v>
      </c>
      <c r="C124">
        <f t="shared" si="7"/>
        <v>2740.2</v>
      </c>
      <c r="D124">
        <f t="shared" si="5"/>
        <v>17411.2</v>
      </c>
    </row>
    <row r="125" spans="1:4" x14ac:dyDescent="0.35">
      <c r="A125" t="s">
        <v>170</v>
      </c>
      <c r="B125">
        <v>24598</v>
      </c>
      <c r="C125">
        <f t="shared" si="7"/>
        <v>2510.4</v>
      </c>
      <c r="D125">
        <f t="shared" si="5"/>
        <v>27108.400000000001</v>
      </c>
    </row>
    <row r="126" spans="1:4" x14ac:dyDescent="0.35">
      <c r="A126" t="s">
        <v>171</v>
      </c>
      <c r="B126">
        <v>25350</v>
      </c>
      <c r="C126">
        <f t="shared" si="7"/>
        <v>4302.2</v>
      </c>
      <c r="D126">
        <f t="shared" si="5"/>
        <v>29652.2</v>
      </c>
    </row>
    <row r="127" spans="1:4" x14ac:dyDescent="0.35">
      <c r="A127" t="s">
        <v>172</v>
      </c>
      <c r="B127">
        <v>23207</v>
      </c>
      <c r="C127">
        <f t="shared" si="7"/>
        <v>4145.8</v>
      </c>
      <c r="D127">
        <f t="shared" si="5"/>
        <v>27352.799999999999</v>
      </c>
    </row>
    <row r="128" spans="1:4" x14ac:dyDescent="0.35">
      <c r="A128" t="s">
        <v>173</v>
      </c>
      <c r="B128">
        <v>13472</v>
      </c>
      <c r="C128">
        <f t="shared" si="7"/>
        <v>5043.2</v>
      </c>
      <c r="D128">
        <f t="shared" si="5"/>
        <v>18515.2</v>
      </c>
    </row>
    <row r="129" spans="1:4" x14ac:dyDescent="0.35">
      <c r="A129" t="s">
        <v>174</v>
      </c>
      <c r="B129">
        <v>19751</v>
      </c>
      <c r="C129">
        <f t="shared" si="7"/>
        <v>5357.6</v>
      </c>
      <c r="D129">
        <f t="shared" si="5"/>
        <v>25108.6</v>
      </c>
    </row>
    <row r="130" spans="1:4" x14ac:dyDescent="0.35">
      <c r="A130" t="s">
        <v>175</v>
      </c>
      <c r="B130">
        <v>24069</v>
      </c>
      <c r="C130">
        <f t="shared" si="7"/>
        <v>4027.6</v>
      </c>
      <c r="D130">
        <f t="shared" si="5"/>
        <v>28096.6</v>
      </c>
    </row>
    <row r="131" spans="1:4" x14ac:dyDescent="0.35">
      <c r="A131" t="s">
        <v>176</v>
      </c>
      <c r="B131">
        <v>18130</v>
      </c>
      <c r="C131">
        <f t="shared" si="7"/>
        <v>2906.8</v>
      </c>
      <c r="D131">
        <f t="shared" ref="D131:D194" si="8">B131+C131</f>
        <v>21036.799999999999</v>
      </c>
    </row>
    <row r="132" spans="1:4" x14ac:dyDescent="0.35">
      <c r="A132" t="s">
        <v>177</v>
      </c>
      <c r="B132">
        <v>21070</v>
      </c>
      <c r="C132">
        <f t="shared" si="7"/>
        <v>4888.2</v>
      </c>
      <c r="D132">
        <f t="shared" si="8"/>
        <v>25958.2</v>
      </c>
    </row>
    <row r="133" spans="1:4" x14ac:dyDescent="0.35">
      <c r="A133" t="s">
        <v>178</v>
      </c>
      <c r="B133">
        <v>13898</v>
      </c>
      <c r="C133">
        <f t="shared" si="7"/>
        <v>4101.8</v>
      </c>
      <c r="D133">
        <f t="shared" si="8"/>
        <v>17999.8</v>
      </c>
    </row>
    <row r="134" spans="1:4" x14ac:dyDescent="0.35">
      <c r="A134" t="s">
        <v>179</v>
      </c>
      <c r="B134">
        <v>15147</v>
      </c>
      <c r="C134">
        <f t="shared" si="7"/>
        <v>4263.8</v>
      </c>
      <c r="D134">
        <f t="shared" si="8"/>
        <v>19410.8</v>
      </c>
    </row>
    <row r="135" spans="1:4" x14ac:dyDescent="0.35">
      <c r="A135" t="s">
        <v>180</v>
      </c>
      <c r="B135">
        <v>14930</v>
      </c>
      <c r="C135">
        <f t="shared" si="7"/>
        <v>5114.2</v>
      </c>
      <c r="D135">
        <f t="shared" si="8"/>
        <v>20044.2</v>
      </c>
    </row>
    <row r="136" spans="1:4" x14ac:dyDescent="0.35">
      <c r="A136" t="s">
        <v>181</v>
      </c>
      <c r="B136">
        <v>19850</v>
      </c>
      <c r="C136">
        <f t="shared" si="7"/>
        <v>4291.8</v>
      </c>
      <c r="D136">
        <f t="shared" si="8"/>
        <v>24141.8</v>
      </c>
    </row>
    <row r="137" spans="1:4" x14ac:dyDescent="0.35">
      <c r="A137" t="s">
        <v>182</v>
      </c>
      <c r="B137">
        <v>21590</v>
      </c>
      <c r="C137">
        <f t="shared" si="7"/>
        <v>3103.4</v>
      </c>
      <c r="D137">
        <f t="shared" si="8"/>
        <v>24693.4</v>
      </c>
    </row>
    <row r="138" spans="1:4" x14ac:dyDescent="0.35">
      <c r="A138" t="s">
        <v>183</v>
      </c>
      <c r="B138">
        <v>15559</v>
      </c>
      <c r="C138">
        <f t="shared" si="7"/>
        <v>2729</v>
      </c>
      <c r="D138">
        <f t="shared" si="8"/>
        <v>18288</v>
      </c>
    </row>
    <row r="139" spans="1:4" x14ac:dyDescent="0.35">
      <c r="A139" t="s">
        <v>184</v>
      </c>
      <c r="B139">
        <v>16946</v>
      </c>
      <c r="C139">
        <f t="shared" si="7"/>
        <v>2484</v>
      </c>
      <c r="D139">
        <f t="shared" si="8"/>
        <v>19430</v>
      </c>
    </row>
    <row r="140" spans="1:4" x14ac:dyDescent="0.35">
      <c r="A140" t="s">
        <v>185</v>
      </c>
      <c r="B140">
        <v>15215</v>
      </c>
      <c r="C140">
        <f t="shared" si="7"/>
        <v>2777.6</v>
      </c>
      <c r="D140">
        <f t="shared" si="8"/>
        <v>17992.599999999999</v>
      </c>
    </row>
    <row r="141" spans="1:4" x14ac:dyDescent="0.35">
      <c r="A141" t="s">
        <v>186</v>
      </c>
      <c r="B141">
        <v>13467</v>
      </c>
      <c r="C141">
        <f t="shared" si="7"/>
        <v>3448.8</v>
      </c>
      <c r="D141">
        <f t="shared" si="8"/>
        <v>16915.8</v>
      </c>
    </row>
    <row r="142" spans="1:4" x14ac:dyDescent="0.35">
      <c r="A142" t="s">
        <v>187</v>
      </c>
      <c r="B142">
        <v>25090</v>
      </c>
      <c r="C142">
        <f t="shared" si="7"/>
        <v>5407.4</v>
      </c>
      <c r="D142">
        <f t="shared" si="8"/>
        <v>30497.4</v>
      </c>
    </row>
    <row r="143" spans="1:4" x14ac:dyDescent="0.35">
      <c r="A143" t="s">
        <v>188</v>
      </c>
      <c r="B143">
        <v>21495</v>
      </c>
      <c r="C143">
        <f t="shared" si="7"/>
        <v>4959.6000000000004</v>
      </c>
      <c r="D143">
        <f t="shared" si="8"/>
        <v>26454.6</v>
      </c>
    </row>
    <row r="144" spans="1:4" x14ac:dyDescent="0.35">
      <c r="A144" t="s">
        <v>189</v>
      </c>
      <c r="B144">
        <v>20067</v>
      </c>
      <c r="C144">
        <f t="shared" si="7"/>
        <v>3102.6</v>
      </c>
      <c r="D144">
        <f t="shared" si="8"/>
        <v>23169.599999999999</v>
      </c>
    </row>
    <row r="145" spans="1:4" x14ac:dyDescent="0.35">
      <c r="A145" t="s">
        <v>190</v>
      </c>
      <c r="B145">
        <v>13941</v>
      </c>
      <c r="C145">
        <f t="shared" si="7"/>
        <v>4846.8</v>
      </c>
      <c r="D145">
        <f t="shared" si="8"/>
        <v>18787.8</v>
      </c>
    </row>
    <row r="146" spans="1:4" x14ac:dyDescent="0.35">
      <c r="A146" t="s">
        <v>191</v>
      </c>
      <c r="B146">
        <v>24858</v>
      </c>
      <c r="C146">
        <f t="shared" si="7"/>
        <v>4193.2</v>
      </c>
      <c r="D146">
        <f t="shared" si="8"/>
        <v>29051.200000000001</v>
      </c>
    </row>
    <row r="147" spans="1:4" x14ac:dyDescent="0.35">
      <c r="A147" t="s">
        <v>192</v>
      </c>
      <c r="B147">
        <v>25331</v>
      </c>
      <c r="C147">
        <f t="shared" si="7"/>
        <v>5262.6</v>
      </c>
      <c r="D147">
        <f t="shared" si="8"/>
        <v>30593.599999999999</v>
      </c>
    </row>
    <row r="148" spans="1:4" x14ac:dyDescent="0.35">
      <c r="A148" t="s">
        <v>193</v>
      </c>
      <c r="B148">
        <v>15520</v>
      </c>
      <c r="C148">
        <f t="shared" si="7"/>
        <v>3511</v>
      </c>
      <c r="D148">
        <f t="shared" si="8"/>
        <v>19031</v>
      </c>
    </row>
    <row r="149" spans="1:4" x14ac:dyDescent="0.35">
      <c r="A149" t="s">
        <v>194</v>
      </c>
      <c r="B149">
        <v>24229</v>
      </c>
      <c r="C149">
        <f t="shared" si="7"/>
        <v>4691.6000000000004</v>
      </c>
      <c r="D149">
        <f t="shared" si="8"/>
        <v>28920.6</v>
      </c>
    </row>
    <row r="150" spans="1:4" x14ac:dyDescent="0.35">
      <c r="A150" t="s">
        <v>195</v>
      </c>
      <c r="B150">
        <v>18917</v>
      </c>
      <c r="C150">
        <f t="shared" si="7"/>
        <v>5128.8</v>
      </c>
      <c r="D150">
        <f t="shared" si="8"/>
        <v>24045.8</v>
      </c>
    </row>
    <row r="151" spans="1:4" x14ac:dyDescent="0.35">
      <c r="A151" t="s">
        <v>196</v>
      </c>
      <c r="B151">
        <v>15434</v>
      </c>
      <c r="C151">
        <f t="shared" si="7"/>
        <v>3003.8</v>
      </c>
      <c r="D151">
        <f t="shared" si="8"/>
        <v>18437.8</v>
      </c>
    </row>
    <row r="152" spans="1:4" x14ac:dyDescent="0.35">
      <c r="A152" t="s">
        <v>197</v>
      </c>
      <c r="B152">
        <v>25636</v>
      </c>
      <c r="C152">
        <f t="shared" si="7"/>
        <v>5132.8</v>
      </c>
      <c r="D152">
        <f t="shared" si="8"/>
        <v>30768.799999999999</v>
      </c>
    </row>
    <row r="153" spans="1:4" x14ac:dyDescent="0.35">
      <c r="A153" t="s">
        <v>198</v>
      </c>
      <c r="B153">
        <v>15955</v>
      </c>
      <c r="C153">
        <f t="shared" si="7"/>
        <v>5169.6000000000004</v>
      </c>
      <c r="D153">
        <f t="shared" si="8"/>
        <v>21124.6</v>
      </c>
    </row>
    <row r="154" spans="1:4" x14ac:dyDescent="0.35">
      <c r="A154" t="s">
        <v>199</v>
      </c>
      <c r="B154">
        <v>23462</v>
      </c>
      <c r="C154">
        <f t="shared" si="7"/>
        <v>3203</v>
      </c>
      <c r="D154">
        <f t="shared" si="8"/>
        <v>26665</v>
      </c>
    </row>
    <row r="155" spans="1:4" x14ac:dyDescent="0.35">
      <c r="A155" t="s">
        <v>200</v>
      </c>
      <c r="B155">
        <v>17070</v>
      </c>
      <c r="C155">
        <f t="shared" si="7"/>
        <v>3903.8</v>
      </c>
      <c r="D155">
        <f t="shared" si="8"/>
        <v>20973.8</v>
      </c>
    </row>
    <row r="156" spans="1:4" x14ac:dyDescent="0.35">
      <c r="A156" t="s">
        <v>201</v>
      </c>
      <c r="B156">
        <v>19556</v>
      </c>
      <c r="C156">
        <f t="shared" si="7"/>
        <v>3220.8</v>
      </c>
      <c r="D156">
        <f t="shared" si="8"/>
        <v>22776.799999999999</v>
      </c>
    </row>
    <row r="157" spans="1:4" x14ac:dyDescent="0.35">
      <c r="A157" t="s">
        <v>202</v>
      </c>
      <c r="B157">
        <v>17748</v>
      </c>
      <c r="C157">
        <f t="shared" si="7"/>
        <v>3920.2</v>
      </c>
      <c r="D157">
        <f t="shared" si="8"/>
        <v>21668.2</v>
      </c>
    </row>
    <row r="158" spans="1:4" x14ac:dyDescent="0.35">
      <c r="A158" t="s">
        <v>203</v>
      </c>
      <c r="B158">
        <v>17648</v>
      </c>
      <c r="C158">
        <f t="shared" si="7"/>
        <v>3477.4</v>
      </c>
      <c r="D158">
        <f t="shared" si="8"/>
        <v>21125.4</v>
      </c>
    </row>
    <row r="159" spans="1:4" x14ac:dyDescent="0.35">
      <c r="A159" t="s">
        <v>204</v>
      </c>
      <c r="B159">
        <v>18266</v>
      </c>
      <c r="C159">
        <f t="shared" si="7"/>
        <v>3043</v>
      </c>
      <c r="D159">
        <f t="shared" si="8"/>
        <v>21309</v>
      </c>
    </row>
    <row r="160" spans="1:4" x14ac:dyDescent="0.35">
      <c r="A160" t="s">
        <v>205</v>
      </c>
      <c r="B160">
        <v>24227</v>
      </c>
      <c r="C160">
        <f t="shared" si="7"/>
        <v>3561</v>
      </c>
      <c r="D160">
        <f t="shared" si="8"/>
        <v>27788</v>
      </c>
    </row>
    <row r="161" spans="1:4" x14ac:dyDescent="0.35">
      <c r="A161" t="s">
        <v>206</v>
      </c>
      <c r="B161">
        <v>16263</v>
      </c>
      <c r="C161">
        <f t="shared" si="7"/>
        <v>5018.2</v>
      </c>
      <c r="D161">
        <f t="shared" si="8"/>
        <v>21281.200000000001</v>
      </c>
    </row>
    <row r="162" spans="1:4" x14ac:dyDescent="0.35">
      <c r="A162" t="s">
        <v>207</v>
      </c>
      <c r="B162">
        <v>18759</v>
      </c>
      <c r="C162">
        <f t="shared" si="7"/>
        <v>5123.6000000000004</v>
      </c>
      <c r="D162">
        <f t="shared" si="8"/>
        <v>23882.6</v>
      </c>
    </row>
    <row r="163" spans="1:4" x14ac:dyDescent="0.35">
      <c r="A163" t="s">
        <v>208</v>
      </c>
      <c r="B163">
        <v>21012</v>
      </c>
      <c r="C163">
        <f t="shared" si="7"/>
        <v>2493.6</v>
      </c>
      <c r="D163">
        <f t="shared" si="8"/>
        <v>23505.599999999999</v>
      </c>
    </row>
    <row r="164" spans="1:4" x14ac:dyDescent="0.35">
      <c r="A164" t="s">
        <v>209</v>
      </c>
      <c r="B164">
        <v>21589</v>
      </c>
      <c r="C164">
        <f t="shared" si="7"/>
        <v>3138</v>
      </c>
      <c r="D164">
        <f t="shared" si="8"/>
        <v>24727</v>
      </c>
    </row>
    <row r="165" spans="1:4" x14ac:dyDescent="0.35">
      <c r="A165" t="s">
        <v>210</v>
      </c>
      <c r="B165">
        <v>14464</v>
      </c>
      <c r="C165">
        <f>B52*20/100</f>
        <v>4890.3999999999996</v>
      </c>
      <c r="D165">
        <f t="shared" si="8"/>
        <v>19354.400000000001</v>
      </c>
    </row>
    <row r="166" spans="1:4" x14ac:dyDescent="0.35">
      <c r="A166" t="s">
        <v>211</v>
      </c>
      <c r="B166">
        <v>15467</v>
      </c>
      <c r="C166">
        <f>B52*10/100</f>
        <v>2445.1999999999998</v>
      </c>
      <c r="D166">
        <f t="shared" si="8"/>
        <v>17912.2</v>
      </c>
    </row>
    <row r="167" spans="1:4" x14ac:dyDescent="0.35">
      <c r="A167" t="s">
        <v>212</v>
      </c>
      <c r="B167">
        <v>27289</v>
      </c>
      <c r="C167">
        <f t="shared" ref="C167:C230" si="9">B53*10/100</f>
        <v>2132.8000000000002</v>
      </c>
      <c r="D167">
        <f t="shared" si="8"/>
        <v>29421.8</v>
      </c>
    </row>
    <row r="168" spans="1:4" x14ac:dyDescent="0.35">
      <c r="A168" t="s">
        <v>213</v>
      </c>
      <c r="B168">
        <v>19598</v>
      </c>
      <c r="C168">
        <f t="shared" si="9"/>
        <v>2570.8000000000002</v>
      </c>
      <c r="D168">
        <f t="shared" si="8"/>
        <v>22168.799999999999</v>
      </c>
    </row>
    <row r="169" spans="1:4" x14ac:dyDescent="0.35">
      <c r="A169" t="s">
        <v>214</v>
      </c>
      <c r="B169">
        <v>20066</v>
      </c>
      <c r="C169">
        <f t="shared" si="9"/>
        <v>1933.3</v>
      </c>
      <c r="D169">
        <f t="shared" si="8"/>
        <v>21999.3</v>
      </c>
    </row>
    <row r="170" spans="1:4" x14ac:dyDescent="0.35">
      <c r="A170" t="s">
        <v>215</v>
      </c>
      <c r="B170">
        <v>17667</v>
      </c>
      <c r="C170">
        <f t="shared" si="9"/>
        <v>1330.3</v>
      </c>
      <c r="D170">
        <f t="shared" si="8"/>
        <v>18997.3</v>
      </c>
    </row>
    <row r="171" spans="1:4" x14ac:dyDescent="0.35">
      <c r="A171" t="s">
        <v>216</v>
      </c>
      <c r="B171">
        <v>17936</v>
      </c>
      <c r="C171">
        <f t="shared" si="9"/>
        <v>1882.4</v>
      </c>
      <c r="D171">
        <f t="shared" si="8"/>
        <v>19818.400000000001</v>
      </c>
    </row>
    <row r="172" spans="1:4" x14ac:dyDescent="0.35">
      <c r="A172" t="s">
        <v>217</v>
      </c>
      <c r="B172">
        <v>15099</v>
      </c>
      <c r="C172">
        <f t="shared" si="9"/>
        <v>1830.1</v>
      </c>
      <c r="D172">
        <f t="shared" si="8"/>
        <v>16929.099999999999</v>
      </c>
    </row>
    <row r="173" spans="1:4" x14ac:dyDescent="0.35">
      <c r="A173" t="s">
        <v>218</v>
      </c>
      <c r="B173">
        <v>21467</v>
      </c>
      <c r="C173">
        <f t="shared" si="9"/>
        <v>1666.8</v>
      </c>
      <c r="D173">
        <f t="shared" si="8"/>
        <v>23133.8</v>
      </c>
    </row>
    <row r="174" spans="1:4" x14ac:dyDescent="0.35">
      <c r="A174" t="s">
        <v>219</v>
      </c>
      <c r="B174">
        <v>20032</v>
      </c>
      <c r="C174">
        <f t="shared" si="9"/>
        <v>1645.3</v>
      </c>
      <c r="D174">
        <f t="shared" si="8"/>
        <v>21677.3</v>
      </c>
    </row>
    <row r="175" spans="1:4" x14ac:dyDescent="0.35">
      <c r="A175" t="s">
        <v>220</v>
      </c>
      <c r="B175">
        <v>20320</v>
      </c>
      <c r="C175">
        <f t="shared" si="9"/>
        <v>2480.6999999999998</v>
      </c>
      <c r="D175">
        <f t="shared" si="8"/>
        <v>22800.7</v>
      </c>
    </row>
    <row r="176" spans="1:4" x14ac:dyDescent="0.35">
      <c r="A176" t="s">
        <v>221</v>
      </c>
      <c r="B176">
        <v>16304</v>
      </c>
      <c r="C176">
        <f t="shared" si="9"/>
        <v>2034.8</v>
      </c>
      <c r="D176">
        <f t="shared" si="8"/>
        <v>18338.8</v>
      </c>
    </row>
    <row r="177" spans="1:4" x14ac:dyDescent="0.35">
      <c r="A177" t="s">
        <v>222</v>
      </c>
      <c r="B177">
        <v>25824</v>
      </c>
      <c r="C177">
        <f t="shared" si="9"/>
        <v>2691.1</v>
      </c>
      <c r="D177">
        <f t="shared" si="8"/>
        <v>28515.1</v>
      </c>
    </row>
    <row r="178" spans="1:4" x14ac:dyDescent="0.35">
      <c r="A178" t="s">
        <v>223</v>
      </c>
      <c r="B178">
        <v>18183</v>
      </c>
      <c r="C178">
        <f t="shared" si="9"/>
        <v>1940.9</v>
      </c>
      <c r="D178">
        <f t="shared" si="8"/>
        <v>20123.900000000001</v>
      </c>
    </row>
    <row r="179" spans="1:4" x14ac:dyDescent="0.35">
      <c r="A179" t="s">
        <v>224</v>
      </c>
      <c r="B179">
        <v>19163</v>
      </c>
      <c r="C179">
        <f t="shared" si="9"/>
        <v>2636</v>
      </c>
      <c r="D179">
        <f t="shared" si="8"/>
        <v>21799</v>
      </c>
    </row>
    <row r="180" spans="1:4" x14ac:dyDescent="0.35">
      <c r="A180" t="s">
        <v>225</v>
      </c>
      <c r="B180">
        <v>13423</v>
      </c>
      <c r="C180">
        <f t="shared" si="9"/>
        <v>1910.1</v>
      </c>
      <c r="D180">
        <f t="shared" si="8"/>
        <v>15333.1</v>
      </c>
    </row>
    <row r="181" spans="1:4" x14ac:dyDescent="0.35">
      <c r="A181" t="s">
        <v>226</v>
      </c>
      <c r="B181">
        <v>25502</v>
      </c>
      <c r="C181">
        <f t="shared" si="9"/>
        <v>2359.3000000000002</v>
      </c>
      <c r="D181">
        <f t="shared" si="8"/>
        <v>27861.3</v>
      </c>
    </row>
    <row r="182" spans="1:4" x14ac:dyDescent="0.35">
      <c r="A182" t="s">
        <v>227</v>
      </c>
      <c r="B182">
        <v>15160</v>
      </c>
      <c r="C182">
        <f t="shared" si="9"/>
        <v>1651.5</v>
      </c>
      <c r="D182">
        <f t="shared" si="8"/>
        <v>16811.5</v>
      </c>
    </row>
    <row r="183" spans="1:4" x14ac:dyDescent="0.35">
      <c r="A183" t="s">
        <v>228</v>
      </c>
      <c r="B183">
        <v>15463</v>
      </c>
      <c r="C183">
        <f t="shared" si="9"/>
        <v>1684.9</v>
      </c>
      <c r="D183">
        <f t="shared" si="8"/>
        <v>17147.900000000001</v>
      </c>
    </row>
    <row r="184" spans="1:4" x14ac:dyDescent="0.35">
      <c r="A184" t="s">
        <v>229</v>
      </c>
      <c r="B184">
        <v>19186</v>
      </c>
      <c r="C184">
        <f t="shared" si="9"/>
        <v>1454.6</v>
      </c>
      <c r="D184">
        <f t="shared" si="8"/>
        <v>20640.599999999999</v>
      </c>
    </row>
    <row r="185" spans="1:4" x14ac:dyDescent="0.35">
      <c r="A185" t="s">
        <v>230</v>
      </c>
      <c r="B185">
        <v>16587</v>
      </c>
      <c r="C185">
        <f t="shared" si="9"/>
        <v>1553.9</v>
      </c>
      <c r="D185">
        <f t="shared" si="8"/>
        <v>18140.900000000001</v>
      </c>
    </row>
    <row r="186" spans="1:4" x14ac:dyDescent="0.35">
      <c r="A186" t="s">
        <v>231</v>
      </c>
      <c r="B186">
        <v>24750</v>
      </c>
      <c r="C186">
        <f t="shared" si="9"/>
        <v>1964.9</v>
      </c>
      <c r="D186">
        <f t="shared" si="8"/>
        <v>26714.9</v>
      </c>
    </row>
    <row r="187" spans="1:4" x14ac:dyDescent="0.35">
      <c r="A187" t="s">
        <v>232</v>
      </c>
      <c r="B187">
        <v>15573</v>
      </c>
      <c r="C187">
        <f t="shared" si="9"/>
        <v>1819</v>
      </c>
      <c r="D187">
        <f t="shared" si="8"/>
        <v>17392</v>
      </c>
    </row>
    <row r="188" spans="1:4" x14ac:dyDescent="0.35">
      <c r="A188" t="s">
        <v>233</v>
      </c>
      <c r="B188">
        <v>14432</v>
      </c>
      <c r="C188">
        <f t="shared" si="9"/>
        <v>2554</v>
      </c>
      <c r="D188">
        <f t="shared" si="8"/>
        <v>16986</v>
      </c>
    </row>
    <row r="189" spans="1:4" x14ac:dyDescent="0.35">
      <c r="A189" t="s">
        <v>234</v>
      </c>
      <c r="B189">
        <v>15487</v>
      </c>
      <c r="C189">
        <f t="shared" si="9"/>
        <v>1511</v>
      </c>
      <c r="D189">
        <f t="shared" si="8"/>
        <v>16998</v>
      </c>
    </row>
    <row r="190" spans="1:4" x14ac:dyDescent="0.35">
      <c r="A190" t="s">
        <v>235</v>
      </c>
      <c r="B190">
        <v>14524</v>
      </c>
      <c r="C190">
        <f t="shared" si="9"/>
        <v>1893.1</v>
      </c>
      <c r="D190">
        <f t="shared" si="8"/>
        <v>16417.099999999999</v>
      </c>
    </row>
    <row r="191" spans="1:4" x14ac:dyDescent="0.35">
      <c r="A191" t="s">
        <v>236</v>
      </c>
      <c r="B191">
        <v>14184</v>
      </c>
      <c r="C191">
        <f t="shared" si="9"/>
        <v>1357.8</v>
      </c>
      <c r="D191">
        <f t="shared" si="8"/>
        <v>15541.8</v>
      </c>
    </row>
    <row r="192" spans="1:4" x14ac:dyDescent="0.35">
      <c r="A192" t="s">
        <v>237</v>
      </c>
      <c r="B192">
        <v>24873</v>
      </c>
      <c r="C192">
        <f t="shared" si="9"/>
        <v>1357.4</v>
      </c>
      <c r="D192">
        <f t="shared" si="8"/>
        <v>26230.400000000001</v>
      </c>
    </row>
    <row r="193" spans="1:4" x14ac:dyDescent="0.35">
      <c r="A193" t="s">
        <v>238</v>
      </c>
      <c r="B193">
        <v>19817</v>
      </c>
      <c r="C193">
        <f t="shared" si="9"/>
        <v>2361.1999999999998</v>
      </c>
      <c r="D193">
        <f t="shared" si="8"/>
        <v>22178.2</v>
      </c>
    </row>
    <row r="194" spans="1:4" x14ac:dyDescent="0.35">
      <c r="A194" t="s">
        <v>239</v>
      </c>
      <c r="B194">
        <v>14097</v>
      </c>
      <c r="C194">
        <f t="shared" si="9"/>
        <v>1657</v>
      </c>
      <c r="D194">
        <f t="shared" si="8"/>
        <v>15754</v>
      </c>
    </row>
    <row r="195" spans="1:4" x14ac:dyDescent="0.35">
      <c r="A195" t="s">
        <v>240</v>
      </c>
      <c r="B195">
        <v>21593</v>
      </c>
      <c r="C195">
        <f t="shared" si="9"/>
        <v>2095.6999999999998</v>
      </c>
      <c r="D195">
        <f t="shared" ref="D195:D258" si="10">B195+C195</f>
        <v>23688.7</v>
      </c>
    </row>
    <row r="196" spans="1:4" x14ac:dyDescent="0.35">
      <c r="A196" t="s">
        <v>241</v>
      </c>
      <c r="B196">
        <v>14828</v>
      </c>
      <c r="C196">
        <f t="shared" si="9"/>
        <v>1435</v>
      </c>
      <c r="D196">
        <f t="shared" si="10"/>
        <v>16263</v>
      </c>
    </row>
    <row r="197" spans="1:4" x14ac:dyDescent="0.35">
      <c r="A197" t="s">
        <v>242</v>
      </c>
      <c r="B197">
        <v>26313</v>
      </c>
      <c r="C197">
        <f t="shared" si="9"/>
        <v>1863.8</v>
      </c>
      <c r="D197">
        <f t="shared" si="10"/>
        <v>28176.799999999999</v>
      </c>
    </row>
    <row r="198" spans="1:4" x14ac:dyDescent="0.35">
      <c r="A198" t="s">
        <v>243</v>
      </c>
      <c r="B198">
        <v>14489</v>
      </c>
      <c r="C198">
        <f t="shared" si="9"/>
        <v>2423.6</v>
      </c>
      <c r="D198">
        <f t="shared" si="10"/>
        <v>16912.599999999999</v>
      </c>
    </row>
    <row r="199" spans="1:4" x14ac:dyDescent="0.35">
      <c r="A199" t="s">
        <v>244</v>
      </c>
      <c r="B199">
        <v>20670</v>
      </c>
      <c r="C199">
        <f t="shared" si="9"/>
        <v>1928</v>
      </c>
      <c r="D199">
        <f t="shared" si="10"/>
        <v>22598</v>
      </c>
    </row>
    <row r="200" spans="1:4" x14ac:dyDescent="0.35">
      <c r="A200" t="s">
        <v>245</v>
      </c>
      <c r="B200">
        <v>13940</v>
      </c>
      <c r="C200">
        <f t="shared" si="9"/>
        <v>2408.1999999999998</v>
      </c>
      <c r="D200">
        <f t="shared" si="10"/>
        <v>16348.2</v>
      </c>
    </row>
    <row r="201" spans="1:4" x14ac:dyDescent="0.35">
      <c r="A201" t="s">
        <v>246</v>
      </c>
      <c r="B201">
        <v>14981</v>
      </c>
      <c r="C201">
        <f t="shared" si="9"/>
        <v>2532.6999999999998</v>
      </c>
      <c r="D201">
        <f t="shared" si="10"/>
        <v>17513.7</v>
      </c>
    </row>
    <row r="202" spans="1:4" x14ac:dyDescent="0.35">
      <c r="A202" t="s">
        <v>247</v>
      </c>
      <c r="B202">
        <v>15569</v>
      </c>
      <c r="C202">
        <f t="shared" si="9"/>
        <v>1664</v>
      </c>
      <c r="D202">
        <f t="shared" si="10"/>
        <v>17233</v>
      </c>
    </row>
    <row r="203" spans="1:4" x14ac:dyDescent="0.35">
      <c r="A203" t="s">
        <v>248</v>
      </c>
      <c r="B203">
        <v>14363</v>
      </c>
      <c r="C203">
        <f t="shared" si="9"/>
        <v>1307.5999999999999</v>
      </c>
      <c r="D203">
        <f t="shared" si="10"/>
        <v>15670.6</v>
      </c>
    </row>
    <row r="204" spans="1:4" x14ac:dyDescent="0.35">
      <c r="A204" t="s">
        <v>249</v>
      </c>
      <c r="B204">
        <v>15152</v>
      </c>
      <c r="C204">
        <f t="shared" si="9"/>
        <v>2131.3000000000002</v>
      </c>
      <c r="D204">
        <f t="shared" si="10"/>
        <v>17283.3</v>
      </c>
    </row>
    <row r="205" spans="1:4" x14ac:dyDescent="0.35">
      <c r="A205" t="s">
        <v>250</v>
      </c>
      <c r="B205">
        <v>17108</v>
      </c>
      <c r="C205">
        <f t="shared" si="9"/>
        <v>1736.9</v>
      </c>
      <c r="D205">
        <f t="shared" si="10"/>
        <v>18844.900000000001</v>
      </c>
    </row>
    <row r="206" spans="1:4" x14ac:dyDescent="0.35">
      <c r="A206" t="s">
        <v>251</v>
      </c>
      <c r="B206">
        <v>15933</v>
      </c>
      <c r="C206">
        <f t="shared" si="9"/>
        <v>1270.7</v>
      </c>
      <c r="D206">
        <f t="shared" si="10"/>
        <v>17203.7</v>
      </c>
    </row>
    <row r="207" spans="1:4" x14ac:dyDescent="0.35">
      <c r="A207" t="s">
        <v>252</v>
      </c>
      <c r="B207">
        <v>13673</v>
      </c>
      <c r="C207">
        <f t="shared" si="9"/>
        <v>2089.4</v>
      </c>
      <c r="D207">
        <f t="shared" si="10"/>
        <v>15762.4</v>
      </c>
    </row>
    <row r="208" spans="1:4" x14ac:dyDescent="0.35">
      <c r="A208" t="s">
        <v>253</v>
      </c>
      <c r="B208">
        <v>15569</v>
      </c>
      <c r="C208">
        <f t="shared" si="9"/>
        <v>1688.4</v>
      </c>
      <c r="D208">
        <f t="shared" si="10"/>
        <v>17257.400000000001</v>
      </c>
    </row>
    <row r="209" spans="1:4" x14ac:dyDescent="0.35">
      <c r="A209" t="s">
        <v>254</v>
      </c>
      <c r="B209">
        <v>19951</v>
      </c>
      <c r="C209">
        <f t="shared" si="9"/>
        <v>2484.6999999999998</v>
      </c>
      <c r="D209">
        <f t="shared" si="10"/>
        <v>22435.7</v>
      </c>
    </row>
    <row r="210" spans="1:4" x14ac:dyDescent="0.35">
      <c r="A210" t="s">
        <v>255</v>
      </c>
      <c r="B210">
        <v>26795</v>
      </c>
      <c r="C210">
        <f t="shared" si="9"/>
        <v>1438.9</v>
      </c>
      <c r="D210">
        <f t="shared" si="10"/>
        <v>28233.9</v>
      </c>
    </row>
    <row r="211" spans="1:4" x14ac:dyDescent="0.35">
      <c r="A211" t="s">
        <v>256</v>
      </c>
      <c r="B211">
        <v>20092</v>
      </c>
      <c r="C211">
        <f t="shared" si="9"/>
        <v>1868.3</v>
      </c>
      <c r="D211">
        <f t="shared" si="10"/>
        <v>21960.3</v>
      </c>
    </row>
    <row r="212" spans="1:4" x14ac:dyDescent="0.35">
      <c r="A212" t="s">
        <v>257</v>
      </c>
      <c r="B212">
        <v>25749</v>
      </c>
      <c r="C212">
        <f t="shared" si="9"/>
        <v>1996.7</v>
      </c>
      <c r="D212">
        <f t="shared" si="10"/>
        <v>27745.7</v>
      </c>
    </row>
    <row r="213" spans="1:4" x14ac:dyDescent="0.35">
      <c r="A213" t="s">
        <v>258</v>
      </c>
      <c r="B213">
        <v>26779</v>
      </c>
      <c r="C213">
        <f t="shared" si="9"/>
        <v>1468</v>
      </c>
      <c r="D213">
        <f t="shared" si="10"/>
        <v>28247</v>
      </c>
    </row>
    <row r="214" spans="1:4" x14ac:dyDescent="0.35">
      <c r="A214" t="s">
        <v>259</v>
      </c>
      <c r="B214">
        <v>25402</v>
      </c>
      <c r="C214">
        <f t="shared" si="9"/>
        <v>1650.8</v>
      </c>
      <c r="D214">
        <f t="shared" si="10"/>
        <v>27052.799999999999</v>
      </c>
    </row>
    <row r="215" spans="1:4" x14ac:dyDescent="0.35">
      <c r="A215" t="s">
        <v>260</v>
      </c>
      <c r="B215">
        <v>19777</v>
      </c>
      <c r="C215">
        <f t="shared" si="9"/>
        <v>2435</v>
      </c>
      <c r="D215">
        <f t="shared" si="10"/>
        <v>22212</v>
      </c>
    </row>
    <row r="216" spans="1:4" x14ac:dyDescent="0.35">
      <c r="A216" t="s">
        <v>261</v>
      </c>
      <c r="B216">
        <v>14807</v>
      </c>
      <c r="C216">
        <f t="shared" si="9"/>
        <v>2667.3</v>
      </c>
      <c r="D216">
        <f t="shared" si="10"/>
        <v>17474.3</v>
      </c>
    </row>
    <row r="217" spans="1:4" x14ac:dyDescent="0.35">
      <c r="A217" t="s">
        <v>262</v>
      </c>
      <c r="B217">
        <v>15886</v>
      </c>
      <c r="C217">
        <f t="shared" si="9"/>
        <v>1843.1</v>
      </c>
      <c r="D217">
        <f t="shared" si="10"/>
        <v>17729.099999999999</v>
      </c>
    </row>
    <row r="218" spans="1:4" x14ac:dyDescent="0.35">
      <c r="A218" t="s">
        <v>263</v>
      </c>
      <c r="B218">
        <v>24262</v>
      </c>
      <c r="C218">
        <f t="shared" si="9"/>
        <v>1501.1</v>
      </c>
      <c r="D218">
        <f t="shared" si="10"/>
        <v>25763.1</v>
      </c>
    </row>
    <row r="219" spans="1:4" x14ac:dyDescent="0.35">
      <c r="A219" t="s">
        <v>264</v>
      </c>
      <c r="B219">
        <v>24538</v>
      </c>
      <c r="C219">
        <f t="shared" si="9"/>
        <v>1853.8</v>
      </c>
      <c r="D219">
        <f t="shared" si="10"/>
        <v>26391.8</v>
      </c>
    </row>
    <row r="220" spans="1:4" x14ac:dyDescent="0.35">
      <c r="A220" t="s">
        <v>265</v>
      </c>
      <c r="B220">
        <v>25666</v>
      </c>
      <c r="C220">
        <f t="shared" si="9"/>
        <v>1326.3</v>
      </c>
      <c r="D220">
        <f t="shared" si="10"/>
        <v>26992.3</v>
      </c>
    </row>
    <row r="221" spans="1:4" x14ac:dyDescent="0.35">
      <c r="A221" t="s">
        <v>266</v>
      </c>
      <c r="B221">
        <v>18470</v>
      </c>
      <c r="C221">
        <f t="shared" si="9"/>
        <v>1913.8</v>
      </c>
      <c r="D221">
        <f t="shared" si="10"/>
        <v>20383.8</v>
      </c>
    </row>
    <row r="222" spans="1:4" x14ac:dyDescent="0.35">
      <c r="A222" t="s">
        <v>267</v>
      </c>
      <c r="B222">
        <v>16768</v>
      </c>
      <c r="C222">
        <f t="shared" si="9"/>
        <v>1980</v>
      </c>
      <c r="D222">
        <f t="shared" si="10"/>
        <v>18748</v>
      </c>
    </row>
    <row r="223" spans="1:4" x14ac:dyDescent="0.35">
      <c r="A223" t="s">
        <v>268</v>
      </c>
      <c r="B223">
        <v>12673</v>
      </c>
      <c r="C223">
        <f t="shared" si="9"/>
        <v>1904.2</v>
      </c>
      <c r="D223">
        <f t="shared" si="10"/>
        <v>14577.2</v>
      </c>
    </row>
    <row r="224" spans="1:4" x14ac:dyDescent="0.35">
      <c r="A224" t="s">
        <v>269</v>
      </c>
      <c r="B224">
        <v>18591</v>
      </c>
      <c r="C224">
        <f t="shared" si="9"/>
        <v>2091.9</v>
      </c>
      <c r="D224">
        <f t="shared" si="10"/>
        <v>20682.900000000001</v>
      </c>
    </row>
    <row r="225" spans="1:4" x14ac:dyDescent="0.35">
      <c r="A225" t="s">
        <v>270</v>
      </c>
      <c r="B225">
        <v>16785</v>
      </c>
      <c r="C225">
        <f t="shared" si="9"/>
        <v>1968.5</v>
      </c>
      <c r="D225">
        <f t="shared" si="10"/>
        <v>18753.5</v>
      </c>
    </row>
    <row r="226" spans="1:4" x14ac:dyDescent="0.35">
      <c r="A226" t="s">
        <v>271</v>
      </c>
      <c r="B226">
        <v>24773</v>
      </c>
      <c r="C226">
        <f t="shared" si="9"/>
        <v>2004.8</v>
      </c>
      <c r="D226">
        <f t="shared" si="10"/>
        <v>26777.8</v>
      </c>
    </row>
    <row r="227" spans="1:4" x14ac:dyDescent="0.35">
      <c r="A227" t="s">
        <v>272</v>
      </c>
      <c r="B227">
        <v>24476</v>
      </c>
      <c r="C227">
        <f t="shared" si="9"/>
        <v>2657.2</v>
      </c>
      <c r="D227">
        <f t="shared" si="10"/>
        <v>27133.200000000001</v>
      </c>
    </row>
    <row r="228" spans="1:4" x14ac:dyDescent="0.35">
      <c r="A228" t="s">
        <v>273</v>
      </c>
      <c r="B228">
        <v>15202</v>
      </c>
      <c r="C228">
        <f t="shared" si="9"/>
        <v>1256.3</v>
      </c>
      <c r="D228">
        <f t="shared" si="10"/>
        <v>16458.3</v>
      </c>
    </row>
    <row r="229" spans="1:4" x14ac:dyDescent="0.35">
      <c r="A229" t="s">
        <v>274</v>
      </c>
      <c r="B229">
        <v>14564</v>
      </c>
      <c r="C229">
        <f t="shared" si="9"/>
        <v>2366.1999999999998</v>
      </c>
      <c r="D229">
        <f t="shared" si="10"/>
        <v>16930.2</v>
      </c>
    </row>
    <row r="230" spans="1:4" x14ac:dyDescent="0.35">
      <c r="A230" t="s">
        <v>275</v>
      </c>
      <c r="B230">
        <v>25379</v>
      </c>
      <c r="C230">
        <f t="shared" si="9"/>
        <v>1325.8</v>
      </c>
      <c r="D230">
        <f t="shared" si="10"/>
        <v>26704.799999999999</v>
      </c>
    </row>
    <row r="231" spans="1:4" x14ac:dyDescent="0.35">
      <c r="A231" t="s">
        <v>276</v>
      </c>
      <c r="B231">
        <v>16727</v>
      </c>
      <c r="C231">
        <f t="shared" ref="C231:C294" si="11">B117*10/100</f>
        <v>1238.5999999999999</v>
      </c>
      <c r="D231">
        <f t="shared" si="10"/>
        <v>17965.599999999999</v>
      </c>
    </row>
    <row r="232" spans="1:4" x14ac:dyDescent="0.35">
      <c r="A232" t="s">
        <v>277</v>
      </c>
      <c r="B232">
        <v>24324</v>
      </c>
      <c r="C232">
        <f t="shared" si="11"/>
        <v>1362.9</v>
      </c>
      <c r="D232">
        <f t="shared" si="10"/>
        <v>25686.9</v>
      </c>
    </row>
    <row r="233" spans="1:4" x14ac:dyDescent="0.35">
      <c r="A233" t="s">
        <v>278</v>
      </c>
      <c r="B233">
        <v>12802</v>
      </c>
      <c r="C233">
        <f t="shared" si="11"/>
        <v>2133.4</v>
      </c>
      <c r="D233">
        <f t="shared" si="10"/>
        <v>14935.4</v>
      </c>
    </row>
    <row r="234" spans="1:4" x14ac:dyDescent="0.35">
      <c r="A234" t="s">
        <v>279</v>
      </c>
      <c r="B234">
        <v>27095</v>
      </c>
      <c r="C234">
        <f t="shared" si="11"/>
        <v>1285.4000000000001</v>
      </c>
      <c r="D234">
        <f t="shared" si="10"/>
        <v>28380.400000000001</v>
      </c>
    </row>
    <row r="235" spans="1:4" x14ac:dyDescent="0.35">
      <c r="A235" t="s">
        <v>280</v>
      </c>
      <c r="B235">
        <v>13866</v>
      </c>
      <c r="C235">
        <f t="shared" si="11"/>
        <v>2002.2</v>
      </c>
      <c r="D235">
        <f t="shared" si="10"/>
        <v>15868.2</v>
      </c>
    </row>
    <row r="236" spans="1:4" x14ac:dyDescent="0.35">
      <c r="A236" t="s">
        <v>281</v>
      </c>
      <c r="B236">
        <v>12726</v>
      </c>
      <c r="C236">
        <f t="shared" si="11"/>
        <v>2572.9</v>
      </c>
      <c r="D236">
        <f t="shared" si="10"/>
        <v>15298.9</v>
      </c>
    </row>
    <row r="237" spans="1:4" x14ac:dyDescent="0.35">
      <c r="A237" t="s">
        <v>282</v>
      </c>
      <c r="B237">
        <v>14972</v>
      </c>
      <c r="C237">
        <f t="shared" si="11"/>
        <v>1551.3</v>
      </c>
      <c r="D237">
        <f t="shared" si="10"/>
        <v>16523.3</v>
      </c>
    </row>
    <row r="238" spans="1:4" x14ac:dyDescent="0.35">
      <c r="A238" t="s">
        <v>283</v>
      </c>
      <c r="B238">
        <v>17030</v>
      </c>
      <c r="C238">
        <f t="shared" si="11"/>
        <v>1467.1</v>
      </c>
      <c r="D238">
        <f t="shared" si="10"/>
        <v>18497.099999999999</v>
      </c>
    </row>
    <row r="239" spans="1:4" x14ac:dyDescent="0.35">
      <c r="A239" t="s">
        <v>284</v>
      </c>
      <c r="B239">
        <v>16621</v>
      </c>
      <c r="C239">
        <f t="shared" si="11"/>
        <v>2459.8000000000002</v>
      </c>
      <c r="D239">
        <f t="shared" si="10"/>
        <v>19080.8</v>
      </c>
    </row>
    <row r="240" spans="1:4" x14ac:dyDescent="0.35">
      <c r="A240" t="s">
        <v>285</v>
      </c>
      <c r="B240">
        <v>12639</v>
      </c>
      <c r="C240">
        <f t="shared" si="11"/>
        <v>2535</v>
      </c>
      <c r="D240">
        <f t="shared" si="10"/>
        <v>15174</v>
      </c>
    </row>
    <row r="241" spans="1:4" x14ac:dyDescent="0.35">
      <c r="A241" t="s">
        <v>286</v>
      </c>
      <c r="B241">
        <v>25424</v>
      </c>
      <c r="C241">
        <f t="shared" si="11"/>
        <v>2320.6999999999998</v>
      </c>
      <c r="D241">
        <f t="shared" si="10"/>
        <v>27744.7</v>
      </c>
    </row>
    <row r="242" spans="1:4" x14ac:dyDescent="0.35">
      <c r="A242" t="s">
        <v>287</v>
      </c>
      <c r="B242">
        <v>15314</v>
      </c>
      <c r="C242">
        <f t="shared" si="11"/>
        <v>1347.2</v>
      </c>
      <c r="D242">
        <f t="shared" si="10"/>
        <v>16661.2</v>
      </c>
    </row>
    <row r="243" spans="1:4" x14ac:dyDescent="0.35">
      <c r="A243" t="s">
        <v>288</v>
      </c>
      <c r="B243">
        <v>25321</v>
      </c>
      <c r="C243">
        <f t="shared" si="11"/>
        <v>1975.1</v>
      </c>
      <c r="D243">
        <f t="shared" si="10"/>
        <v>27296.1</v>
      </c>
    </row>
    <row r="244" spans="1:4" x14ac:dyDescent="0.35">
      <c r="A244" t="s">
        <v>289</v>
      </c>
      <c r="B244">
        <v>16731</v>
      </c>
      <c r="C244">
        <f t="shared" si="11"/>
        <v>2406.9</v>
      </c>
      <c r="D244">
        <f t="shared" si="10"/>
        <v>19137.900000000001</v>
      </c>
    </row>
    <row r="245" spans="1:4" x14ac:dyDescent="0.35">
      <c r="A245" t="s">
        <v>290</v>
      </c>
      <c r="B245">
        <v>24683</v>
      </c>
      <c r="C245">
        <f t="shared" si="11"/>
        <v>1813</v>
      </c>
      <c r="D245">
        <f t="shared" si="10"/>
        <v>26496</v>
      </c>
    </row>
    <row r="246" spans="1:4" x14ac:dyDescent="0.35">
      <c r="A246" t="s">
        <v>291</v>
      </c>
      <c r="B246">
        <v>16392</v>
      </c>
      <c r="C246">
        <f t="shared" si="11"/>
        <v>2107</v>
      </c>
      <c r="D246">
        <f t="shared" si="10"/>
        <v>18499</v>
      </c>
    </row>
    <row r="247" spans="1:4" x14ac:dyDescent="0.35">
      <c r="A247" t="s">
        <v>292</v>
      </c>
      <c r="B247">
        <v>25507</v>
      </c>
      <c r="C247">
        <f t="shared" si="11"/>
        <v>1389.8</v>
      </c>
      <c r="D247">
        <f t="shared" si="10"/>
        <v>26896.799999999999</v>
      </c>
    </row>
    <row r="248" spans="1:4" x14ac:dyDescent="0.35">
      <c r="A248" t="s">
        <v>293</v>
      </c>
      <c r="B248">
        <v>19809</v>
      </c>
      <c r="C248">
        <f t="shared" si="11"/>
        <v>1514.7</v>
      </c>
      <c r="D248">
        <f t="shared" si="10"/>
        <v>21323.7</v>
      </c>
    </row>
    <row r="249" spans="1:4" x14ac:dyDescent="0.35">
      <c r="A249" t="s">
        <v>294</v>
      </c>
      <c r="B249">
        <v>17101</v>
      </c>
      <c r="C249">
        <f t="shared" si="11"/>
        <v>1493</v>
      </c>
      <c r="D249">
        <f t="shared" si="10"/>
        <v>18594</v>
      </c>
    </row>
    <row r="250" spans="1:4" x14ac:dyDescent="0.35">
      <c r="A250" t="s">
        <v>295</v>
      </c>
      <c r="B250">
        <v>23553</v>
      </c>
      <c r="C250">
        <f t="shared" si="11"/>
        <v>1985</v>
      </c>
      <c r="D250">
        <f t="shared" si="10"/>
        <v>25538</v>
      </c>
    </row>
    <row r="251" spans="1:4" x14ac:dyDescent="0.35">
      <c r="A251" t="s">
        <v>296</v>
      </c>
      <c r="B251">
        <v>20778</v>
      </c>
      <c r="C251">
        <f t="shared" si="11"/>
        <v>2159</v>
      </c>
      <c r="D251">
        <f t="shared" si="10"/>
        <v>22937</v>
      </c>
    </row>
    <row r="252" spans="1:4" x14ac:dyDescent="0.35">
      <c r="A252" t="s">
        <v>297</v>
      </c>
      <c r="B252">
        <v>13364</v>
      </c>
      <c r="C252">
        <f t="shared" si="11"/>
        <v>1555.9</v>
      </c>
      <c r="D252">
        <f t="shared" si="10"/>
        <v>14919.9</v>
      </c>
    </row>
    <row r="253" spans="1:4" x14ac:dyDescent="0.35">
      <c r="A253" t="s">
        <v>298</v>
      </c>
      <c r="B253">
        <v>24752</v>
      </c>
      <c r="C253">
        <f t="shared" si="11"/>
        <v>1694.6</v>
      </c>
      <c r="D253">
        <f t="shared" si="10"/>
        <v>26446.6</v>
      </c>
    </row>
    <row r="254" spans="1:4" x14ac:dyDescent="0.35">
      <c r="A254" t="s">
        <v>299</v>
      </c>
      <c r="B254">
        <v>25052</v>
      </c>
      <c r="C254">
        <f t="shared" si="11"/>
        <v>1521.5</v>
      </c>
      <c r="D254">
        <f t="shared" si="10"/>
        <v>26573.5</v>
      </c>
    </row>
    <row r="255" spans="1:4" x14ac:dyDescent="0.35">
      <c r="A255" t="s">
        <v>300</v>
      </c>
      <c r="B255">
        <v>25100</v>
      </c>
      <c r="C255">
        <f t="shared" si="11"/>
        <v>1346.7</v>
      </c>
      <c r="D255">
        <f t="shared" si="10"/>
        <v>26446.7</v>
      </c>
    </row>
    <row r="256" spans="1:4" x14ac:dyDescent="0.35">
      <c r="A256" t="s">
        <v>301</v>
      </c>
      <c r="B256">
        <v>17120</v>
      </c>
      <c r="C256">
        <f t="shared" si="11"/>
        <v>2509</v>
      </c>
      <c r="D256">
        <f t="shared" si="10"/>
        <v>19629</v>
      </c>
    </row>
    <row r="257" spans="1:4" x14ac:dyDescent="0.35">
      <c r="A257" t="s">
        <v>302</v>
      </c>
      <c r="B257">
        <v>21227</v>
      </c>
      <c r="C257">
        <f t="shared" si="11"/>
        <v>2149.5</v>
      </c>
      <c r="D257">
        <f t="shared" si="10"/>
        <v>23376.5</v>
      </c>
    </row>
    <row r="258" spans="1:4" x14ac:dyDescent="0.35">
      <c r="A258" t="s">
        <v>303</v>
      </c>
      <c r="B258">
        <v>20351</v>
      </c>
      <c r="C258">
        <f t="shared" si="11"/>
        <v>2006.7</v>
      </c>
      <c r="D258">
        <f t="shared" si="10"/>
        <v>22357.7</v>
      </c>
    </row>
    <row r="259" spans="1:4" x14ac:dyDescent="0.35">
      <c r="A259" t="s">
        <v>304</v>
      </c>
      <c r="B259">
        <v>26194</v>
      </c>
      <c r="C259">
        <f t="shared" si="11"/>
        <v>1394.1</v>
      </c>
      <c r="D259">
        <f t="shared" ref="D259:D322" si="12">B259+C259</f>
        <v>27588.1</v>
      </c>
    </row>
    <row r="260" spans="1:4" x14ac:dyDescent="0.35">
      <c r="A260" t="s">
        <v>305</v>
      </c>
      <c r="B260">
        <v>26230</v>
      </c>
      <c r="C260">
        <f t="shared" si="11"/>
        <v>2485.8000000000002</v>
      </c>
      <c r="D260">
        <f t="shared" si="12"/>
        <v>28715.8</v>
      </c>
    </row>
    <row r="261" spans="1:4" x14ac:dyDescent="0.35">
      <c r="A261" t="s">
        <v>306</v>
      </c>
      <c r="B261">
        <v>15628</v>
      </c>
      <c r="C261">
        <f t="shared" si="11"/>
        <v>2533.1</v>
      </c>
      <c r="D261">
        <f t="shared" si="12"/>
        <v>18161.099999999999</v>
      </c>
    </row>
    <row r="262" spans="1:4" x14ac:dyDescent="0.35">
      <c r="A262" t="s">
        <v>307</v>
      </c>
      <c r="B262">
        <v>19543</v>
      </c>
      <c r="C262">
        <f t="shared" si="11"/>
        <v>1552</v>
      </c>
      <c r="D262">
        <f t="shared" si="12"/>
        <v>21095</v>
      </c>
    </row>
    <row r="263" spans="1:4" x14ac:dyDescent="0.35">
      <c r="A263" t="s">
        <v>308</v>
      </c>
      <c r="B263">
        <v>15118</v>
      </c>
      <c r="C263">
        <f t="shared" si="11"/>
        <v>2422.9</v>
      </c>
      <c r="D263">
        <f t="shared" si="12"/>
        <v>17540.900000000001</v>
      </c>
    </row>
    <row r="264" spans="1:4" x14ac:dyDescent="0.35">
      <c r="A264" t="s">
        <v>309</v>
      </c>
      <c r="B264">
        <v>19479</v>
      </c>
      <c r="C264">
        <f t="shared" si="11"/>
        <v>1891.7</v>
      </c>
      <c r="D264">
        <f t="shared" si="12"/>
        <v>21370.7</v>
      </c>
    </row>
    <row r="265" spans="1:4" x14ac:dyDescent="0.35">
      <c r="A265" t="s">
        <v>310</v>
      </c>
      <c r="B265">
        <v>17049</v>
      </c>
      <c r="C265">
        <f t="shared" si="11"/>
        <v>1543.4</v>
      </c>
      <c r="D265">
        <f t="shared" si="12"/>
        <v>18592.400000000001</v>
      </c>
    </row>
    <row r="266" spans="1:4" x14ac:dyDescent="0.35">
      <c r="A266" t="s">
        <v>311</v>
      </c>
      <c r="B266">
        <v>13307</v>
      </c>
      <c r="C266">
        <f t="shared" si="11"/>
        <v>2563.6</v>
      </c>
      <c r="D266">
        <f t="shared" si="12"/>
        <v>15870.6</v>
      </c>
    </row>
    <row r="267" spans="1:4" x14ac:dyDescent="0.35">
      <c r="A267" t="s">
        <v>312</v>
      </c>
      <c r="B267">
        <v>18055</v>
      </c>
      <c r="C267">
        <f t="shared" si="11"/>
        <v>1595.5</v>
      </c>
      <c r="D267">
        <f t="shared" si="12"/>
        <v>19650.5</v>
      </c>
    </row>
    <row r="268" spans="1:4" x14ac:dyDescent="0.35">
      <c r="A268" t="s">
        <v>313</v>
      </c>
      <c r="B268">
        <v>19610</v>
      </c>
      <c r="C268">
        <f t="shared" si="11"/>
        <v>2346.1999999999998</v>
      </c>
      <c r="D268">
        <f t="shared" si="12"/>
        <v>21956.2</v>
      </c>
    </row>
    <row r="269" spans="1:4" x14ac:dyDescent="0.35">
      <c r="A269" t="s">
        <v>314</v>
      </c>
      <c r="B269">
        <v>16329</v>
      </c>
      <c r="C269">
        <f t="shared" si="11"/>
        <v>1707</v>
      </c>
      <c r="D269">
        <f t="shared" si="12"/>
        <v>18036</v>
      </c>
    </row>
    <row r="270" spans="1:4" x14ac:dyDescent="0.35">
      <c r="A270" t="s">
        <v>315</v>
      </c>
      <c r="B270">
        <v>16686</v>
      </c>
      <c r="C270">
        <f t="shared" si="11"/>
        <v>1955.6</v>
      </c>
      <c r="D270">
        <f t="shared" si="12"/>
        <v>18641.599999999999</v>
      </c>
    </row>
    <row r="271" spans="1:4" x14ac:dyDescent="0.35">
      <c r="A271" t="s">
        <v>316</v>
      </c>
      <c r="B271">
        <v>25879</v>
      </c>
      <c r="C271">
        <f t="shared" si="11"/>
        <v>1774.8</v>
      </c>
      <c r="D271">
        <f t="shared" si="12"/>
        <v>27653.8</v>
      </c>
    </row>
    <row r="272" spans="1:4" x14ac:dyDescent="0.35">
      <c r="A272" t="s">
        <v>317</v>
      </c>
      <c r="B272">
        <v>18216</v>
      </c>
      <c r="C272">
        <f t="shared" si="11"/>
        <v>1764.8</v>
      </c>
      <c r="D272">
        <f t="shared" si="12"/>
        <v>19980.8</v>
      </c>
    </row>
    <row r="273" spans="1:4" x14ac:dyDescent="0.35">
      <c r="A273" t="s">
        <v>318</v>
      </c>
      <c r="B273">
        <v>17270</v>
      </c>
      <c r="C273">
        <f t="shared" si="11"/>
        <v>1826.6</v>
      </c>
      <c r="D273">
        <f t="shared" si="12"/>
        <v>19096.599999999999</v>
      </c>
    </row>
    <row r="274" spans="1:4" x14ac:dyDescent="0.35">
      <c r="A274" t="s">
        <v>319</v>
      </c>
      <c r="B274">
        <v>15153</v>
      </c>
      <c r="C274">
        <f t="shared" si="11"/>
        <v>2422.6999999999998</v>
      </c>
      <c r="D274">
        <f t="shared" si="12"/>
        <v>17575.7</v>
      </c>
    </row>
    <row r="275" spans="1:4" x14ac:dyDescent="0.35">
      <c r="A275" t="s">
        <v>320</v>
      </c>
      <c r="B275">
        <v>17416</v>
      </c>
      <c r="C275">
        <f t="shared" si="11"/>
        <v>1626.3</v>
      </c>
      <c r="D275">
        <f t="shared" si="12"/>
        <v>19042.3</v>
      </c>
    </row>
    <row r="276" spans="1:4" x14ac:dyDescent="0.35">
      <c r="A276" t="s">
        <v>321</v>
      </c>
      <c r="B276">
        <v>14329</v>
      </c>
      <c r="C276">
        <f t="shared" si="11"/>
        <v>1875.9</v>
      </c>
      <c r="D276">
        <f t="shared" si="12"/>
        <v>16204.9</v>
      </c>
    </row>
    <row r="277" spans="1:4" x14ac:dyDescent="0.35">
      <c r="A277" t="s">
        <v>322</v>
      </c>
      <c r="B277">
        <v>25900</v>
      </c>
      <c r="C277">
        <f t="shared" si="11"/>
        <v>2101.1999999999998</v>
      </c>
      <c r="D277">
        <f t="shared" si="12"/>
        <v>28001.200000000001</v>
      </c>
    </row>
    <row r="278" spans="1:4" x14ac:dyDescent="0.35">
      <c r="A278" t="s">
        <v>323</v>
      </c>
      <c r="B278">
        <v>25164</v>
      </c>
      <c r="C278">
        <f t="shared" si="11"/>
        <v>2158.9</v>
      </c>
      <c r="D278">
        <f t="shared" si="12"/>
        <v>27322.9</v>
      </c>
    </row>
    <row r="279" spans="1:4" x14ac:dyDescent="0.35">
      <c r="A279" t="s">
        <v>324</v>
      </c>
      <c r="B279">
        <v>20177</v>
      </c>
      <c r="C279">
        <f t="shared" si="11"/>
        <v>1446.4</v>
      </c>
      <c r="D279">
        <f t="shared" si="12"/>
        <v>21623.4</v>
      </c>
    </row>
    <row r="280" spans="1:4" x14ac:dyDescent="0.35">
      <c r="A280" t="s">
        <v>325</v>
      </c>
      <c r="B280">
        <v>27432</v>
      </c>
      <c r="C280">
        <f t="shared" si="11"/>
        <v>1546.7</v>
      </c>
      <c r="D280">
        <f t="shared" si="12"/>
        <v>28978.7</v>
      </c>
    </row>
    <row r="281" spans="1:4" x14ac:dyDescent="0.35">
      <c r="A281" t="s">
        <v>326</v>
      </c>
      <c r="B281">
        <v>19053</v>
      </c>
      <c r="C281">
        <f t="shared" si="11"/>
        <v>2728.9</v>
      </c>
      <c r="D281">
        <f t="shared" si="12"/>
        <v>21781.9</v>
      </c>
    </row>
    <row r="282" spans="1:4" x14ac:dyDescent="0.35">
      <c r="A282" t="s">
        <v>327</v>
      </c>
      <c r="B282">
        <v>24931</v>
      </c>
      <c r="C282">
        <f t="shared" si="11"/>
        <v>1959.8</v>
      </c>
      <c r="D282">
        <f t="shared" si="12"/>
        <v>26890.799999999999</v>
      </c>
    </row>
    <row r="283" spans="1:4" x14ac:dyDescent="0.35">
      <c r="A283" t="s">
        <v>328</v>
      </c>
      <c r="B283">
        <v>17191</v>
      </c>
      <c r="C283">
        <f t="shared" si="11"/>
        <v>2006.6</v>
      </c>
      <c r="D283">
        <f t="shared" si="12"/>
        <v>19197.599999999999</v>
      </c>
    </row>
    <row r="284" spans="1:4" x14ac:dyDescent="0.35">
      <c r="A284" t="s">
        <v>329</v>
      </c>
      <c r="B284">
        <v>14411</v>
      </c>
      <c r="C284">
        <f t="shared" si="11"/>
        <v>1766.7</v>
      </c>
      <c r="D284">
        <f t="shared" si="12"/>
        <v>16177.7</v>
      </c>
    </row>
    <row r="285" spans="1:4" x14ac:dyDescent="0.35">
      <c r="A285" t="s">
        <v>330</v>
      </c>
      <c r="B285">
        <v>19606</v>
      </c>
      <c r="C285">
        <f t="shared" si="11"/>
        <v>1793.6</v>
      </c>
      <c r="D285">
        <f t="shared" si="12"/>
        <v>21399.599999999999</v>
      </c>
    </row>
    <row r="286" spans="1:4" x14ac:dyDescent="0.35">
      <c r="A286" t="s">
        <v>331</v>
      </c>
      <c r="B286">
        <v>20452</v>
      </c>
      <c r="C286">
        <f t="shared" si="11"/>
        <v>1509.9</v>
      </c>
      <c r="D286">
        <f t="shared" si="12"/>
        <v>21961.9</v>
      </c>
    </row>
    <row r="287" spans="1:4" x14ac:dyDescent="0.35">
      <c r="A287" t="s">
        <v>332</v>
      </c>
      <c r="B287">
        <v>14643</v>
      </c>
      <c r="C287">
        <f t="shared" si="11"/>
        <v>2146.6999999999998</v>
      </c>
      <c r="D287">
        <f t="shared" si="12"/>
        <v>16789.7</v>
      </c>
    </row>
    <row r="288" spans="1:4" x14ac:dyDescent="0.35">
      <c r="A288" t="s">
        <v>333</v>
      </c>
      <c r="B288">
        <v>18261</v>
      </c>
      <c r="C288">
        <f t="shared" si="11"/>
        <v>2003.2</v>
      </c>
      <c r="D288">
        <f t="shared" si="12"/>
        <v>20264.2</v>
      </c>
    </row>
    <row r="289" spans="1:4" x14ac:dyDescent="0.35">
      <c r="A289" t="s">
        <v>334</v>
      </c>
      <c r="B289">
        <v>27455</v>
      </c>
      <c r="C289">
        <f t="shared" si="11"/>
        <v>2032</v>
      </c>
      <c r="D289">
        <f t="shared" si="12"/>
        <v>29487</v>
      </c>
    </row>
    <row r="290" spans="1:4" x14ac:dyDescent="0.35">
      <c r="A290" t="s">
        <v>335</v>
      </c>
      <c r="B290">
        <v>16374</v>
      </c>
      <c r="C290">
        <f t="shared" si="11"/>
        <v>1630.4</v>
      </c>
      <c r="D290">
        <f t="shared" si="12"/>
        <v>18004.400000000001</v>
      </c>
    </row>
    <row r="291" spans="1:4" x14ac:dyDescent="0.35">
      <c r="A291" t="s">
        <v>336</v>
      </c>
      <c r="B291">
        <v>26285</v>
      </c>
      <c r="C291">
        <f t="shared" si="11"/>
        <v>2582.4</v>
      </c>
      <c r="D291">
        <f t="shared" si="12"/>
        <v>28867.4</v>
      </c>
    </row>
    <row r="292" spans="1:4" x14ac:dyDescent="0.35">
      <c r="A292" t="s">
        <v>337</v>
      </c>
      <c r="B292">
        <v>14188</v>
      </c>
      <c r="C292">
        <f t="shared" si="11"/>
        <v>1818.3</v>
      </c>
      <c r="D292">
        <f t="shared" si="12"/>
        <v>16006.3</v>
      </c>
    </row>
    <row r="293" spans="1:4" x14ac:dyDescent="0.35">
      <c r="A293" t="s">
        <v>338</v>
      </c>
      <c r="B293">
        <v>26248</v>
      </c>
      <c r="C293">
        <f t="shared" si="11"/>
        <v>1916.3</v>
      </c>
      <c r="D293">
        <f t="shared" si="12"/>
        <v>28164.3</v>
      </c>
    </row>
    <row r="294" spans="1:4" x14ac:dyDescent="0.35">
      <c r="A294" t="s">
        <v>339</v>
      </c>
      <c r="B294">
        <v>26331</v>
      </c>
      <c r="C294">
        <f t="shared" si="11"/>
        <v>1342.3</v>
      </c>
      <c r="D294">
        <f t="shared" si="12"/>
        <v>27673.3</v>
      </c>
    </row>
    <row r="295" spans="1:4" x14ac:dyDescent="0.35">
      <c r="A295" t="s">
        <v>340</v>
      </c>
      <c r="B295">
        <v>19806</v>
      </c>
      <c r="C295">
        <f t="shared" ref="C295:C358" si="13">B181*10/100</f>
        <v>2550.1999999999998</v>
      </c>
      <c r="D295">
        <f t="shared" si="12"/>
        <v>22356.2</v>
      </c>
    </row>
    <row r="296" spans="1:4" x14ac:dyDescent="0.35">
      <c r="A296" t="s">
        <v>341</v>
      </c>
      <c r="B296">
        <v>26314</v>
      </c>
      <c r="C296">
        <f t="shared" si="13"/>
        <v>1516</v>
      </c>
      <c r="D296">
        <f t="shared" si="12"/>
        <v>27830</v>
      </c>
    </row>
    <row r="297" spans="1:4" x14ac:dyDescent="0.35">
      <c r="A297" t="s">
        <v>342</v>
      </c>
      <c r="B297">
        <v>16641</v>
      </c>
      <c r="C297">
        <f t="shared" si="13"/>
        <v>1546.3</v>
      </c>
      <c r="D297">
        <f t="shared" si="12"/>
        <v>18187.3</v>
      </c>
    </row>
    <row r="298" spans="1:4" x14ac:dyDescent="0.35">
      <c r="A298" t="s">
        <v>343</v>
      </c>
      <c r="B298">
        <v>20401</v>
      </c>
      <c r="C298">
        <f t="shared" si="13"/>
        <v>1918.6</v>
      </c>
      <c r="D298">
        <f t="shared" si="12"/>
        <v>22319.599999999999</v>
      </c>
    </row>
    <row r="299" spans="1:4" x14ac:dyDescent="0.35">
      <c r="A299" t="s">
        <v>344</v>
      </c>
      <c r="B299">
        <v>16771</v>
      </c>
      <c r="C299">
        <f t="shared" si="13"/>
        <v>1658.7</v>
      </c>
      <c r="D299">
        <f t="shared" si="12"/>
        <v>18429.7</v>
      </c>
    </row>
    <row r="300" spans="1:4" x14ac:dyDescent="0.35">
      <c r="A300" t="s">
        <v>345</v>
      </c>
      <c r="B300">
        <v>21180</v>
      </c>
      <c r="C300">
        <f t="shared" si="13"/>
        <v>2475</v>
      </c>
      <c r="D300">
        <f t="shared" si="12"/>
        <v>23655</v>
      </c>
    </row>
    <row r="301" spans="1:4" x14ac:dyDescent="0.35">
      <c r="A301" t="s">
        <v>346</v>
      </c>
      <c r="B301">
        <v>26077</v>
      </c>
      <c r="C301">
        <f t="shared" si="13"/>
        <v>1557.3</v>
      </c>
      <c r="D301">
        <f t="shared" si="12"/>
        <v>27634.3</v>
      </c>
    </row>
    <row r="302" spans="1:4" x14ac:dyDescent="0.35">
      <c r="A302" t="s">
        <v>347</v>
      </c>
      <c r="B302">
        <v>25113</v>
      </c>
      <c r="C302">
        <f t="shared" si="13"/>
        <v>1443.2</v>
      </c>
      <c r="D302">
        <f t="shared" si="12"/>
        <v>26556.2</v>
      </c>
    </row>
    <row r="303" spans="1:4" x14ac:dyDescent="0.35">
      <c r="A303" t="s">
        <v>348</v>
      </c>
      <c r="B303">
        <v>16548</v>
      </c>
      <c r="C303">
        <f t="shared" si="13"/>
        <v>1548.7</v>
      </c>
      <c r="D303">
        <f t="shared" si="12"/>
        <v>18096.7</v>
      </c>
    </row>
    <row r="304" spans="1:4" x14ac:dyDescent="0.35">
      <c r="A304" t="s">
        <v>349</v>
      </c>
      <c r="B304">
        <v>24956</v>
      </c>
      <c r="C304">
        <f t="shared" si="13"/>
        <v>1452.4</v>
      </c>
      <c r="D304">
        <f t="shared" si="12"/>
        <v>26408.400000000001</v>
      </c>
    </row>
    <row r="305" spans="1:4" x14ac:dyDescent="0.35">
      <c r="A305" t="s">
        <v>350</v>
      </c>
      <c r="B305">
        <v>23382</v>
      </c>
      <c r="C305">
        <f t="shared" si="13"/>
        <v>1418.4</v>
      </c>
      <c r="D305">
        <f t="shared" si="12"/>
        <v>24800.400000000001</v>
      </c>
    </row>
    <row r="306" spans="1:4" x14ac:dyDescent="0.35">
      <c r="A306" t="s">
        <v>351</v>
      </c>
      <c r="B306">
        <v>25232</v>
      </c>
      <c r="C306">
        <f t="shared" si="13"/>
        <v>2487.3000000000002</v>
      </c>
      <c r="D306">
        <f t="shared" si="12"/>
        <v>27719.3</v>
      </c>
    </row>
    <row r="307" spans="1:4" x14ac:dyDescent="0.35">
      <c r="A307" t="s">
        <v>352</v>
      </c>
      <c r="B307">
        <v>24477</v>
      </c>
      <c r="C307">
        <f t="shared" si="13"/>
        <v>1981.7</v>
      </c>
      <c r="D307">
        <f t="shared" si="12"/>
        <v>26458.7</v>
      </c>
    </row>
    <row r="308" spans="1:4" x14ac:dyDescent="0.35">
      <c r="A308" t="s">
        <v>353</v>
      </c>
      <c r="B308">
        <v>13363</v>
      </c>
      <c r="C308">
        <f t="shared" si="13"/>
        <v>1409.7</v>
      </c>
      <c r="D308">
        <f t="shared" si="12"/>
        <v>14772.7</v>
      </c>
    </row>
    <row r="309" spans="1:4" x14ac:dyDescent="0.35">
      <c r="A309" t="s">
        <v>354</v>
      </c>
      <c r="B309">
        <v>13988</v>
      </c>
      <c r="C309">
        <f t="shared" si="13"/>
        <v>2159.3000000000002</v>
      </c>
      <c r="D309">
        <f t="shared" si="12"/>
        <v>16147.3</v>
      </c>
    </row>
    <row r="310" spans="1:4" x14ac:dyDescent="0.35">
      <c r="A310" t="s">
        <v>355</v>
      </c>
      <c r="B310">
        <v>15690</v>
      </c>
      <c r="C310">
        <f t="shared" si="13"/>
        <v>1482.8</v>
      </c>
      <c r="D310">
        <f t="shared" si="12"/>
        <v>17172.8</v>
      </c>
    </row>
    <row r="311" spans="1:4" x14ac:dyDescent="0.35">
      <c r="A311" t="s">
        <v>356</v>
      </c>
      <c r="B311">
        <v>17135</v>
      </c>
      <c r="C311">
        <f t="shared" si="13"/>
        <v>2631.3</v>
      </c>
      <c r="D311">
        <f t="shared" si="12"/>
        <v>19766.3</v>
      </c>
    </row>
    <row r="312" spans="1:4" x14ac:dyDescent="0.35">
      <c r="A312" t="s">
        <v>357</v>
      </c>
      <c r="B312">
        <v>25525</v>
      </c>
      <c r="C312">
        <f t="shared" si="13"/>
        <v>1448.9</v>
      </c>
      <c r="D312">
        <f t="shared" si="12"/>
        <v>26973.9</v>
      </c>
    </row>
    <row r="313" spans="1:4" x14ac:dyDescent="0.35">
      <c r="A313" t="s">
        <v>358</v>
      </c>
      <c r="B313">
        <v>17853</v>
      </c>
      <c r="C313">
        <f t="shared" si="13"/>
        <v>2067</v>
      </c>
      <c r="D313">
        <f t="shared" si="12"/>
        <v>19920</v>
      </c>
    </row>
    <row r="314" spans="1:4" x14ac:dyDescent="0.35">
      <c r="A314" t="s">
        <v>359</v>
      </c>
      <c r="B314">
        <v>27418</v>
      </c>
      <c r="C314">
        <f t="shared" si="13"/>
        <v>1394</v>
      </c>
      <c r="D314">
        <f t="shared" si="12"/>
        <v>28812</v>
      </c>
    </row>
    <row r="315" spans="1:4" x14ac:dyDescent="0.35">
      <c r="A315" t="s">
        <v>360</v>
      </c>
      <c r="B315">
        <v>25374</v>
      </c>
      <c r="C315">
        <f t="shared" si="13"/>
        <v>1498.1</v>
      </c>
      <c r="D315">
        <f t="shared" si="12"/>
        <v>26872.1</v>
      </c>
    </row>
    <row r="316" spans="1:4" x14ac:dyDescent="0.35">
      <c r="A316" t="s">
        <v>361</v>
      </c>
      <c r="B316">
        <v>24991</v>
      </c>
      <c r="C316">
        <f t="shared" si="13"/>
        <v>1556.9</v>
      </c>
      <c r="D316">
        <f t="shared" si="12"/>
        <v>26547.9</v>
      </c>
    </row>
    <row r="317" spans="1:4" x14ac:dyDescent="0.35">
      <c r="A317" t="s">
        <v>362</v>
      </c>
      <c r="B317">
        <v>14412</v>
      </c>
      <c r="C317">
        <f t="shared" si="13"/>
        <v>1436.3</v>
      </c>
      <c r="D317">
        <f t="shared" si="12"/>
        <v>15848.3</v>
      </c>
    </row>
    <row r="318" spans="1:4" x14ac:dyDescent="0.35">
      <c r="A318" t="s">
        <v>363</v>
      </c>
      <c r="B318">
        <v>15724</v>
      </c>
      <c r="C318">
        <f t="shared" si="13"/>
        <v>1515.2</v>
      </c>
      <c r="D318">
        <f t="shared" si="12"/>
        <v>17239.2</v>
      </c>
    </row>
    <row r="319" spans="1:4" x14ac:dyDescent="0.35">
      <c r="A319" t="s">
        <v>364</v>
      </c>
      <c r="B319">
        <v>21417</v>
      </c>
      <c r="C319">
        <f t="shared" si="13"/>
        <v>1710.8</v>
      </c>
      <c r="D319">
        <f t="shared" si="12"/>
        <v>23127.8</v>
      </c>
    </row>
    <row r="320" spans="1:4" x14ac:dyDescent="0.35">
      <c r="A320" t="s">
        <v>365</v>
      </c>
      <c r="B320">
        <v>20268</v>
      </c>
      <c r="C320">
        <f t="shared" si="13"/>
        <v>1593.3</v>
      </c>
      <c r="D320">
        <f t="shared" si="12"/>
        <v>21861.3</v>
      </c>
    </row>
    <row r="321" spans="1:4" x14ac:dyDescent="0.35">
      <c r="A321" t="s">
        <v>366</v>
      </c>
      <c r="B321">
        <v>13533</v>
      </c>
      <c r="C321">
        <f t="shared" si="13"/>
        <v>1367.3</v>
      </c>
      <c r="D321">
        <f t="shared" si="12"/>
        <v>14900.3</v>
      </c>
    </row>
    <row r="322" spans="1:4" x14ac:dyDescent="0.35">
      <c r="A322" t="s">
        <v>367</v>
      </c>
      <c r="B322">
        <v>17885</v>
      </c>
      <c r="C322">
        <f t="shared" si="13"/>
        <v>1556.9</v>
      </c>
      <c r="D322">
        <f t="shared" si="12"/>
        <v>19441.900000000001</v>
      </c>
    </row>
    <row r="323" spans="1:4" x14ac:dyDescent="0.35">
      <c r="A323" t="s">
        <v>368</v>
      </c>
      <c r="B323">
        <v>17793</v>
      </c>
      <c r="C323">
        <f t="shared" si="13"/>
        <v>1995.1</v>
      </c>
      <c r="D323">
        <f t="shared" ref="D323:D386" si="14">B323+C323</f>
        <v>19788.099999999999</v>
      </c>
    </row>
    <row r="324" spans="1:4" x14ac:dyDescent="0.35">
      <c r="A324" t="s">
        <v>369</v>
      </c>
      <c r="B324">
        <v>12998</v>
      </c>
      <c r="C324">
        <f t="shared" si="13"/>
        <v>2679.5</v>
      </c>
      <c r="D324">
        <f t="shared" si="14"/>
        <v>15677.5</v>
      </c>
    </row>
    <row r="325" spans="1:4" x14ac:dyDescent="0.35">
      <c r="A325" t="s">
        <v>370</v>
      </c>
      <c r="B325">
        <v>15450</v>
      </c>
      <c r="C325">
        <f t="shared" si="13"/>
        <v>2009.2</v>
      </c>
      <c r="D325">
        <f t="shared" si="14"/>
        <v>17459.2</v>
      </c>
    </row>
    <row r="326" spans="1:4" x14ac:dyDescent="0.35">
      <c r="A326" t="s">
        <v>371</v>
      </c>
      <c r="B326">
        <v>16637</v>
      </c>
      <c r="C326">
        <f t="shared" si="13"/>
        <v>2574.9</v>
      </c>
      <c r="D326">
        <f t="shared" si="14"/>
        <v>19211.900000000001</v>
      </c>
    </row>
    <row r="327" spans="1:4" x14ac:dyDescent="0.35">
      <c r="A327" t="s">
        <v>372</v>
      </c>
      <c r="B327">
        <v>19739</v>
      </c>
      <c r="C327">
        <f t="shared" si="13"/>
        <v>2677.9</v>
      </c>
      <c r="D327">
        <f t="shared" si="14"/>
        <v>22416.9</v>
      </c>
    </row>
    <row r="328" spans="1:4" x14ac:dyDescent="0.35">
      <c r="A328" t="s">
        <v>373</v>
      </c>
      <c r="B328">
        <v>17300</v>
      </c>
      <c r="C328">
        <f t="shared" si="13"/>
        <v>2540.1999999999998</v>
      </c>
      <c r="D328">
        <f t="shared" si="14"/>
        <v>19840.2</v>
      </c>
    </row>
    <row r="329" spans="1:4" x14ac:dyDescent="0.35">
      <c r="A329" t="s">
        <v>374</v>
      </c>
      <c r="B329">
        <v>19756</v>
      </c>
      <c r="C329">
        <f t="shared" si="13"/>
        <v>1977.7</v>
      </c>
      <c r="D329">
        <f t="shared" si="14"/>
        <v>21733.7</v>
      </c>
    </row>
    <row r="330" spans="1:4" x14ac:dyDescent="0.35">
      <c r="A330" t="s">
        <v>375</v>
      </c>
      <c r="B330">
        <v>14053</v>
      </c>
      <c r="C330">
        <f t="shared" si="13"/>
        <v>1480.7</v>
      </c>
      <c r="D330">
        <f t="shared" si="14"/>
        <v>15533.7</v>
      </c>
    </row>
    <row r="331" spans="1:4" x14ac:dyDescent="0.35">
      <c r="A331" t="s">
        <v>376</v>
      </c>
      <c r="B331">
        <v>20324</v>
      </c>
      <c r="C331">
        <f t="shared" si="13"/>
        <v>1588.6</v>
      </c>
      <c r="D331">
        <f t="shared" si="14"/>
        <v>21912.6</v>
      </c>
    </row>
    <row r="332" spans="1:4" x14ac:dyDescent="0.35">
      <c r="A332" t="s">
        <v>377</v>
      </c>
      <c r="B332">
        <v>15873</v>
      </c>
      <c r="C332">
        <f t="shared" si="13"/>
        <v>2426.1999999999998</v>
      </c>
      <c r="D332">
        <f t="shared" si="14"/>
        <v>18299.2</v>
      </c>
    </row>
    <row r="333" spans="1:4" x14ac:dyDescent="0.35">
      <c r="A333" t="s">
        <v>378</v>
      </c>
      <c r="B333">
        <v>14836</v>
      </c>
      <c r="C333">
        <f t="shared" si="13"/>
        <v>2453.8000000000002</v>
      </c>
      <c r="D333">
        <f t="shared" si="14"/>
        <v>17289.8</v>
      </c>
    </row>
    <row r="334" spans="1:4" x14ac:dyDescent="0.35">
      <c r="A334" t="s">
        <v>379</v>
      </c>
      <c r="B334">
        <v>21367</v>
      </c>
      <c r="C334">
        <f t="shared" si="13"/>
        <v>2566.6</v>
      </c>
      <c r="D334">
        <f t="shared" si="14"/>
        <v>23933.599999999999</v>
      </c>
    </row>
    <row r="335" spans="1:4" x14ac:dyDescent="0.35">
      <c r="A335" t="s">
        <v>380</v>
      </c>
      <c r="B335">
        <v>15569</v>
      </c>
      <c r="C335">
        <f t="shared" si="13"/>
        <v>1847</v>
      </c>
      <c r="D335">
        <f t="shared" si="14"/>
        <v>17416</v>
      </c>
    </row>
    <row r="336" spans="1:4" x14ac:dyDescent="0.35">
      <c r="A336" t="s">
        <v>381</v>
      </c>
      <c r="B336">
        <v>18161</v>
      </c>
      <c r="C336">
        <f t="shared" si="13"/>
        <v>1676.8</v>
      </c>
      <c r="D336">
        <f t="shared" si="14"/>
        <v>19837.8</v>
      </c>
    </row>
    <row r="337" spans="1:4" x14ac:dyDescent="0.35">
      <c r="A337" t="s">
        <v>382</v>
      </c>
      <c r="B337">
        <v>17895</v>
      </c>
      <c r="C337">
        <f t="shared" si="13"/>
        <v>1267.3</v>
      </c>
      <c r="D337">
        <f t="shared" si="14"/>
        <v>19162.3</v>
      </c>
    </row>
    <row r="338" spans="1:4" x14ac:dyDescent="0.35">
      <c r="A338" t="s">
        <v>383</v>
      </c>
      <c r="B338">
        <v>20074</v>
      </c>
      <c r="C338">
        <f t="shared" si="13"/>
        <v>1859.1</v>
      </c>
      <c r="D338">
        <f t="shared" si="14"/>
        <v>21933.1</v>
      </c>
    </row>
    <row r="339" spans="1:4" x14ac:dyDescent="0.35">
      <c r="A339" t="s">
        <v>384</v>
      </c>
      <c r="B339">
        <v>18187</v>
      </c>
      <c r="C339">
        <f t="shared" si="13"/>
        <v>1678.5</v>
      </c>
      <c r="D339">
        <f t="shared" si="14"/>
        <v>19865.5</v>
      </c>
    </row>
    <row r="340" spans="1:4" x14ac:dyDescent="0.35">
      <c r="A340" t="s">
        <v>385</v>
      </c>
      <c r="B340">
        <v>13362</v>
      </c>
      <c r="C340">
        <f t="shared" si="13"/>
        <v>2477.3000000000002</v>
      </c>
      <c r="D340">
        <f t="shared" si="14"/>
        <v>15839.3</v>
      </c>
    </row>
    <row r="341" spans="1:4" x14ac:dyDescent="0.35">
      <c r="A341" t="s">
        <v>386</v>
      </c>
      <c r="B341">
        <v>26187</v>
      </c>
      <c r="C341">
        <f t="shared" si="13"/>
        <v>2447.6</v>
      </c>
      <c r="D341">
        <f t="shared" si="14"/>
        <v>28634.6</v>
      </c>
    </row>
    <row r="342" spans="1:4" x14ac:dyDescent="0.35">
      <c r="A342" t="s">
        <v>387</v>
      </c>
      <c r="B342">
        <v>18583</v>
      </c>
      <c r="C342">
        <f t="shared" si="13"/>
        <v>1520.2</v>
      </c>
      <c r="D342">
        <f t="shared" si="14"/>
        <v>20103.2</v>
      </c>
    </row>
    <row r="343" spans="1:4" x14ac:dyDescent="0.35">
      <c r="A343" t="s">
        <v>388</v>
      </c>
      <c r="B343">
        <v>24355</v>
      </c>
      <c r="C343">
        <f t="shared" si="13"/>
        <v>1456.4</v>
      </c>
      <c r="D343">
        <f t="shared" si="14"/>
        <v>25811.4</v>
      </c>
    </row>
    <row r="344" spans="1:4" x14ac:dyDescent="0.35">
      <c r="A344" t="s">
        <v>389</v>
      </c>
      <c r="B344">
        <v>17887</v>
      </c>
      <c r="C344">
        <f t="shared" si="13"/>
        <v>2537.9</v>
      </c>
      <c r="D344">
        <f t="shared" si="14"/>
        <v>20424.900000000001</v>
      </c>
    </row>
    <row r="345" spans="1:4" x14ac:dyDescent="0.35">
      <c r="A345" t="s">
        <v>390</v>
      </c>
      <c r="B345">
        <v>13621</v>
      </c>
      <c r="C345">
        <f t="shared" si="13"/>
        <v>1672.7</v>
      </c>
      <c r="D345">
        <f t="shared" si="14"/>
        <v>15293.7</v>
      </c>
    </row>
    <row r="346" spans="1:4" x14ac:dyDescent="0.35">
      <c r="A346" t="s">
        <v>391</v>
      </c>
      <c r="B346">
        <v>20679</v>
      </c>
      <c r="C346">
        <f t="shared" si="13"/>
        <v>2432.4</v>
      </c>
      <c r="D346">
        <f t="shared" si="14"/>
        <v>23111.4</v>
      </c>
    </row>
    <row r="347" spans="1:4" x14ac:dyDescent="0.35">
      <c r="A347" t="s">
        <v>392</v>
      </c>
      <c r="B347">
        <v>25716</v>
      </c>
      <c r="C347">
        <f t="shared" si="13"/>
        <v>1280.2</v>
      </c>
      <c r="D347">
        <f t="shared" si="14"/>
        <v>26996.2</v>
      </c>
    </row>
    <row r="348" spans="1:4" x14ac:dyDescent="0.35">
      <c r="A348" t="s">
        <v>393</v>
      </c>
      <c r="B348">
        <v>21300</v>
      </c>
      <c r="C348">
        <f t="shared" si="13"/>
        <v>2709.5</v>
      </c>
      <c r="D348">
        <f t="shared" si="14"/>
        <v>24009.5</v>
      </c>
    </row>
    <row r="349" spans="1:4" x14ac:dyDescent="0.35">
      <c r="A349" t="s">
        <v>394</v>
      </c>
      <c r="B349">
        <v>19252</v>
      </c>
      <c r="C349">
        <f t="shared" si="13"/>
        <v>1386.6</v>
      </c>
      <c r="D349">
        <f t="shared" si="14"/>
        <v>20638.599999999999</v>
      </c>
    </row>
    <row r="350" spans="1:4" x14ac:dyDescent="0.35">
      <c r="A350" t="s">
        <v>395</v>
      </c>
      <c r="B350">
        <v>19708</v>
      </c>
      <c r="C350">
        <f t="shared" si="13"/>
        <v>1272.5999999999999</v>
      </c>
      <c r="D350">
        <f t="shared" si="14"/>
        <v>20980.6</v>
      </c>
    </row>
    <row r="351" spans="1:4" x14ac:dyDescent="0.35">
      <c r="A351" t="s">
        <v>396</v>
      </c>
      <c r="B351">
        <v>17539</v>
      </c>
      <c r="C351">
        <f t="shared" si="13"/>
        <v>1497.2</v>
      </c>
      <c r="D351">
        <f t="shared" si="14"/>
        <v>19036.2</v>
      </c>
    </row>
    <row r="352" spans="1:4" x14ac:dyDescent="0.35">
      <c r="A352" t="s">
        <v>397</v>
      </c>
      <c r="B352">
        <v>20311</v>
      </c>
      <c r="C352">
        <f t="shared" si="13"/>
        <v>1703</v>
      </c>
      <c r="D352">
        <f t="shared" si="14"/>
        <v>22014</v>
      </c>
    </row>
    <row r="353" spans="1:4" x14ac:dyDescent="0.35">
      <c r="A353" t="s">
        <v>398</v>
      </c>
      <c r="B353">
        <v>25416</v>
      </c>
      <c r="C353">
        <f t="shared" si="13"/>
        <v>1662.1</v>
      </c>
      <c r="D353">
        <f t="shared" si="14"/>
        <v>27078.1</v>
      </c>
    </row>
    <row r="354" spans="1:4" x14ac:dyDescent="0.35">
      <c r="A354" t="s">
        <v>399</v>
      </c>
      <c r="B354">
        <v>19861</v>
      </c>
      <c r="C354">
        <f t="shared" si="13"/>
        <v>1263.9000000000001</v>
      </c>
      <c r="D354">
        <f t="shared" si="14"/>
        <v>21124.9</v>
      </c>
    </row>
    <row r="355" spans="1:4" x14ac:dyDescent="0.35">
      <c r="A355" t="s">
        <v>400</v>
      </c>
      <c r="B355">
        <v>26718</v>
      </c>
      <c r="C355">
        <f t="shared" si="13"/>
        <v>2542.4</v>
      </c>
      <c r="D355">
        <f t="shared" si="14"/>
        <v>29260.400000000001</v>
      </c>
    </row>
    <row r="356" spans="1:4" x14ac:dyDescent="0.35">
      <c r="A356" t="s">
        <v>401</v>
      </c>
      <c r="B356">
        <v>25601</v>
      </c>
      <c r="C356">
        <f t="shared" si="13"/>
        <v>1531.4</v>
      </c>
      <c r="D356">
        <f t="shared" si="14"/>
        <v>27132.400000000001</v>
      </c>
    </row>
    <row r="357" spans="1:4" x14ac:dyDescent="0.35">
      <c r="A357" t="s">
        <v>402</v>
      </c>
      <c r="B357">
        <v>12629</v>
      </c>
      <c r="C357">
        <f t="shared" si="13"/>
        <v>2532.1</v>
      </c>
      <c r="D357">
        <f t="shared" si="14"/>
        <v>15161.1</v>
      </c>
    </row>
    <row r="358" spans="1:4" x14ac:dyDescent="0.35">
      <c r="A358" t="s">
        <v>403</v>
      </c>
      <c r="B358">
        <v>21409</v>
      </c>
      <c r="C358">
        <f t="shared" si="13"/>
        <v>1673.1</v>
      </c>
      <c r="D358">
        <f t="shared" si="14"/>
        <v>23082.1</v>
      </c>
    </row>
    <row r="359" spans="1:4" x14ac:dyDescent="0.35">
      <c r="A359" t="s">
        <v>404</v>
      </c>
      <c r="B359">
        <v>14917</v>
      </c>
      <c r="C359">
        <f t="shared" ref="C359:C422" si="15">B245*10/100</f>
        <v>2468.3000000000002</v>
      </c>
      <c r="D359">
        <f t="shared" si="14"/>
        <v>17385.3</v>
      </c>
    </row>
    <row r="360" spans="1:4" x14ac:dyDescent="0.35">
      <c r="A360" t="s">
        <v>405</v>
      </c>
      <c r="B360">
        <v>24794</v>
      </c>
      <c r="C360">
        <f t="shared" si="15"/>
        <v>1639.2</v>
      </c>
      <c r="D360">
        <f t="shared" si="14"/>
        <v>26433.200000000001</v>
      </c>
    </row>
    <row r="361" spans="1:4" x14ac:dyDescent="0.35">
      <c r="A361" t="s">
        <v>406</v>
      </c>
      <c r="B361">
        <v>14992</v>
      </c>
      <c r="C361">
        <f t="shared" si="15"/>
        <v>2550.6999999999998</v>
      </c>
      <c r="D361">
        <f t="shared" si="14"/>
        <v>17542.7</v>
      </c>
    </row>
    <row r="362" spans="1:4" x14ac:dyDescent="0.35">
      <c r="A362" t="s">
        <v>407</v>
      </c>
      <c r="B362">
        <v>24755</v>
      </c>
      <c r="C362">
        <f t="shared" si="15"/>
        <v>1980.9</v>
      </c>
      <c r="D362">
        <f t="shared" si="14"/>
        <v>26735.9</v>
      </c>
    </row>
    <row r="363" spans="1:4" x14ac:dyDescent="0.35">
      <c r="A363" t="s">
        <v>408</v>
      </c>
      <c r="B363">
        <v>13006</v>
      </c>
      <c r="C363">
        <f t="shared" si="15"/>
        <v>1710.1</v>
      </c>
      <c r="D363">
        <f t="shared" si="14"/>
        <v>14716.1</v>
      </c>
    </row>
    <row r="364" spans="1:4" x14ac:dyDescent="0.35">
      <c r="A364" t="s">
        <v>409</v>
      </c>
      <c r="B364">
        <v>15454</v>
      </c>
      <c r="C364">
        <f t="shared" si="15"/>
        <v>2355.3000000000002</v>
      </c>
      <c r="D364">
        <f t="shared" si="14"/>
        <v>17809.3</v>
      </c>
    </row>
    <row r="365" spans="1:4" x14ac:dyDescent="0.35">
      <c r="A365" t="s">
        <v>410</v>
      </c>
      <c r="B365">
        <v>26440</v>
      </c>
      <c r="C365">
        <f t="shared" si="15"/>
        <v>2077.8000000000002</v>
      </c>
      <c r="D365">
        <f t="shared" si="14"/>
        <v>28517.8</v>
      </c>
    </row>
    <row r="366" spans="1:4" x14ac:dyDescent="0.35">
      <c r="A366" t="s">
        <v>411</v>
      </c>
      <c r="B366">
        <v>26587</v>
      </c>
      <c r="C366">
        <f t="shared" si="15"/>
        <v>1336.4</v>
      </c>
      <c r="D366">
        <f t="shared" si="14"/>
        <v>27923.4</v>
      </c>
    </row>
    <row r="367" spans="1:4" x14ac:dyDescent="0.35">
      <c r="A367" t="s">
        <v>412</v>
      </c>
      <c r="B367">
        <v>17247</v>
      </c>
      <c r="C367">
        <f t="shared" si="15"/>
        <v>2475.1999999999998</v>
      </c>
      <c r="D367">
        <f t="shared" si="14"/>
        <v>19722.2</v>
      </c>
    </row>
    <row r="368" spans="1:4" x14ac:dyDescent="0.35">
      <c r="A368" t="s">
        <v>413</v>
      </c>
      <c r="B368">
        <v>15125</v>
      </c>
      <c r="C368">
        <f t="shared" si="15"/>
        <v>2505.1999999999998</v>
      </c>
      <c r="D368">
        <f t="shared" si="14"/>
        <v>17630.2</v>
      </c>
    </row>
    <row r="369" spans="1:4" x14ac:dyDescent="0.35">
      <c r="A369" t="s">
        <v>414</v>
      </c>
      <c r="B369">
        <v>24088</v>
      </c>
      <c r="C369">
        <f t="shared" si="15"/>
        <v>2510</v>
      </c>
      <c r="D369">
        <f t="shared" si="14"/>
        <v>26598</v>
      </c>
    </row>
    <row r="370" spans="1:4" x14ac:dyDescent="0.35">
      <c r="A370" t="s">
        <v>415</v>
      </c>
      <c r="B370">
        <v>13667</v>
      </c>
      <c r="C370">
        <f t="shared" si="15"/>
        <v>1712</v>
      </c>
      <c r="D370">
        <f t="shared" si="14"/>
        <v>15379</v>
      </c>
    </row>
    <row r="371" spans="1:4" x14ac:dyDescent="0.35">
      <c r="A371" t="s">
        <v>416</v>
      </c>
      <c r="B371">
        <v>13462</v>
      </c>
      <c r="C371">
        <f t="shared" si="15"/>
        <v>2122.6999999999998</v>
      </c>
      <c r="D371">
        <f t="shared" si="14"/>
        <v>15584.7</v>
      </c>
    </row>
    <row r="372" spans="1:4" x14ac:dyDescent="0.35">
      <c r="A372" t="s">
        <v>417</v>
      </c>
      <c r="B372">
        <v>14375</v>
      </c>
      <c r="C372">
        <f t="shared" si="15"/>
        <v>2035.1</v>
      </c>
      <c r="D372">
        <f t="shared" si="14"/>
        <v>16410.099999999999</v>
      </c>
    </row>
    <row r="373" spans="1:4" x14ac:dyDescent="0.35">
      <c r="A373" t="s">
        <v>418</v>
      </c>
      <c r="B373">
        <v>25476</v>
      </c>
      <c r="C373">
        <f t="shared" si="15"/>
        <v>2619.4</v>
      </c>
      <c r="D373">
        <f t="shared" si="14"/>
        <v>28095.4</v>
      </c>
    </row>
    <row r="374" spans="1:4" x14ac:dyDescent="0.35">
      <c r="A374" t="s">
        <v>419</v>
      </c>
      <c r="B374">
        <v>15459</v>
      </c>
      <c r="C374">
        <f t="shared" si="15"/>
        <v>2623</v>
      </c>
      <c r="D374">
        <f t="shared" si="14"/>
        <v>18082</v>
      </c>
    </row>
    <row r="375" spans="1:4" x14ac:dyDescent="0.35">
      <c r="A375" t="s">
        <v>420</v>
      </c>
      <c r="B375">
        <v>13597</v>
      </c>
      <c r="C375">
        <f t="shared" si="15"/>
        <v>1562.8</v>
      </c>
      <c r="D375">
        <f t="shared" si="14"/>
        <v>15159.8</v>
      </c>
    </row>
    <row r="376" spans="1:4" x14ac:dyDescent="0.35">
      <c r="A376" t="s">
        <v>421</v>
      </c>
      <c r="B376">
        <v>17620</v>
      </c>
      <c r="C376">
        <f t="shared" si="15"/>
        <v>1954.3</v>
      </c>
      <c r="D376">
        <f t="shared" si="14"/>
        <v>19574.3</v>
      </c>
    </row>
    <row r="377" spans="1:4" x14ac:dyDescent="0.35">
      <c r="A377" t="s">
        <v>422</v>
      </c>
      <c r="B377">
        <v>17482</v>
      </c>
      <c r="C377">
        <f t="shared" si="15"/>
        <v>1511.8</v>
      </c>
      <c r="D377">
        <f t="shared" si="14"/>
        <v>18993.8</v>
      </c>
    </row>
    <row r="378" spans="1:4" x14ac:dyDescent="0.35">
      <c r="A378" t="s">
        <v>423</v>
      </c>
      <c r="B378">
        <v>14650</v>
      </c>
      <c r="C378">
        <f t="shared" si="15"/>
        <v>1947.9</v>
      </c>
      <c r="D378">
        <f t="shared" si="14"/>
        <v>16597.900000000001</v>
      </c>
    </row>
    <row r="379" spans="1:4" x14ac:dyDescent="0.35">
      <c r="A379" t="s">
        <v>424</v>
      </c>
      <c r="B379">
        <v>25952</v>
      </c>
      <c r="C379">
        <f t="shared" si="15"/>
        <v>1704.9</v>
      </c>
      <c r="D379">
        <f t="shared" si="14"/>
        <v>27656.9</v>
      </c>
    </row>
    <row r="380" spans="1:4" x14ac:dyDescent="0.35">
      <c r="A380" t="s">
        <v>425</v>
      </c>
      <c r="B380">
        <v>18002</v>
      </c>
      <c r="C380">
        <f t="shared" si="15"/>
        <v>1330.7</v>
      </c>
      <c r="D380">
        <f t="shared" si="14"/>
        <v>19332.7</v>
      </c>
    </row>
    <row r="381" spans="1:4" x14ac:dyDescent="0.35">
      <c r="A381" t="s">
        <v>426</v>
      </c>
      <c r="B381">
        <v>15267</v>
      </c>
      <c r="C381">
        <f t="shared" si="15"/>
        <v>1805.5</v>
      </c>
      <c r="D381">
        <f t="shared" si="14"/>
        <v>17072.5</v>
      </c>
    </row>
    <row r="382" spans="1:4" x14ac:dyDescent="0.35">
      <c r="A382" t="s">
        <v>427</v>
      </c>
      <c r="B382">
        <v>25777</v>
      </c>
      <c r="C382">
        <f t="shared" si="15"/>
        <v>1961</v>
      </c>
      <c r="D382">
        <f t="shared" si="14"/>
        <v>27738</v>
      </c>
    </row>
    <row r="383" spans="1:4" x14ac:dyDescent="0.35">
      <c r="A383" t="s">
        <v>428</v>
      </c>
      <c r="B383">
        <v>17918</v>
      </c>
      <c r="C383">
        <f t="shared" si="15"/>
        <v>1632.9</v>
      </c>
      <c r="D383">
        <f t="shared" si="14"/>
        <v>19550.900000000001</v>
      </c>
    </row>
    <row r="384" spans="1:4" x14ac:dyDescent="0.35">
      <c r="A384" t="s">
        <v>429</v>
      </c>
      <c r="B384">
        <v>21036</v>
      </c>
      <c r="C384">
        <f t="shared" si="15"/>
        <v>1668.6</v>
      </c>
      <c r="D384">
        <f t="shared" si="14"/>
        <v>22704.6</v>
      </c>
    </row>
    <row r="385" spans="1:4" x14ac:dyDescent="0.35">
      <c r="A385" t="s">
        <v>430</v>
      </c>
      <c r="B385">
        <v>25289</v>
      </c>
      <c r="C385">
        <f t="shared" si="15"/>
        <v>2587.9</v>
      </c>
      <c r="D385">
        <f t="shared" si="14"/>
        <v>27876.9</v>
      </c>
    </row>
    <row r="386" spans="1:4" x14ac:dyDescent="0.35">
      <c r="A386" t="s">
        <v>431</v>
      </c>
      <c r="B386">
        <v>24856</v>
      </c>
      <c r="C386">
        <f t="shared" si="15"/>
        <v>1821.6</v>
      </c>
      <c r="D386">
        <f t="shared" si="14"/>
        <v>26677.599999999999</v>
      </c>
    </row>
    <row r="387" spans="1:4" x14ac:dyDescent="0.35">
      <c r="A387" t="s">
        <v>432</v>
      </c>
      <c r="B387">
        <v>27007</v>
      </c>
      <c r="C387">
        <f t="shared" si="15"/>
        <v>1727</v>
      </c>
      <c r="D387">
        <f t="shared" ref="D387:D450" si="16">B387+C387</f>
        <v>28734</v>
      </c>
    </row>
    <row r="388" spans="1:4" x14ac:dyDescent="0.35">
      <c r="A388" t="s">
        <v>433</v>
      </c>
      <c r="B388">
        <v>27316</v>
      </c>
      <c r="C388">
        <f t="shared" si="15"/>
        <v>1515.3</v>
      </c>
      <c r="D388">
        <f t="shared" si="16"/>
        <v>28831.3</v>
      </c>
    </row>
    <row r="389" spans="1:4" x14ac:dyDescent="0.35">
      <c r="A389" t="s">
        <v>434</v>
      </c>
      <c r="B389">
        <v>14024</v>
      </c>
      <c r="C389">
        <f t="shared" si="15"/>
        <v>1741.6</v>
      </c>
      <c r="D389">
        <f t="shared" si="16"/>
        <v>15765.6</v>
      </c>
    </row>
    <row r="390" spans="1:4" x14ac:dyDescent="0.35">
      <c r="A390" t="s">
        <v>435</v>
      </c>
      <c r="B390">
        <v>20035</v>
      </c>
      <c r="C390">
        <f t="shared" si="15"/>
        <v>1432.9</v>
      </c>
      <c r="D390">
        <f t="shared" si="16"/>
        <v>21467.9</v>
      </c>
    </row>
    <row r="391" spans="1:4" x14ac:dyDescent="0.35">
      <c r="A391" t="s">
        <v>436</v>
      </c>
      <c r="B391">
        <v>25041</v>
      </c>
      <c r="C391">
        <f t="shared" si="15"/>
        <v>2590</v>
      </c>
      <c r="D391">
        <f t="shared" si="16"/>
        <v>27631</v>
      </c>
    </row>
    <row r="392" spans="1:4" x14ac:dyDescent="0.35">
      <c r="A392" t="s">
        <v>437</v>
      </c>
      <c r="B392">
        <v>25288</v>
      </c>
      <c r="C392">
        <f t="shared" si="15"/>
        <v>2516.4</v>
      </c>
      <c r="D392">
        <f t="shared" si="16"/>
        <v>27804.400000000001</v>
      </c>
    </row>
    <row r="393" spans="1:4" x14ac:dyDescent="0.35">
      <c r="A393" t="s">
        <v>438</v>
      </c>
      <c r="B393">
        <v>16838</v>
      </c>
      <c r="C393">
        <f t="shared" si="15"/>
        <v>2017.7</v>
      </c>
      <c r="D393">
        <f t="shared" si="16"/>
        <v>18855.7</v>
      </c>
    </row>
    <row r="394" spans="1:4" x14ac:dyDescent="0.35">
      <c r="A394" t="s">
        <v>439</v>
      </c>
      <c r="B394">
        <v>14632</v>
      </c>
      <c r="C394">
        <f t="shared" si="15"/>
        <v>2743.2</v>
      </c>
      <c r="D394">
        <f t="shared" si="16"/>
        <v>17375.2</v>
      </c>
    </row>
    <row r="395" spans="1:4" x14ac:dyDescent="0.35">
      <c r="A395" t="s">
        <v>440</v>
      </c>
      <c r="B395">
        <v>16649</v>
      </c>
      <c r="C395">
        <f t="shared" si="15"/>
        <v>1905.3</v>
      </c>
      <c r="D395">
        <f t="shared" si="16"/>
        <v>18554.3</v>
      </c>
    </row>
    <row r="396" spans="1:4" x14ac:dyDescent="0.35">
      <c r="A396" t="s">
        <v>441</v>
      </c>
      <c r="B396">
        <v>26936</v>
      </c>
      <c r="C396">
        <f t="shared" si="15"/>
        <v>2493.1</v>
      </c>
      <c r="D396">
        <f t="shared" si="16"/>
        <v>29429.1</v>
      </c>
    </row>
    <row r="397" spans="1:4" x14ac:dyDescent="0.35">
      <c r="A397" t="s">
        <v>442</v>
      </c>
      <c r="B397">
        <v>20740</v>
      </c>
      <c r="C397">
        <f t="shared" si="15"/>
        <v>1719.1</v>
      </c>
      <c r="D397">
        <f t="shared" si="16"/>
        <v>22459.1</v>
      </c>
    </row>
    <row r="398" spans="1:4" x14ac:dyDescent="0.35">
      <c r="A398" t="s">
        <v>443</v>
      </c>
      <c r="B398">
        <v>19151</v>
      </c>
      <c r="C398">
        <f t="shared" si="15"/>
        <v>1441.1</v>
      </c>
      <c r="D398">
        <f t="shared" si="16"/>
        <v>20592.099999999999</v>
      </c>
    </row>
    <row r="399" spans="1:4" x14ac:dyDescent="0.35">
      <c r="A399" t="s">
        <v>444</v>
      </c>
      <c r="B399">
        <v>20715</v>
      </c>
      <c r="C399">
        <f t="shared" si="15"/>
        <v>1960.6</v>
      </c>
      <c r="D399">
        <f t="shared" si="16"/>
        <v>22675.599999999999</v>
      </c>
    </row>
    <row r="400" spans="1:4" x14ac:dyDescent="0.35">
      <c r="A400" t="s">
        <v>445</v>
      </c>
      <c r="B400">
        <v>13650</v>
      </c>
      <c r="C400">
        <f t="shared" si="15"/>
        <v>2045.2</v>
      </c>
      <c r="D400">
        <f t="shared" si="16"/>
        <v>15695.2</v>
      </c>
    </row>
    <row r="401" spans="1:4" x14ac:dyDescent="0.35">
      <c r="A401" t="s">
        <v>446</v>
      </c>
      <c r="B401">
        <v>24463</v>
      </c>
      <c r="C401">
        <f t="shared" si="15"/>
        <v>1464.3</v>
      </c>
      <c r="D401">
        <f t="shared" si="16"/>
        <v>25927.3</v>
      </c>
    </row>
    <row r="402" spans="1:4" x14ac:dyDescent="0.35">
      <c r="A402" t="s">
        <v>447</v>
      </c>
      <c r="B402">
        <v>20344</v>
      </c>
      <c r="C402">
        <f t="shared" si="15"/>
        <v>1826.1</v>
      </c>
      <c r="D402">
        <f t="shared" si="16"/>
        <v>22170.1</v>
      </c>
    </row>
    <row r="403" spans="1:4" x14ac:dyDescent="0.35">
      <c r="A403" t="s">
        <v>448</v>
      </c>
      <c r="B403">
        <v>16793</v>
      </c>
      <c r="C403">
        <f t="shared" si="15"/>
        <v>2745.5</v>
      </c>
      <c r="D403">
        <f t="shared" si="16"/>
        <v>19538.5</v>
      </c>
    </row>
    <row r="404" spans="1:4" x14ac:dyDescent="0.35">
      <c r="A404" t="s">
        <v>449</v>
      </c>
      <c r="B404">
        <v>27355</v>
      </c>
      <c r="C404">
        <f t="shared" si="15"/>
        <v>1637.4</v>
      </c>
      <c r="D404">
        <f t="shared" si="16"/>
        <v>28992.400000000001</v>
      </c>
    </row>
    <row r="405" spans="1:4" x14ac:dyDescent="0.35">
      <c r="A405" t="s">
        <v>450</v>
      </c>
      <c r="B405">
        <v>25314</v>
      </c>
      <c r="C405">
        <f t="shared" si="15"/>
        <v>2628.5</v>
      </c>
      <c r="D405">
        <f t="shared" si="16"/>
        <v>27942.5</v>
      </c>
    </row>
    <row r="406" spans="1:4" x14ac:dyDescent="0.35">
      <c r="A406" t="s">
        <v>451</v>
      </c>
      <c r="B406">
        <v>13402</v>
      </c>
      <c r="C406">
        <f t="shared" si="15"/>
        <v>1418.8</v>
      </c>
      <c r="D406">
        <f t="shared" si="16"/>
        <v>14820.8</v>
      </c>
    </row>
    <row r="407" spans="1:4" x14ac:dyDescent="0.35">
      <c r="A407" t="s">
        <v>452</v>
      </c>
      <c r="B407">
        <v>16076</v>
      </c>
      <c r="C407">
        <f t="shared" si="15"/>
        <v>2624.8</v>
      </c>
      <c r="D407">
        <f t="shared" si="16"/>
        <v>18700.8</v>
      </c>
    </row>
    <row r="408" spans="1:4" x14ac:dyDescent="0.35">
      <c r="A408" t="s">
        <v>453</v>
      </c>
      <c r="B408">
        <v>14189</v>
      </c>
      <c r="C408">
        <f t="shared" si="15"/>
        <v>2633.1</v>
      </c>
      <c r="D408">
        <f t="shared" si="16"/>
        <v>16822.099999999999</v>
      </c>
    </row>
    <row r="409" spans="1:4" x14ac:dyDescent="0.35">
      <c r="A409" t="s">
        <v>454</v>
      </c>
      <c r="B409">
        <v>15347</v>
      </c>
      <c r="C409">
        <f t="shared" si="15"/>
        <v>1980.6</v>
      </c>
      <c r="D409">
        <f t="shared" si="16"/>
        <v>17327.599999999999</v>
      </c>
    </row>
    <row r="410" spans="1:4" x14ac:dyDescent="0.35">
      <c r="A410" t="s">
        <v>455</v>
      </c>
      <c r="B410">
        <v>14184</v>
      </c>
      <c r="C410">
        <f t="shared" si="15"/>
        <v>2631.4</v>
      </c>
      <c r="D410">
        <f t="shared" si="16"/>
        <v>16815.400000000001</v>
      </c>
    </row>
    <row r="411" spans="1:4" x14ac:dyDescent="0.35">
      <c r="A411" t="s">
        <v>456</v>
      </c>
      <c r="B411">
        <v>14101</v>
      </c>
      <c r="C411">
        <f t="shared" si="15"/>
        <v>1664.1</v>
      </c>
      <c r="D411">
        <f t="shared" si="16"/>
        <v>15765.1</v>
      </c>
    </row>
    <row r="412" spans="1:4" x14ac:dyDescent="0.35">
      <c r="A412" t="s">
        <v>457</v>
      </c>
      <c r="B412">
        <v>16563</v>
      </c>
      <c r="C412">
        <f t="shared" si="15"/>
        <v>2040.1</v>
      </c>
      <c r="D412">
        <f t="shared" si="16"/>
        <v>18603.099999999999</v>
      </c>
    </row>
    <row r="413" spans="1:4" x14ac:dyDescent="0.35">
      <c r="A413" t="s">
        <v>458</v>
      </c>
      <c r="B413">
        <v>19636</v>
      </c>
      <c r="C413">
        <f t="shared" si="15"/>
        <v>1677.1</v>
      </c>
      <c r="D413">
        <f t="shared" si="16"/>
        <v>21313.1</v>
      </c>
    </row>
    <row r="414" spans="1:4" x14ac:dyDescent="0.35">
      <c r="A414" t="s">
        <v>459</v>
      </c>
      <c r="B414">
        <v>14789</v>
      </c>
      <c r="C414">
        <f t="shared" si="15"/>
        <v>2118</v>
      </c>
      <c r="D414">
        <f t="shared" si="16"/>
        <v>16907</v>
      </c>
    </row>
    <row r="415" spans="1:4" x14ac:dyDescent="0.35">
      <c r="A415" t="s">
        <v>460</v>
      </c>
      <c r="B415">
        <v>26158</v>
      </c>
      <c r="C415">
        <f t="shared" si="15"/>
        <v>2607.6999999999998</v>
      </c>
      <c r="D415">
        <f t="shared" si="16"/>
        <v>28765.7</v>
      </c>
    </row>
    <row r="416" spans="1:4" x14ac:dyDescent="0.35">
      <c r="A416" t="s">
        <v>461</v>
      </c>
      <c r="B416">
        <v>26694</v>
      </c>
      <c r="C416">
        <f t="shared" si="15"/>
        <v>2511.3000000000002</v>
      </c>
      <c r="D416">
        <f t="shared" si="16"/>
        <v>29205.3</v>
      </c>
    </row>
    <row r="417" spans="1:4" x14ac:dyDescent="0.35">
      <c r="A417" t="s">
        <v>462</v>
      </c>
      <c r="B417">
        <v>23152</v>
      </c>
      <c r="C417">
        <f t="shared" si="15"/>
        <v>1654.8</v>
      </c>
      <c r="D417">
        <f t="shared" si="16"/>
        <v>24806.799999999999</v>
      </c>
    </row>
    <row r="418" spans="1:4" x14ac:dyDescent="0.35">
      <c r="A418" t="s">
        <v>463</v>
      </c>
      <c r="B418">
        <v>20271</v>
      </c>
      <c r="C418">
        <f t="shared" si="15"/>
        <v>2495.6</v>
      </c>
      <c r="D418">
        <f t="shared" si="16"/>
        <v>22766.6</v>
      </c>
    </row>
    <row r="419" spans="1:4" x14ac:dyDescent="0.35">
      <c r="A419" t="s">
        <v>464</v>
      </c>
      <c r="B419">
        <v>16478</v>
      </c>
      <c r="C419">
        <f t="shared" si="15"/>
        <v>2338.1999999999998</v>
      </c>
      <c r="D419">
        <f t="shared" si="16"/>
        <v>18816.2</v>
      </c>
    </row>
    <row r="420" spans="1:4" x14ac:dyDescent="0.35">
      <c r="A420" t="s">
        <v>465</v>
      </c>
      <c r="B420">
        <v>15499</v>
      </c>
      <c r="C420">
        <f t="shared" si="15"/>
        <v>2523.1999999999998</v>
      </c>
      <c r="D420">
        <f t="shared" si="16"/>
        <v>18022.2</v>
      </c>
    </row>
    <row r="421" spans="1:4" x14ac:dyDescent="0.35">
      <c r="A421" t="s">
        <v>466</v>
      </c>
      <c r="B421">
        <v>20410</v>
      </c>
      <c r="C421">
        <f t="shared" si="15"/>
        <v>2447.6999999999998</v>
      </c>
      <c r="D421">
        <f t="shared" si="16"/>
        <v>22857.7</v>
      </c>
    </row>
    <row r="422" spans="1:4" x14ac:dyDescent="0.35">
      <c r="A422" t="s">
        <v>467</v>
      </c>
      <c r="B422">
        <v>14740</v>
      </c>
      <c r="C422">
        <f t="shared" si="15"/>
        <v>1336.3</v>
      </c>
      <c r="D422">
        <f t="shared" si="16"/>
        <v>16076.3</v>
      </c>
    </row>
    <row r="423" spans="1:4" x14ac:dyDescent="0.35">
      <c r="A423" t="s">
        <v>468</v>
      </c>
      <c r="B423">
        <v>24285</v>
      </c>
      <c r="C423">
        <f t="shared" ref="C423:C442" si="17">B309*10/100</f>
        <v>1398.8</v>
      </c>
      <c r="D423">
        <f t="shared" si="16"/>
        <v>25683.8</v>
      </c>
    </row>
    <row r="424" spans="1:4" x14ac:dyDescent="0.35">
      <c r="A424" t="s">
        <v>469</v>
      </c>
      <c r="B424">
        <v>24970</v>
      </c>
      <c r="C424">
        <f t="shared" si="17"/>
        <v>1569</v>
      </c>
      <c r="D424">
        <f t="shared" si="16"/>
        <v>26539</v>
      </c>
    </row>
    <row r="425" spans="1:4" x14ac:dyDescent="0.35">
      <c r="A425" t="s">
        <v>470</v>
      </c>
      <c r="B425">
        <v>19051</v>
      </c>
      <c r="C425">
        <f t="shared" si="17"/>
        <v>1713.5</v>
      </c>
      <c r="D425">
        <f t="shared" si="16"/>
        <v>20764.5</v>
      </c>
    </row>
    <row r="426" spans="1:4" x14ac:dyDescent="0.35">
      <c r="A426" t="s">
        <v>471</v>
      </c>
      <c r="B426">
        <v>18239</v>
      </c>
      <c r="C426">
        <f t="shared" si="17"/>
        <v>2552.5</v>
      </c>
      <c r="D426">
        <f t="shared" si="16"/>
        <v>20791.5</v>
      </c>
    </row>
    <row r="427" spans="1:4" x14ac:dyDescent="0.35">
      <c r="A427" t="s">
        <v>472</v>
      </c>
      <c r="B427">
        <v>27581</v>
      </c>
      <c r="C427">
        <f t="shared" si="17"/>
        <v>1785.3</v>
      </c>
      <c r="D427">
        <f t="shared" si="16"/>
        <v>29366.3</v>
      </c>
    </row>
    <row r="428" spans="1:4" x14ac:dyDescent="0.35">
      <c r="A428" t="s">
        <v>473</v>
      </c>
      <c r="B428">
        <v>16596</v>
      </c>
      <c r="C428">
        <f t="shared" si="17"/>
        <v>2741.8</v>
      </c>
      <c r="D428">
        <f t="shared" si="16"/>
        <v>19337.8</v>
      </c>
    </row>
    <row r="429" spans="1:4" x14ac:dyDescent="0.35">
      <c r="A429" t="s">
        <v>474</v>
      </c>
      <c r="B429">
        <v>20432</v>
      </c>
      <c r="C429">
        <f t="shared" si="17"/>
        <v>2537.4</v>
      </c>
      <c r="D429">
        <f t="shared" si="16"/>
        <v>22969.4</v>
      </c>
    </row>
    <row r="430" spans="1:4" x14ac:dyDescent="0.35">
      <c r="A430" t="s">
        <v>475</v>
      </c>
      <c r="B430">
        <v>13095</v>
      </c>
      <c r="C430">
        <f t="shared" si="17"/>
        <v>2499.1</v>
      </c>
      <c r="D430">
        <f t="shared" si="16"/>
        <v>15594.1</v>
      </c>
    </row>
    <row r="431" spans="1:4" x14ac:dyDescent="0.35">
      <c r="A431" t="s">
        <v>476</v>
      </c>
      <c r="B431">
        <v>15195</v>
      </c>
      <c r="C431">
        <f t="shared" si="17"/>
        <v>1441.2</v>
      </c>
      <c r="D431">
        <f t="shared" si="16"/>
        <v>16636.2</v>
      </c>
    </row>
    <row r="432" spans="1:4" x14ac:dyDescent="0.35">
      <c r="A432" t="s">
        <v>477</v>
      </c>
      <c r="B432">
        <v>25377</v>
      </c>
      <c r="C432">
        <f t="shared" si="17"/>
        <v>1572.4</v>
      </c>
      <c r="D432">
        <f t="shared" si="16"/>
        <v>26949.4</v>
      </c>
    </row>
    <row r="433" spans="1:4" x14ac:dyDescent="0.35">
      <c r="A433" t="s">
        <v>478</v>
      </c>
      <c r="B433">
        <v>20017</v>
      </c>
      <c r="C433">
        <f t="shared" si="17"/>
        <v>2141.6999999999998</v>
      </c>
      <c r="D433">
        <f t="shared" si="16"/>
        <v>22158.7</v>
      </c>
    </row>
    <row r="434" spans="1:4" x14ac:dyDescent="0.35">
      <c r="A434" t="s">
        <v>479</v>
      </c>
      <c r="B434">
        <v>16537</v>
      </c>
      <c r="C434">
        <f t="shared" si="17"/>
        <v>2026.8</v>
      </c>
      <c r="D434">
        <f t="shared" si="16"/>
        <v>18563.8</v>
      </c>
    </row>
    <row r="435" spans="1:4" x14ac:dyDescent="0.35">
      <c r="A435" t="s">
        <v>480</v>
      </c>
      <c r="B435">
        <v>18757</v>
      </c>
      <c r="C435">
        <f t="shared" si="17"/>
        <v>1353.3</v>
      </c>
      <c r="D435">
        <f t="shared" si="16"/>
        <v>20110.3</v>
      </c>
    </row>
    <row r="436" spans="1:4" x14ac:dyDescent="0.35">
      <c r="A436" t="s">
        <v>481</v>
      </c>
      <c r="B436">
        <v>12181</v>
      </c>
      <c r="C436">
        <f t="shared" si="17"/>
        <v>1788.5</v>
      </c>
      <c r="D436">
        <f t="shared" si="16"/>
        <v>13969.5</v>
      </c>
    </row>
    <row r="437" spans="1:4" x14ac:dyDescent="0.35">
      <c r="A437" t="s">
        <v>482</v>
      </c>
      <c r="B437">
        <v>15274</v>
      </c>
      <c r="C437">
        <f t="shared" si="17"/>
        <v>1779.3</v>
      </c>
      <c r="D437">
        <f t="shared" si="16"/>
        <v>17053.3</v>
      </c>
    </row>
    <row r="438" spans="1:4" x14ac:dyDescent="0.35">
      <c r="A438" t="s">
        <v>483</v>
      </c>
      <c r="B438">
        <v>15382</v>
      </c>
      <c r="C438">
        <f t="shared" si="17"/>
        <v>1299.8</v>
      </c>
      <c r="D438">
        <f t="shared" si="16"/>
        <v>16681.8</v>
      </c>
    </row>
    <row r="439" spans="1:4" x14ac:dyDescent="0.35">
      <c r="A439" t="s">
        <v>484</v>
      </c>
      <c r="B439">
        <v>14310</v>
      </c>
      <c r="C439">
        <f t="shared" si="17"/>
        <v>1545</v>
      </c>
      <c r="D439">
        <f t="shared" si="16"/>
        <v>15855</v>
      </c>
    </row>
    <row r="440" spans="1:4" x14ac:dyDescent="0.35">
      <c r="A440" t="s">
        <v>485</v>
      </c>
      <c r="B440">
        <v>18099</v>
      </c>
      <c r="C440">
        <f t="shared" si="17"/>
        <v>1663.7</v>
      </c>
      <c r="D440">
        <f t="shared" si="16"/>
        <v>19762.7</v>
      </c>
    </row>
    <row r="441" spans="1:4" x14ac:dyDescent="0.35">
      <c r="A441" t="s">
        <v>486</v>
      </c>
      <c r="B441">
        <v>20312</v>
      </c>
      <c r="C441">
        <f t="shared" si="17"/>
        <v>1973.9</v>
      </c>
      <c r="D441">
        <f t="shared" si="16"/>
        <v>22285.9</v>
      </c>
    </row>
    <row r="442" spans="1:4" x14ac:dyDescent="0.35">
      <c r="A442" t="s">
        <v>487</v>
      </c>
      <c r="B442">
        <v>17994</v>
      </c>
      <c r="C442">
        <f t="shared" si="17"/>
        <v>1730</v>
      </c>
      <c r="D442">
        <f t="shared" si="16"/>
        <v>19724</v>
      </c>
    </row>
    <row r="443" spans="1:4" x14ac:dyDescent="0.35">
      <c r="A443" t="s">
        <v>488</v>
      </c>
      <c r="B443">
        <v>15176</v>
      </c>
      <c r="C443">
        <f>B329*10/100</f>
        <v>1975.6</v>
      </c>
      <c r="D443">
        <f t="shared" si="16"/>
        <v>17151.599999999999</v>
      </c>
    </row>
    <row r="444" spans="1:4" x14ac:dyDescent="0.35">
      <c r="A444" t="s">
        <v>489</v>
      </c>
      <c r="B444">
        <v>15462</v>
      </c>
      <c r="C444">
        <f>B329*30/100</f>
        <v>5926.8</v>
      </c>
      <c r="D444">
        <f t="shared" si="16"/>
        <v>21388.799999999999</v>
      </c>
    </row>
    <row r="445" spans="1:4" x14ac:dyDescent="0.35">
      <c r="A445" t="s">
        <v>490</v>
      </c>
      <c r="B445">
        <v>15165</v>
      </c>
      <c r="C445">
        <f t="shared" ref="C445:C508" si="18">B330*30/100</f>
        <v>4215.8999999999996</v>
      </c>
      <c r="D445">
        <f t="shared" si="16"/>
        <v>19380.900000000001</v>
      </c>
    </row>
    <row r="446" spans="1:4" x14ac:dyDescent="0.35">
      <c r="A446" t="s">
        <v>491</v>
      </c>
      <c r="B446">
        <v>16723</v>
      </c>
      <c r="C446">
        <f t="shared" si="18"/>
        <v>6097.2</v>
      </c>
      <c r="D446">
        <f t="shared" si="16"/>
        <v>22820.2</v>
      </c>
    </row>
    <row r="447" spans="1:4" x14ac:dyDescent="0.35">
      <c r="A447" t="s">
        <v>492</v>
      </c>
      <c r="B447">
        <v>26709</v>
      </c>
      <c r="C447">
        <f t="shared" si="18"/>
        <v>4761.8999999999996</v>
      </c>
      <c r="D447">
        <f t="shared" si="16"/>
        <v>31470.9</v>
      </c>
    </row>
    <row r="448" spans="1:4" x14ac:dyDescent="0.35">
      <c r="A448" t="s">
        <v>493</v>
      </c>
      <c r="B448">
        <v>15657</v>
      </c>
      <c r="C448">
        <f t="shared" si="18"/>
        <v>4450.8</v>
      </c>
      <c r="D448">
        <f t="shared" si="16"/>
        <v>20107.8</v>
      </c>
    </row>
    <row r="449" spans="1:4" x14ac:dyDescent="0.35">
      <c r="A449" t="s">
        <v>494</v>
      </c>
      <c r="B449">
        <v>19615</v>
      </c>
      <c r="C449">
        <f t="shared" si="18"/>
        <v>6410.1</v>
      </c>
      <c r="D449">
        <f t="shared" si="16"/>
        <v>26025.1</v>
      </c>
    </row>
    <row r="450" spans="1:4" x14ac:dyDescent="0.35">
      <c r="A450" t="s">
        <v>495</v>
      </c>
      <c r="B450">
        <v>16756</v>
      </c>
      <c r="C450">
        <f t="shared" si="18"/>
        <v>4670.7</v>
      </c>
      <c r="D450">
        <f t="shared" si="16"/>
        <v>21426.7</v>
      </c>
    </row>
    <row r="451" spans="1:4" x14ac:dyDescent="0.35">
      <c r="A451" t="s">
        <v>496</v>
      </c>
      <c r="B451">
        <v>24696</v>
      </c>
      <c r="C451">
        <f t="shared" si="18"/>
        <v>5448.3</v>
      </c>
      <c r="D451">
        <f t="shared" ref="D451:D514" si="19">B451+C451</f>
        <v>30144.3</v>
      </c>
    </row>
    <row r="452" spans="1:4" x14ac:dyDescent="0.35">
      <c r="A452" t="s">
        <v>497</v>
      </c>
      <c r="B452">
        <v>21166</v>
      </c>
      <c r="C452">
        <f t="shared" si="18"/>
        <v>5368.5</v>
      </c>
      <c r="D452">
        <f t="shared" si="19"/>
        <v>26534.5</v>
      </c>
    </row>
    <row r="453" spans="1:4" x14ac:dyDescent="0.35">
      <c r="A453" t="s">
        <v>498</v>
      </c>
      <c r="B453">
        <v>17650</v>
      </c>
      <c r="C453">
        <f t="shared" si="18"/>
        <v>6022.2</v>
      </c>
      <c r="D453">
        <f t="shared" si="19"/>
        <v>23672.2</v>
      </c>
    </row>
    <row r="454" spans="1:4" x14ac:dyDescent="0.35">
      <c r="A454" t="s">
        <v>499</v>
      </c>
      <c r="B454">
        <v>12839</v>
      </c>
      <c r="C454">
        <f t="shared" si="18"/>
        <v>5456.1</v>
      </c>
      <c r="D454">
        <f t="shared" si="19"/>
        <v>18295.099999999999</v>
      </c>
    </row>
    <row r="455" spans="1:4" x14ac:dyDescent="0.35">
      <c r="A455" t="s">
        <v>500</v>
      </c>
      <c r="B455">
        <v>19004</v>
      </c>
      <c r="C455">
        <f t="shared" si="18"/>
        <v>4008.6</v>
      </c>
      <c r="D455">
        <f t="shared" si="19"/>
        <v>23012.6</v>
      </c>
    </row>
    <row r="456" spans="1:4" x14ac:dyDescent="0.35">
      <c r="A456" t="s">
        <v>501</v>
      </c>
      <c r="B456">
        <v>19423</v>
      </c>
      <c r="C456">
        <f t="shared" si="18"/>
        <v>7856.1</v>
      </c>
      <c r="D456">
        <f t="shared" si="19"/>
        <v>27279.1</v>
      </c>
    </row>
    <row r="457" spans="1:4" x14ac:dyDescent="0.35">
      <c r="A457" t="s">
        <v>502</v>
      </c>
      <c r="B457">
        <v>21593</v>
      </c>
      <c r="C457">
        <f t="shared" si="18"/>
        <v>5574.9</v>
      </c>
      <c r="D457">
        <f t="shared" si="19"/>
        <v>27167.9</v>
      </c>
    </row>
    <row r="458" spans="1:4" x14ac:dyDescent="0.35">
      <c r="A458" t="s">
        <v>503</v>
      </c>
      <c r="B458">
        <v>23935</v>
      </c>
      <c r="C458">
        <f t="shared" si="18"/>
        <v>7306.5</v>
      </c>
      <c r="D458">
        <f t="shared" si="19"/>
        <v>31241.5</v>
      </c>
    </row>
    <row r="459" spans="1:4" x14ac:dyDescent="0.35">
      <c r="A459" t="s">
        <v>504</v>
      </c>
      <c r="B459">
        <v>19045</v>
      </c>
      <c r="C459">
        <f t="shared" si="18"/>
        <v>5366.1</v>
      </c>
      <c r="D459">
        <f t="shared" si="19"/>
        <v>24411.1</v>
      </c>
    </row>
    <row r="460" spans="1:4" x14ac:dyDescent="0.35">
      <c r="A460" t="s">
        <v>505</v>
      </c>
      <c r="B460">
        <v>23209</v>
      </c>
      <c r="C460">
        <f t="shared" si="18"/>
        <v>4086.3</v>
      </c>
      <c r="D460">
        <f t="shared" si="19"/>
        <v>27295.3</v>
      </c>
    </row>
    <row r="461" spans="1:4" x14ac:dyDescent="0.35">
      <c r="A461" t="s">
        <v>506</v>
      </c>
      <c r="B461">
        <v>12760</v>
      </c>
      <c r="C461">
        <f t="shared" si="18"/>
        <v>6203.7</v>
      </c>
      <c r="D461">
        <f t="shared" si="19"/>
        <v>18963.7</v>
      </c>
    </row>
    <row r="462" spans="1:4" x14ac:dyDescent="0.35">
      <c r="A462" t="s">
        <v>507</v>
      </c>
      <c r="B462">
        <v>18556</v>
      </c>
      <c r="C462">
        <f t="shared" si="18"/>
        <v>7714.8</v>
      </c>
      <c r="D462">
        <f t="shared" si="19"/>
        <v>26270.799999999999</v>
      </c>
    </row>
    <row r="463" spans="1:4" x14ac:dyDescent="0.35">
      <c r="A463" t="s">
        <v>508</v>
      </c>
      <c r="B463">
        <v>21571</v>
      </c>
      <c r="C463">
        <f t="shared" si="18"/>
        <v>6390</v>
      </c>
      <c r="D463">
        <f t="shared" si="19"/>
        <v>27961</v>
      </c>
    </row>
    <row r="464" spans="1:4" x14ac:dyDescent="0.35">
      <c r="A464" t="s">
        <v>509</v>
      </c>
      <c r="B464">
        <v>14407</v>
      </c>
      <c r="C464">
        <f t="shared" si="18"/>
        <v>5775.6</v>
      </c>
      <c r="D464">
        <f t="shared" si="19"/>
        <v>20182.599999999999</v>
      </c>
    </row>
    <row r="465" spans="1:4" x14ac:dyDescent="0.35">
      <c r="A465" t="s">
        <v>510</v>
      </c>
      <c r="B465">
        <v>14866</v>
      </c>
      <c r="C465">
        <f t="shared" si="18"/>
        <v>5912.4</v>
      </c>
      <c r="D465">
        <f t="shared" si="19"/>
        <v>20778.400000000001</v>
      </c>
    </row>
    <row r="466" spans="1:4" x14ac:dyDescent="0.35">
      <c r="A466" t="s">
        <v>511</v>
      </c>
      <c r="B466">
        <v>16695</v>
      </c>
      <c r="C466">
        <f t="shared" si="18"/>
        <v>5261.7</v>
      </c>
      <c r="D466">
        <f t="shared" si="19"/>
        <v>21956.7</v>
      </c>
    </row>
    <row r="467" spans="1:4" x14ac:dyDescent="0.35">
      <c r="A467" t="s">
        <v>512</v>
      </c>
      <c r="B467">
        <v>15003</v>
      </c>
      <c r="C467">
        <f t="shared" si="18"/>
        <v>6093.3</v>
      </c>
      <c r="D467">
        <f t="shared" si="19"/>
        <v>21096.3</v>
      </c>
    </row>
    <row r="468" spans="1:4" x14ac:dyDescent="0.35">
      <c r="A468" t="s">
        <v>513</v>
      </c>
      <c r="B468">
        <v>20398</v>
      </c>
      <c r="C468">
        <f t="shared" si="18"/>
        <v>7624.8</v>
      </c>
      <c r="D468">
        <f t="shared" si="19"/>
        <v>28022.799999999999</v>
      </c>
    </row>
    <row r="469" spans="1:4" x14ac:dyDescent="0.35">
      <c r="A469" t="s">
        <v>514</v>
      </c>
      <c r="B469">
        <v>12805</v>
      </c>
      <c r="C469">
        <f t="shared" si="18"/>
        <v>5958.3</v>
      </c>
      <c r="D469">
        <f t="shared" si="19"/>
        <v>18763.3</v>
      </c>
    </row>
    <row r="470" spans="1:4" x14ac:dyDescent="0.35">
      <c r="A470" t="s">
        <v>515</v>
      </c>
      <c r="B470">
        <v>25738</v>
      </c>
      <c r="C470">
        <f t="shared" si="18"/>
        <v>8015.4</v>
      </c>
      <c r="D470">
        <f t="shared" si="19"/>
        <v>33753.4</v>
      </c>
    </row>
    <row r="471" spans="1:4" x14ac:dyDescent="0.35">
      <c r="A471" t="s">
        <v>516</v>
      </c>
      <c r="B471">
        <v>14557</v>
      </c>
      <c r="C471">
        <f t="shared" si="18"/>
        <v>7680.3</v>
      </c>
      <c r="D471">
        <f t="shared" si="19"/>
        <v>22237.3</v>
      </c>
    </row>
    <row r="472" spans="1:4" x14ac:dyDescent="0.35">
      <c r="A472" t="s">
        <v>517</v>
      </c>
      <c r="B472">
        <v>12853</v>
      </c>
      <c r="C472">
        <f t="shared" si="18"/>
        <v>3788.7</v>
      </c>
      <c r="D472">
        <f t="shared" si="19"/>
        <v>16641.7</v>
      </c>
    </row>
    <row r="473" spans="1:4" x14ac:dyDescent="0.35">
      <c r="A473" t="s">
        <v>518</v>
      </c>
      <c r="B473">
        <v>25434</v>
      </c>
      <c r="C473">
        <f t="shared" si="18"/>
        <v>6422.7</v>
      </c>
      <c r="D473">
        <f t="shared" si="19"/>
        <v>31856.7</v>
      </c>
    </row>
    <row r="474" spans="1:4" x14ac:dyDescent="0.35">
      <c r="A474" t="s">
        <v>519</v>
      </c>
      <c r="B474">
        <v>12394</v>
      </c>
      <c r="C474">
        <f t="shared" si="18"/>
        <v>4475.1000000000004</v>
      </c>
      <c r="D474">
        <f t="shared" si="19"/>
        <v>16869.099999999999</v>
      </c>
    </row>
    <row r="475" spans="1:4" x14ac:dyDescent="0.35">
      <c r="A475" t="s">
        <v>520</v>
      </c>
      <c r="B475">
        <v>25505</v>
      </c>
      <c r="C475">
        <f t="shared" si="18"/>
        <v>7438.2</v>
      </c>
      <c r="D475">
        <f t="shared" si="19"/>
        <v>32943.199999999997</v>
      </c>
    </row>
    <row r="476" spans="1:4" x14ac:dyDescent="0.35">
      <c r="A476" t="s">
        <v>521</v>
      </c>
      <c r="B476">
        <v>20354</v>
      </c>
      <c r="C476">
        <f t="shared" si="18"/>
        <v>4497.6000000000004</v>
      </c>
      <c r="D476">
        <f t="shared" si="19"/>
        <v>24851.599999999999</v>
      </c>
    </row>
    <row r="477" spans="1:4" x14ac:dyDescent="0.35">
      <c r="A477" t="s">
        <v>522</v>
      </c>
      <c r="B477">
        <v>15823</v>
      </c>
      <c r="C477">
        <f t="shared" si="18"/>
        <v>7426.5</v>
      </c>
      <c r="D477">
        <f t="shared" si="19"/>
        <v>23249.5</v>
      </c>
    </row>
    <row r="478" spans="1:4" x14ac:dyDescent="0.35">
      <c r="A478" t="s">
        <v>523</v>
      </c>
      <c r="B478">
        <v>14524</v>
      </c>
      <c r="C478">
        <f t="shared" si="18"/>
        <v>3901.8</v>
      </c>
      <c r="D478">
        <f t="shared" si="19"/>
        <v>18425.8</v>
      </c>
    </row>
    <row r="479" spans="1:4" x14ac:dyDescent="0.35">
      <c r="A479" t="s">
        <v>524</v>
      </c>
      <c r="B479">
        <v>20215</v>
      </c>
      <c r="C479">
        <f t="shared" si="18"/>
        <v>4636.2</v>
      </c>
      <c r="D479">
        <f t="shared" si="19"/>
        <v>24851.200000000001</v>
      </c>
    </row>
    <row r="480" spans="1:4" x14ac:dyDescent="0.35">
      <c r="A480" t="s">
        <v>525</v>
      </c>
      <c r="B480">
        <v>25809</v>
      </c>
      <c r="C480">
        <f t="shared" si="18"/>
        <v>7932</v>
      </c>
      <c r="D480">
        <f t="shared" si="19"/>
        <v>33741</v>
      </c>
    </row>
    <row r="481" spans="1:4" x14ac:dyDescent="0.35">
      <c r="A481" t="s">
        <v>526</v>
      </c>
      <c r="B481">
        <v>18980</v>
      </c>
      <c r="C481">
        <f t="shared" si="18"/>
        <v>7976.1</v>
      </c>
      <c r="D481">
        <f t="shared" si="19"/>
        <v>26956.1</v>
      </c>
    </row>
    <row r="482" spans="1:4" x14ac:dyDescent="0.35">
      <c r="A482" t="s">
        <v>527</v>
      </c>
      <c r="B482">
        <v>24250</v>
      </c>
      <c r="C482">
        <f t="shared" si="18"/>
        <v>5174.1000000000004</v>
      </c>
      <c r="D482">
        <f t="shared" si="19"/>
        <v>29424.1</v>
      </c>
    </row>
    <row r="483" spans="1:4" x14ac:dyDescent="0.35">
      <c r="A483" t="s">
        <v>528</v>
      </c>
      <c r="B483">
        <v>13709</v>
      </c>
      <c r="C483">
        <f t="shared" si="18"/>
        <v>4537.5</v>
      </c>
      <c r="D483">
        <f t="shared" si="19"/>
        <v>18246.5</v>
      </c>
    </row>
    <row r="484" spans="1:4" x14ac:dyDescent="0.35">
      <c r="A484" t="s">
        <v>529</v>
      </c>
      <c r="B484">
        <v>16062</v>
      </c>
      <c r="C484">
        <f t="shared" si="18"/>
        <v>7226.4</v>
      </c>
      <c r="D484">
        <f t="shared" si="19"/>
        <v>23288.400000000001</v>
      </c>
    </row>
    <row r="485" spans="1:4" x14ac:dyDescent="0.35">
      <c r="A485" t="s">
        <v>530</v>
      </c>
      <c r="B485">
        <v>15020</v>
      </c>
      <c r="C485">
        <f t="shared" si="18"/>
        <v>4100.1000000000004</v>
      </c>
      <c r="D485">
        <f t="shared" si="19"/>
        <v>19120.099999999999</v>
      </c>
    </row>
    <row r="486" spans="1:4" x14ac:dyDescent="0.35">
      <c r="A486" t="s">
        <v>531</v>
      </c>
      <c r="B486">
        <v>14280</v>
      </c>
      <c r="C486">
        <f t="shared" si="18"/>
        <v>4038.6</v>
      </c>
      <c r="D486">
        <f t="shared" si="19"/>
        <v>18318.599999999999</v>
      </c>
    </row>
    <row r="487" spans="1:4" x14ac:dyDescent="0.35">
      <c r="A487" t="s">
        <v>532</v>
      </c>
      <c r="B487">
        <v>13812</v>
      </c>
      <c r="C487">
        <f t="shared" si="18"/>
        <v>4312.5</v>
      </c>
      <c r="D487">
        <f t="shared" si="19"/>
        <v>18124.5</v>
      </c>
    </row>
    <row r="488" spans="1:4" x14ac:dyDescent="0.35">
      <c r="A488" t="s">
        <v>533</v>
      </c>
      <c r="B488">
        <v>16880</v>
      </c>
      <c r="C488">
        <f t="shared" si="18"/>
        <v>7642.8</v>
      </c>
      <c r="D488">
        <f t="shared" si="19"/>
        <v>24522.799999999999</v>
      </c>
    </row>
    <row r="489" spans="1:4" x14ac:dyDescent="0.35">
      <c r="A489" t="s">
        <v>534</v>
      </c>
      <c r="B489">
        <v>24973</v>
      </c>
      <c r="C489">
        <f t="shared" si="18"/>
        <v>4637.7</v>
      </c>
      <c r="D489">
        <f t="shared" si="19"/>
        <v>29610.7</v>
      </c>
    </row>
    <row r="490" spans="1:4" x14ac:dyDescent="0.35">
      <c r="A490" t="s">
        <v>535</v>
      </c>
      <c r="B490">
        <v>13354</v>
      </c>
      <c r="C490">
        <f t="shared" si="18"/>
        <v>4079.1</v>
      </c>
      <c r="D490">
        <f t="shared" si="19"/>
        <v>17433.099999999999</v>
      </c>
    </row>
    <row r="491" spans="1:4" x14ac:dyDescent="0.35">
      <c r="A491" t="s">
        <v>536</v>
      </c>
      <c r="B491">
        <v>19003</v>
      </c>
      <c r="C491">
        <f t="shared" si="18"/>
        <v>5286</v>
      </c>
      <c r="D491">
        <f t="shared" si="19"/>
        <v>24289</v>
      </c>
    </row>
    <row r="492" spans="1:4" x14ac:dyDescent="0.35">
      <c r="A492" t="s">
        <v>537</v>
      </c>
      <c r="B492">
        <v>24983</v>
      </c>
      <c r="C492">
        <f t="shared" si="18"/>
        <v>5244.6</v>
      </c>
      <c r="D492">
        <f t="shared" si="19"/>
        <v>30227.599999999999</v>
      </c>
    </row>
    <row r="493" spans="1:4" x14ac:dyDescent="0.35">
      <c r="A493" t="s">
        <v>538</v>
      </c>
      <c r="B493">
        <v>25905</v>
      </c>
      <c r="C493">
        <f t="shared" si="18"/>
        <v>4395</v>
      </c>
      <c r="D493">
        <f t="shared" si="19"/>
        <v>30300</v>
      </c>
    </row>
    <row r="494" spans="1:4" x14ac:dyDescent="0.35">
      <c r="A494" t="s">
        <v>539</v>
      </c>
      <c r="B494">
        <v>13637</v>
      </c>
      <c r="C494">
        <f t="shared" si="18"/>
        <v>7785.6</v>
      </c>
      <c r="D494">
        <f t="shared" si="19"/>
        <v>21422.6</v>
      </c>
    </row>
    <row r="495" spans="1:4" x14ac:dyDescent="0.35">
      <c r="A495" t="s">
        <v>540</v>
      </c>
      <c r="B495">
        <v>17603</v>
      </c>
      <c r="C495">
        <f t="shared" si="18"/>
        <v>5400.6</v>
      </c>
      <c r="D495">
        <f t="shared" si="19"/>
        <v>23003.599999999999</v>
      </c>
    </row>
    <row r="496" spans="1:4" x14ac:dyDescent="0.35">
      <c r="A496" t="s">
        <v>541</v>
      </c>
      <c r="B496">
        <v>23452</v>
      </c>
      <c r="C496">
        <f t="shared" si="18"/>
        <v>4580.1000000000004</v>
      </c>
      <c r="D496">
        <f t="shared" si="19"/>
        <v>28032.1</v>
      </c>
    </row>
    <row r="497" spans="1:4" x14ac:dyDescent="0.35">
      <c r="A497" t="s">
        <v>542</v>
      </c>
      <c r="B497">
        <v>26172</v>
      </c>
      <c r="C497">
        <f t="shared" si="18"/>
        <v>7733.1</v>
      </c>
      <c r="D497">
        <f t="shared" si="19"/>
        <v>33905.1</v>
      </c>
    </row>
    <row r="498" spans="1:4" x14ac:dyDescent="0.35">
      <c r="A498" t="s">
        <v>543</v>
      </c>
      <c r="B498">
        <v>23466</v>
      </c>
      <c r="C498">
        <f t="shared" si="18"/>
        <v>5375.4</v>
      </c>
      <c r="D498">
        <f t="shared" si="19"/>
        <v>28841.4</v>
      </c>
    </row>
    <row r="499" spans="1:4" x14ac:dyDescent="0.35">
      <c r="A499" t="s">
        <v>544</v>
      </c>
      <c r="B499">
        <v>26433</v>
      </c>
      <c r="C499">
        <f t="shared" si="18"/>
        <v>6310.8</v>
      </c>
      <c r="D499">
        <f t="shared" si="19"/>
        <v>32743.8</v>
      </c>
    </row>
    <row r="500" spans="1:4" x14ac:dyDescent="0.35">
      <c r="A500" t="s">
        <v>545</v>
      </c>
      <c r="B500">
        <v>25527</v>
      </c>
      <c r="C500">
        <f t="shared" si="18"/>
        <v>7586.7</v>
      </c>
      <c r="D500">
        <f t="shared" si="19"/>
        <v>33113.699999999997</v>
      </c>
    </row>
    <row r="501" spans="1:4" x14ac:dyDescent="0.35">
      <c r="A501" t="s">
        <v>546</v>
      </c>
      <c r="B501">
        <v>16641</v>
      </c>
      <c r="C501">
        <f t="shared" si="18"/>
        <v>7456.8</v>
      </c>
      <c r="D501">
        <f t="shared" si="19"/>
        <v>24097.8</v>
      </c>
    </row>
    <row r="502" spans="1:4" x14ac:dyDescent="0.35">
      <c r="A502" t="s">
        <v>547</v>
      </c>
      <c r="B502">
        <v>17850</v>
      </c>
      <c r="C502">
        <f t="shared" si="18"/>
        <v>8102.1</v>
      </c>
      <c r="D502">
        <f t="shared" si="19"/>
        <v>25952.1</v>
      </c>
    </row>
    <row r="503" spans="1:4" x14ac:dyDescent="0.35">
      <c r="A503" t="s">
        <v>548</v>
      </c>
      <c r="B503">
        <v>12127</v>
      </c>
      <c r="C503">
        <f t="shared" si="18"/>
        <v>8194.7999999999993</v>
      </c>
      <c r="D503">
        <f t="shared" si="19"/>
        <v>20321.8</v>
      </c>
    </row>
    <row r="504" spans="1:4" x14ac:dyDescent="0.35">
      <c r="A504" t="s">
        <v>549</v>
      </c>
      <c r="B504">
        <v>15530</v>
      </c>
      <c r="C504">
        <f t="shared" si="18"/>
        <v>4207.2</v>
      </c>
      <c r="D504">
        <f t="shared" si="19"/>
        <v>19737.2</v>
      </c>
    </row>
    <row r="505" spans="1:4" x14ac:dyDescent="0.35">
      <c r="A505" t="s">
        <v>550</v>
      </c>
      <c r="B505">
        <v>14976</v>
      </c>
      <c r="C505">
        <f t="shared" si="18"/>
        <v>6010.5</v>
      </c>
      <c r="D505">
        <f t="shared" si="19"/>
        <v>20986.5</v>
      </c>
    </row>
    <row r="506" spans="1:4" x14ac:dyDescent="0.35">
      <c r="A506" t="s">
        <v>551</v>
      </c>
      <c r="B506">
        <v>19007</v>
      </c>
      <c r="C506">
        <f t="shared" si="18"/>
        <v>7512.3</v>
      </c>
      <c r="D506">
        <f t="shared" si="19"/>
        <v>26519.3</v>
      </c>
    </row>
    <row r="507" spans="1:4" x14ac:dyDescent="0.35">
      <c r="A507" t="s">
        <v>552</v>
      </c>
      <c r="B507">
        <v>23193</v>
      </c>
      <c r="C507">
        <f t="shared" si="18"/>
        <v>7586.4</v>
      </c>
      <c r="D507">
        <f t="shared" si="19"/>
        <v>30779.4</v>
      </c>
    </row>
    <row r="508" spans="1:4" x14ac:dyDescent="0.35">
      <c r="A508" t="s">
        <v>553</v>
      </c>
      <c r="B508">
        <v>15065</v>
      </c>
      <c r="C508">
        <f t="shared" si="18"/>
        <v>5051.3999999999996</v>
      </c>
      <c r="D508">
        <f t="shared" si="19"/>
        <v>20116.400000000001</v>
      </c>
    </row>
    <row r="509" spans="1:4" x14ac:dyDescent="0.35">
      <c r="A509" t="s">
        <v>554</v>
      </c>
      <c r="B509">
        <v>18979</v>
      </c>
      <c r="C509">
        <f t="shared" ref="C509:C572" si="20">B394*30/100</f>
        <v>4389.6000000000004</v>
      </c>
      <c r="D509">
        <f t="shared" si="19"/>
        <v>23368.6</v>
      </c>
    </row>
    <row r="510" spans="1:4" x14ac:dyDescent="0.35">
      <c r="A510" t="s">
        <v>555</v>
      </c>
      <c r="B510">
        <v>25560</v>
      </c>
      <c r="C510">
        <f t="shared" si="20"/>
        <v>4994.7</v>
      </c>
      <c r="D510">
        <f t="shared" si="19"/>
        <v>30554.7</v>
      </c>
    </row>
    <row r="511" spans="1:4" x14ac:dyDescent="0.35">
      <c r="A511" t="s">
        <v>556</v>
      </c>
      <c r="B511">
        <v>24620</v>
      </c>
      <c r="C511">
        <f t="shared" si="20"/>
        <v>8080.8</v>
      </c>
      <c r="D511">
        <f t="shared" si="19"/>
        <v>32700.799999999999</v>
      </c>
    </row>
    <row r="512" spans="1:4" x14ac:dyDescent="0.35">
      <c r="A512" t="s">
        <v>557</v>
      </c>
      <c r="B512">
        <v>17548</v>
      </c>
      <c r="C512">
        <f t="shared" si="20"/>
        <v>6222</v>
      </c>
      <c r="D512">
        <f t="shared" si="19"/>
        <v>23770</v>
      </c>
    </row>
    <row r="513" spans="1:4" x14ac:dyDescent="0.35">
      <c r="A513" t="s">
        <v>558</v>
      </c>
      <c r="B513">
        <v>15729</v>
      </c>
      <c r="C513">
        <f t="shared" si="20"/>
        <v>5745.3</v>
      </c>
      <c r="D513">
        <f t="shared" si="19"/>
        <v>21474.3</v>
      </c>
    </row>
    <row r="514" spans="1:4" x14ac:dyDescent="0.35">
      <c r="A514" t="s">
        <v>559</v>
      </c>
      <c r="B514">
        <v>15549</v>
      </c>
      <c r="C514">
        <f t="shared" si="20"/>
        <v>6214.5</v>
      </c>
      <c r="D514">
        <f t="shared" si="19"/>
        <v>21763.5</v>
      </c>
    </row>
    <row r="515" spans="1:4" x14ac:dyDescent="0.35">
      <c r="A515" t="s">
        <v>560</v>
      </c>
      <c r="B515">
        <v>13932</v>
      </c>
      <c r="C515">
        <f t="shared" si="20"/>
        <v>4095</v>
      </c>
      <c r="D515">
        <f t="shared" ref="D515:D578" si="21">B515+C515</f>
        <v>18027</v>
      </c>
    </row>
    <row r="516" spans="1:4" x14ac:dyDescent="0.35">
      <c r="A516" t="s">
        <v>561</v>
      </c>
      <c r="B516">
        <v>23937</v>
      </c>
      <c r="C516">
        <f t="shared" si="20"/>
        <v>7338.9</v>
      </c>
      <c r="D516">
        <f t="shared" si="21"/>
        <v>31275.9</v>
      </c>
    </row>
    <row r="517" spans="1:4" x14ac:dyDescent="0.35">
      <c r="A517" t="s">
        <v>562</v>
      </c>
      <c r="B517">
        <v>12851</v>
      </c>
      <c r="C517">
        <f t="shared" si="20"/>
        <v>6103.2</v>
      </c>
      <c r="D517">
        <f t="shared" si="21"/>
        <v>18954.2</v>
      </c>
    </row>
    <row r="518" spans="1:4" x14ac:dyDescent="0.35">
      <c r="A518" t="s">
        <v>563</v>
      </c>
      <c r="B518">
        <v>19407</v>
      </c>
      <c r="C518">
        <f t="shared" si="20"/>
        <v>5037.8999999999996</v>
      </c>
      <c r="D518">
        <f t="shared" si="21"/>
        <v>24444.9</v>
      </c>
    </row>
    <row r="519" spans="1:4" x14ac:dyDescent="0.35">
      <c r="A519" t="s">
        <v>564</v>
      </c>
      <c r="B519">
        <v>17570</v>
      </c>
      <c r="C519">
        <f t="shared" si="20"/>
        <v>8206.5</v>
      </c>
      <c r="D519">
        <f t="shared" si="21"/>
        <v>25776.5</v>
      </c>
    </row>
    <row r="520" spans="1:4" x14ac:dyDescent="0.35">
      <c r="A520" t="s">
        <v>565</v>
      </c>
      <c r="B520">
        <v>24852</v>
      </c>
      <c r="C520">
        <f t="shared" si="20"/>
        <v>7594.2</v>
      </c>
      <c r="D520">
        <f t="shared" si="21"/>
        <v>32446.2</v>
      </c>
    </row>
    <row r="521" spans="1:4" x14ac:dyDescent="0.35">
      <c r="A521" t="s">
        <v>566</v>
      </c>
      <c r="B521">
        <v>13111</v>
      </c>
      <c r="C521">
        <f t="shared" si="20"/>
        <v>4020.6</v>
      </c>
      <c r="D521">
        <f t="shared" si="21"/>
        <v>17131.599999999999</v>
      </c>
    </row>
    <row r="522" spans="1:4" x14ac:dyDescent="0.35">
      <c r="A522" t="s">
        <v>567</v>
      </c>
      <c r="B522">
        <v>24930</v>
      </c>
      <c r="C522">
        <f t="shared" si="20"/>
        <v>4822.8</v>
      </c>
      <c r="D522">
        <f t="shared" si="21"/>
        <v>29752.799999999999</v>
      </c>
    </row>
    <row r="523" spans="1:4" x14ac:dyDescent="0.35">
      <c r="A523" t="s">
        <v>568</v>
      </c>
      <c r="B523">
        <v>17368</v>
      </c>
      <c r="C523">
        <f t="shared" si="20"/>
        <v>4256.7</v>
      </c>
      <c r="D523">
        <f t="shared" si="21"/>
        <v>21624.7</v>
      </c>
    </row>
    <row r="524" spans="1:4" x14ac:dyDescent="0.35">
      <c r="A524" t="s">
        <v>569</v>
      </c>
      <c r="B524">
        <v>25565</v>
      </c>
      <c r="C524">
        <f t="shared" si="20"/>
        <v>4604.1000000000004</v>
      </c>
      <c r="D524">
        <f t="shared" si="21"/>
        <v>30169.1</v>
      </c>
    </row>
    <row r="525" spans="1:4" x14ac:dyDescent="0.35">
      <c r="A525" t="s">
        <v>570</v>
      </c>
      <c r="B525">
        <v>15509</v>
      </c>
      <c r="C525">
        <f t="shared" si="20"/>
        <v>4255.2</v>
      </c>
      <c r="D525">
        <f t="shared" si="21"/>
        <v>19764.2</v>
      </c>
    </row>
    <row r="526" spans="1:4" x14ac:dyDescent="0.35">
      <c r="A526" t="s">
        <v>571</v>
      </c>
      <c r="B526">
        <v>15489</v>
      </c>
      <c r="C526">
        <f t="shared" si="20"/>
        <v>4230.3</v>
      </c>
      <c r="D526">
        <f t="shared" si="21"/>
        <v>19719.3</v>
      </c>
    </row>
    <row r="527" spans="1:4" x14ac:dyDescent="0.35">
      <c r="A527" t="s">
        <v>572</v>
      </c>
      <c r="B527">
        <v>20951</v>
      </c>
      <c r="C527">
        <f t="shared" si="20"/>
        <v>4968.8999999999996</v>
      </c>
      <c r="D527">
        <f t="shared" si="21"/>
        <v>25919.9</v>
      </c>
    </row>
    <row r="528" spans="1:4" x14ac:dyDescent="0.35">
      <c r="A528" t="s">
        <v>573</v>
      </c>
      <c r="B528">
        <v>26300</v>
      </c>
      <c r="C528">
        <f t="shared" si="20"/>
        <v>5890.8</v>
      </c>
      <c r="D528">
        <f t="shared" si="21"/>
        <v>32190.799999999999</v>
      </c>
    </row>
    <row r="529" spans="1:4" x14ac:dyDescent="0.35">
      <c r="A529" t="s">
        <v>574</v>
      </c>
      <c r="B529">
        <v>15542</v>
      </c>
      <c r="C529">
        <f t="shared" si="20"/>
        <v>4436.7</v>
      </c>
      <c r="D529">
        <f t="shared" si="21"/>
        <v>19978.7</v>
      </c>
    </row>
    <row r="530" spans="1:4" x14ac:dyDescent="0.35">
      <c r="A530" t="s">
        <v>575</v>
      </c>
      <c r="B530">
        <v>17667</v>
      </c>
      <c r="C530">
        <f t="shared" si="20"/>
        <v>7847.4</v>
      </c>
      <c r="D530">
        <f t="shared" si="21"/>
        <v>25514.400000000001</v>
      </c>
    </row>
    <row r="531" spans="1:4" x14ac:dyDescent="0.35">
      <c r="A531" t="s">
        <v>576</v>
      </c>
      <c r="B531">
        <v>15563</v>
      </c>
      <c r="C531">
        <f t="shared" si="20"/>
        <v>8008.2</v>
      </c>
      <c r="D531">
        <f t="shared" si="21"/>
        <v>23571.200000000001</v>
      </c>
    </row>
    <row r="532" spans="1:4" x14ac:dyDescent="0.35">
      <c r="A532" t="s">
        <v>577</v>
      </c>
      <c r="B532">
        <v>19353</v>
      </c>
      <c r="C532">
        <f t="shared" si="20"/>
        <v>6945.6</v>
      </c>
      <c r="D532">
        <f t="shared" si="21"/>
        <v>26298.6</v>
      </c>
    </row>
    <row r="533" spans="1:4" x14ac:dyDescent="0.35">
      <c r="A533" t="s">
        <v>578</v>
      </c>
      <c r="B533">
        <v>16665</v>
      </c>
      <c r="C533">
        <f t="shared" si="20"/>
        <v>6081.3</v>
      </c>
      <c r="D533">
        <f t="shared" si="21"/>
        <v>22746.3</v>
      </c>
    </row>
    <row r="534" spans="1:4" x14ac:dyDescent="0.35">
      <c r="A534" t="s">
        <v>579</v>
      </c>
      <c r="B534">
        <v>14012</v>
      </c>
      <c r="C534">
        <f t="shared" si="20"/>
        <v>4943.3999999999996</v>
      </c>
      <c r="D534">
        <f t="shared" si="21"/>
        <v>18955.400000000001</v>
      </c>
    </row>
    <row r="535" spans="1:4" x14ac:dyDescent="0.35">
      <c r="A535" t="s">
        <v>580</v>
      </c>
      <c r="B535">
        <v>13790</v>
      </c>
      <c r="C535">
        <f t="shared" si="20"/>
        <v>4649.7</v>
      </c>
      <c r="D535">
        <f t="shared" si="21"/>
        <v>18439.7</v>
      </c>
    </row>
    <row r="536" spans="1:4" x14ac:dyDescent="0.35">
      <c r="A536" t="s">
        <v>581</v>
      </c>
      <c r="B536">
        <v>27218</v>
      </c>
      <c r="C536">
        <f t="shared" si="20"/>
        <v>6123</v>
      </c>
      <c r="D536">
        <f t="shared" si="21"/>
        <v>33341</v>
      </c>
    </row>
    <row r="537" spans="1:4" x14ac:dyDescent="0.35">
      <c r="A537" t="s">
        <v>582</v>
      </c>
      <c r="B537">
        <v>15579</v>
      </c>
      <c r="C537">
        <f t="shared" si="20"/>
        <v>4422</v>
      </c>
      <c r="D537">
        <f t="shared" si="21"/>
        <v>20001</v>
      </c>
    </row>
    <row r="538" spans="1:4" x14ac:dyDescent="0.35">
      <c r="A538" t="s">
        <v>583</v>
      </c>
      <c r="B538">
        <v>20328</v>
      </c>
      <c r="C538">
        <f t="shared" si="20"/>
        <v>7285.5</v>
      </c>
      <c r="D538">
        <f t="shared" si="21"/>
        <v>27613.5</v>
      </c>
    </row>
    <row r="539" spans="1:4" x14ac:dyDescent="0.35">
      <c r="A539" t="s">
        <v>584</v>
      </c>
      <c r="B539">
        <v>25367</v>
      </c>
      <c r="C539">
        <f t="shared" si="20"/>
        <v>7491</v>
      </c>
      <c r="D539">
        <f t="shared" si="21"/>
        <v>32858</v>
      </c>
    </row>
    <row r="540" spans="1:4" x14ac:dyDescent="0.35">
      <c r="A540" t="s">
        <v>585</v>
      </c>
      <c r="B540">
        <v>17122</v>
      </c>
      <c r="C540">
        <f t="shared" si="20"/>
        <v>5715.3</v>
      </c>
      <c r="D540">
        <f t="shared" si="21"/>
        <v>22837.3</v>
      </c>
    </row>
    <row r="541" spans="1:4" x14ac:dyDescent="0.35">
      <c r="A541" t="s">
        <v>586</v>
      </c>
      <c r="B541">
        <v>19154</v>
      </c>
      <c r="C541">
        <f t="shared" si="20"/>
        <v>5471.7</v>
      </c>
      <c r="D541">
        <f t="shared" si="21"/>
        <v>24625.7</v>
      </c>
    </row>
    <row r="542" spans="1:4" x14ac:dyDescent="0.35">
      <c r="A542" t="s">
        <v>587</v>
      </c>
      <c r="B542">
        <v>23518</v>
      </c>
      <c r="C542">
        <f t="shared" si="20"/>
        <v>8274.2999999999993</v>
      </c>
      <c r="D542">
        <f t="shared" si="21"/>
        <v>31792.3</v>
      </c>
    </row>
    <row r="543" spans="1:4" x14ac:dyDescent="0.35">
      <c r="A543" t="s">
        <v>588</v>
      </c>
      <c r="B543">
        <v>14671</v>
      </c>
      <c r="C543">
        <f t="shared" si="20"/>
        <v>4978.8</v>
      </c>
      <c r="D543">
        <f t="shared" si="21"/>
        <v>19649.8</v>
      </c>
    </row>
    <row r="544" spans="1:4" x14ac:dyDescent="0.35">
      <c r="A544" t="s">
        <v>589</v>
      </c>
      <c r="B544">
        <v>25233</v>
      </c>
      <c r="C544">
        <f t="shared" si="20"/>
        <v>6129.6</v>
      </c>
      <c r="D544">
        <f t="shared" si="21"/>
        <v>31362.6</v>
      </c>
    </row>
    <row r="545" spans="1:4" x14ac:dyDescent="0.35">
      <c r="A545" t="s">
        <v>590</v>
      </c>
      <c r="B545">
        <v>15546</v>
      </c>
      <c r="C545">
        <f t="shared" si="20"/>
        <v>3928.5</v>
      </c>
      <c r="D545">
        <f t="shared" si="21"/>
        <v>19474.5</v>
      </c>
    </row>
    <row r="546" spans="1:4" x14ac:dyDescent="0.35">
      <c r="A546" t="s">
        <v>591</v>
      </c>
      <c r="B546">
        <v>26401</v>
      </c>
      <c r="C546">
        <f t="shared" si="20"/>
        <v>4558.5</v>
      </c>
      <c r="D546">
        <f t="shared" si="21"/>
        <v>30959.5</v>
      </c>
    </row>
    <row r="547" spans="1:4" x14ac:dyDescent="0.35">
      <c r="A547" t="s">
        <v>592</v>
      </c>
      <c r="B547">
        <v>15886</v>
      </c>
      <c r="C547">
        <f t="shared" si="20"/>
        <v>7613.1</v>
      </c>
      <c r="D547">
        <f t="shared" si="21"/>
        <v>23499.1</v>
      </c>
    </row>
    <row r="548" spans="1:4" x14ac:dyDescent="0.35">
      <c r="A548" t="s">
        <v>593</v>
      </c>
      <c r="B548">
        <v>27373</v>
      </c>
      <c r="C548">
        <f t="shared" si="20"/>
        <v>6005.1</v>
      </c>
      <c r="D548">
        <f t="shared" si="21"/>
        <v>33378.1</v>
      </c>
    </row>
    <row r="549" spans="1:4" x14ac:dyDescent="0.35">
      <c r="A549" t="s">
        <v>594</v>
      </c>
      <c r="B549">
        <v>24613</v>
      </c>
      <c r="C549">
        <f t="shared" si="20"/>
        <v>4961.1000000000004</v>
      </c>
      <c r="D549">
        <f t="shared" si="21"/>
        <v>29574.1</v>
      </c>
    </row>
    <row r="550" spans="1:4" x14ac:dyDescent="0.35">
      <c r="A550" t="s">
        <v>595</v>
      </c>
      <c r="B550">
        <v>19039</v>
      </c>
      <c r="C550">
        <f t="shared" si="20"/>
        <v>5627.1</v>
      </c>
      <c r="D550">
        <f t="shared" si="21"/>
        <v>24666.1</v>
      </c>
    </row>
    <row r="551" spans="1:4" x14ac:dyDescent="0.35">
      <c r="A551" t="s">
        <v>596</v>
      </c>
      <c r="B551">
        <v>25662</v>
      </c>
      <c r="C551">
        <f t="shared" si="20"/>
        <v>3654.3</v>
      </c>
      <c r="D551">
        <f t="shared" si="21"/>
        <v>29316.3</v>
      </c>
    </row>
    <row r="552" spans="1:4" x14ac:dyDescent="0.35">
      <c r="A552" t="s">
        <v>597</v>
      </c>
      <c r="B552">
        <v>16202</v>
      </c>
      <c r="C552">
        <f t="shared" si="20"/>
        <v>4582.2</v>
      </c>
      <c r="D552">
        <f t="shared" si="21"/>
        <v>20784.2</v>
      </c>
    </row>
    <row r="553" spans="1:4" x14ac:dyDescent="0.35">
      <c r="A553" t="s">
        <v>598</v>
      </c>
      <c r="B553">
        <v>17167</v>
      </c>
      <c r="C553">
        <f t="shared" si="20"/>
        <v>4614.6000000000004</v>
      </c>
      <c r="D553">
        <f t="shared" si="21"/>
        <v>21781.599999999999</v>
      </c>
    </row>
    <row r="554" spans="1:4" x14ac:dyDescent="0.35">
      <c r="A554" t="s">
        <v>599</v>
      </c>
      <c r="B554">
        <v>15530</v>
      </c>
      <c r="C554">
        <f t="shared" si="20"/>
        <v>4293</v>
      </c>
      <c r="D554">
        <f t="shared" si="21"/>
        <v>19823</v>
      </c>
    </row>
    <row r="555" spans="1:4" x14ac:dyDescent="0.35">
      <c r="A555" t="s">
        <v>600</v>
      </c>
      <c r="B555">
        <v>15136</v>
      </c>
      <c r="C555">
        <f t="shared" si="20"/>
        <v>5429.7</v>
      </c>
      <c r="D555">
        <f t="shared" si="21"/>
        <v>20565.7</v>
      </c>
    </row>
    <row r="556" spans="1:4" x14ac:dyDescent="0.35">
      <c r="A556" t="s">
        <v>601</v>
      </c>
      <c r="B556">
        <v>14317</v>
      </c>
      <c r="C556">
        <f t="shared" si="20"/>
        <v>6093.6</v>
      </c>
      <c r="D556">
        <f t="shared" si="21"/>
        <v>20410.599999999999</v>
      </c>
    </row>
    <row r="557" spans="1:4" x14ac:dyDescent="0.35">
      <c r="A557" t="s">
        <v>602</v>
      </c>
      <c r="B557">
        <v>19924</v>
      </c>
      <c r="C557">
        <f t="shared" si="20"/>
        <v>5398.2</v>
      </c>
      <c r="D557">
        <f t="shared" si="21"/>
        <v>25322.2</v>
      </c>
    </row>
    <row r="558" spans="1:4" x14ac:dyDescent="0.35">
      <c r="A558" t="s">
        <v>603</v>
      </c>
      <c r="B558">
        <v>15382</v>
      </c>
      <c r="C558">
        <f t="shared" si="20"/>
        <v>4552.8</v>
      </c>
      <c r="D558">
        <f t="shared" si="21"/>
        <v>19934.8</v>
      </c>
    </row>
    <row r="559" spans="1:4" x14ac:dyDescent="0.35">
      <c r="A559" t="s">
        <v>604</v>
      </c>
      <c r="B559">
        <v>21100</v>
      </c>
      <c r="C559">
        <f t="shared" si="20"/>
        <v>4638.6000000000004</v>
      </c>
      <c r="D559">
        <f t="shared" si="21"/>
        <v>25738.6</v>
      </c>
    </row>
    <row r="560" spans="1:4" x14ac:dyDescent="0.35">
      <c r="A560" t="s">
        <v>605</v>
      </c>
      <c r="B560">
        <v>13476</v>
      </c>
      <c r="C560">
        <f t="shared" si="20"/>
        <v>4549.5</v>
      </c>
      <c r="D560">
        <f t="shared" si="21"/>
        <v>18025.5</v>
      </c>
    </row>
    <row r="561" spans="1:4" x14ac:dyDescent="0.35">
      <c r="A561" t="s">
        <v>606</v>
      </c>
      <c r="B561">
        <v>23570</v>
      </c>
      <c r="C561">
        <f t="shared" si="20"/>
        <v>5016.8999999999996</v>
      </c>
      <c r="D561">
        <f t="shared" si="21"/>
        <v>28586.9</v>
      </c>
    </row>
    <row r="562" spans="1:4" x14ac:dyDescent="0.35">
      <c r="A562" t="s">
        <v>607</v>
      </c>
      <c r="B562">
        <v>23999</v>
      </c>
      <c r="C562">
        <f t="shared" si="20"/>
        <v>8012.7</v>
      </c>
      <c r="D562">
        <f t="shared" si="21"/>
        <v>32011.7</v>
      </c>
    </row>
    <row r="563" spans="1:4" x14ac:dyDescent="0.35">
      <c r="A563" t="s">
        <v>608</v>
      </c>
      <c r="B563">
        <v>25858</v>
      </c>
      <c r="C563">
        <f t="shared" si="20"/>
        <v>4697.1000000000004</v>
      </c>
      <c r="D563">
        <f t="shared" si="21"/>
        <v>30555.1</v>
      </c>
    </row>
    <row r="564" spans="1:4" x14ac:dyDescent="0.35">
      <c r="A564" t="s">
        <v>609</v>
      </c>
      <c r="B564">
        <v>18401</v>
      </c>
      <c r="C564">
        <f t="shared" si="20"/>
        <v>5884.5</v>
      </c>
      <c r="D564">
        <f t="shared" si="21"/>
        <v>24285.5</v>
      </c>
    </row>
    <row r="565" spans="1:4" x14ac:dyDescent="0.35">
      <c r="A565" t="s">
        <v>610</v>
      </c>
      <c r="B565">
        <v>19675</v>
      </c>
      <c r="C565">
        <f t="shared" si="20"/>
        <v>5026.8</v>
      </c>
      <c r="D565">
        <f t="shared" si="21"/>
        <v>24701.8</v>
      </c>
    </row>
    <row r="566" spans="1:4" x14ac:dyDescent="0.35">
      <c r="A566" t="s">
        <v>611</v>
      </c>
      <c r="B566">
        <v>18419</v>
      </c>
      <c r="C566">
        <f t="shared" si="20"/>
        <v>7408.8</v>
      </c>
      <c r="D566">
        <f t="shared" si="21"/>
        <v>25827.8</v>
      </c>
    </row>
    <row r="567" spans="1:4" x14ac:dyDescent="0.35">
      <c r="A567" t="s">
        <v>612</v>
      </c>
      <c r="B567">
        <v>13750</v>
      </c>
      <c r="C567">
        <f t="shared" si="20"/>
        <v>6349.8</v>
      </c>
      <c r="D567">
        <f t="shared" si="21"/>
        <v>20099.8</v>
      </c>
    </row>
    <row r="568" spans="1:4" x14ac:dyDescent="0.35">
      <c r="A568" t="s">
        <v>613</v>
      </c>
      <c r="B568">
        <v>16782</v>
      </c>
      <c r="C568">
        <f t="shared" si="20"/>
        <v>5295</v>
      </c>
      <c r="D568">
        <f t="shared" si="21"/>
        <v>22077</v>
      </c>
    </row>
    <row r="569" spans="1:4" x14ac:dyDescent="0.35">
      <c r="A569" t="s">
        <v>614</v>
      </c>
      <c r="B569">
        <v>16764</v>
      </c>
      <c r="C569">
        <f t="shared" si="20"/>
        <v>3851.7</v>
      </c>
      <c r="D569">
        <f t="shared" si="21"/>
        <v>20615.7</v>
      </c>
    </row>
    <row r="570" spans="1:4" x14ac:dyDescent="0.35">
      <c r="A570" t="s">
        <v>615</v>
      </c>
      <c r="B570">
        <v>15726</v>
      </c>
      <c r="C570">
        <f t="shared" si="20"/>
        <v>5701.2</v>
      </c>
      <c r="D570">
        <f t="shared" si="21"/>
        <v>21427.200000000001</v>
      </c>
    </row>
    <row r="571" spans="1:4" x14ac:dyDescent="0.35">
      <c r="A571" t="s">
        <v>616</v>
      </c>
      <c r="B571">
        <v>24808</v>
      </c>
      <c r="C571">
        <f t="shared" si="20"/>
        <v>5826.9</v>
      </c>
      <c r="D571">
        <f t="shared" si="21"/>
        <v>30634.9</v>
      </c>
    </row>
    <row r="572" spans="1:4" x14ac:dyDescent="0.35">
      <c r="A572" t="s">
        <v>617</v>
      </c>
      <c r="B572">
        <v>18594</v>
      </c>
      <c r="C572">
        <f t="shared" si="20"/>
        <v>6477.9</v>
      </c>
      <c r="D572">
        <f t="shared" si="21"/>
        <v>25071.9</v>
      </c>
    </row>
    <row r="573" spans="1:4" x14ac:dyDescent="0.35">
      <c r="A573" t="s">
        <v>618</v>
      </c>
      <c r="B573">
        <v>14477</v>
      </c>
      <c r="C573">
        <f t="shared" ref="C573:C579" si="22">B458*30/100</f>
        <v>7180.5</v>
      </c>
      <c r="D573">
        <f t="shared" si="21"/>
        <v>21657.5</v>
      </c>
    </row>
    <row r="574" spans="1:4" x14ac:dyDescent="0.35">
      <c r="A574" t="s">
        <v>619</v>
      </c>
      <c r="B574">
        <v>20148</v>
      </c>
      <c r="C574">
        <f t="shared" si="22"/>
        <v>5713.5</v>
      </c>
      <c r="D574">
        <f t="shared" si="21"/>
        <v>25861.5</v>
      </c>
    </row>
    <row r="575" spans="1:4" x14ac:dyDescent="0.35">
      <c r="A575" t="s">
        <v>620</v>
      </c>
      <c r="B575">
        <v>14974</v>
      </c>
      <c r="C575">
        <f t="shared" si="22"/>
        <v>6962.7</v>
      </c>
      <c r="D575">
        <f t="shared" si="21"/>
        <v>21936.7</v>
      </c>
    </row>
    <row r="576" spans="1:4" x14ac:dyDescent="0.35">
      <c r="A576" t="s">
        <v>621</v>
      </c>
      <c r="B576">
        <v>13964</v>
      </c>
      <c r="C576">
        <f t="shared" si="22"/>
        <v>3828</v>
      </c>
      <c r="D576">
        <f t="shared" si="21"/>
        <v>17792</v>
      </c>
    </row>
    <row r="577" spans="1:4" x14ac:dyDescent="0.35">
      <c r="A577" t="s">
        <v>622</v>
      </c>
      <c r="B577">
        <v>14385</v>
      </c>
      <c r="C577">
        <f t="shared" si="22"/>
        <v>5566.8</v>
      </c>
      <c r="D577">
        <f t="shared" si="21"/>
        <v>19951.8</v>
      </c>
    </row>
    <row r="578" spans="1:4" x14ac:dyDescent="0.35">
      <c r="A578" t="s">
        <v>623</v>
      </c>
      <c r="B578">
        <v>13707</v>
      </c>
      <c r="C578">
        <f t="shared" si="22"/>
        <v>6471.3</v>
      </c>
      <c r="D578">
        <f t="shared" si="21"/>
        <v>20178.3</v>
      </c>
    </row>
    <row r="579" spans="1:4" x14ac:dyDescent="0.35">
      <c r="A579" t="s">
        <v>624</v>
      </c>
      <c r="B579">
        <v>15075</v>
      </c>
      <c r="C579">
        <f t="shared" si="22"/>
        <v>4322.1000000000004</v>
      </c>
      <c r="D579">
        <f t="shared" ref="D579:D642" si="23">B579+C579</f>
        <v>19397.099999999999</v>
      </c>
    </row>
    <row r="580" spans="1:4" x14ac:dyDescent="0.35">
      <c r="A580" t="s">
        <v>625</v>
      </c>
      <c r="B580">
        <v>25317</v>
      </c>
      <c r="C580">
        <f>B329*10/100</f>
        <v>1975.6</v>
      </c>
      <c r="D580">
        <f t="shared" si="23"/>
        <v>27292.6</v>
      </c>
    </row>
    <row r="581" spans="1:4" x14ac:dyDescent="0.35">
      <c r="A581" t="s">
        <v>626</v>
      </c>
      <c r="B581">
        <v>27505</v>
      </c>
      <c r="C581">
        <f t="shared" ref="C581:C644" si="24">B330*10/100</f>
        <v>1405.3</v>
      </c>
      <c r="D581">
        <f t="shared" si="23"/>
        <v>28910.3</v>
      </c>
    </row>
    <row r="582" spans="1:4" x14ac:dyDescent="0.35">
      <c r="A582" t="s">
        <v>627</v>
      </c>
      <c r="B582">
        <v>14071</v>
      </c>
      <c r="C582">
        <f t="shared" si="24"/>
        <v>2032.4</v>
      </c>
      <c r="D582">
        <f t="shared" si="23"/>
        <v>16103.4</v>
      </c>
    </row>
    <row r="583" spans="1:4" x14ac:dyDescent="0.35">
      <c r="A583" t="s">
        <v>628</v>
      </c>
      <c r="B583">
        <v>14266</v>
      </c>
      <c r="C583">
        <f t="shared" si="24"/>
        <v>1587.3</v>
      </c>
      <c r="D583">
        <f t="shared" si="23"/>
        <v>15853.3</v>
      </c>
    </row>
    <row r="584" spans="1:4" x14ac:dyDescent="0.35">
      <c r="A584" t="s">
        <v>629</v>
      </c>
      <c r="B584">
        <v>20986</v>
      </c>
      <c r="C584">
        <f t="shared" si="24"/>
        <v>1483.6</v>
      </c>
      <c r="D584">
        <f t="shared" si="23"/>
        <v>22469.599999999999</v>
      </c>
    </row>
    <row r="585" spans="1:4" x14ac:dyDescent="0.35">
      <c r="A585" t="s">
        <v>630</v>
      </c>
      <c r="B585">
        <v>18745</v>
      </c>
      <c r="C585">
        <f t="shared" si="24"/>
        <v>2136.6999999999998</v>
      </c>
      <c r="D585">
        <f t="shared" si="23"/>
        <v>20881.7</v>
      </c>
    </row>
    <row r="586" spans="1:4" x14ac:dyDescent="0.35">
      <c r="A586" t="s">
        <v>631</v>
      </c>
      <c r="B586">
        <v>19912</v>
      </c>
      <c r="C586">
        <f t="shared" si="24"/>
        <v>1556.9</v>
      </c>
      <c r="D586">
        <f t="shared" si="23"/>
        <v>21468.9</v>
      </c>
    </row>
    <row r="587" spans="1:4" x14ac:dyDescent="0.35">
      <c r="A587" t="s">
        <v>632</v>
      </c>
      <c r="B587">
        <v>20593</v>
      </c>
      <c r="C587">
        <f t="shared" si="24"/>
        <v>1816.1</v>
      </c>
      <c r="D587">
        <f t="shared" si="23"/>
        <v>22409.1</v>
      </c>
    </row>
    <row r="588" spans="1:4" x14ac:dyDescent="0.35">
      <c r="A588" t="s">
        <v>633</v>
      </c>
      <c r="B588">
        <v>21174</v>
      </c>
      <c r="C588">
        <f t="shared" si="24"/>
        <v>1789.5</v>
      </c>
      <c r="D588">
        <f t="shared" si="23"/>
        <v>22963.5</v>
      </c>
    </row>
    <row r="589" spans="1:4" x14ac:dyDescent="0.35">
      <c r="A589" t="s">
        <v>634</v>
      </c>
      <c r="B589">
        <v>16529</v>
      </c>
      <c r="C589">
        <f t="shared" si="24"/>
        <v>2007.4</v>
      </c>
      <c r="D589">
        <f t="shared" si="23"/>
        <v>18536.400000000001</v>
      </c>
    </row>
    <row r="590" spans="1:4" x14ac:dyDescent="0.35">
      <c r="A590" t="s">
        <v>635</v>
      </c>
      <c r="B590">
        <v>13788</v>
      </c>
      <c r="C590">
        <f t="shared" si="24"/>
        <v>1818.7</v>
      </c>
      <c r="D590">
        <f t="shared" si="23"/>
        <v>15606.7</v>
      </c>
    </row>
    <row r="591" spans="1:4" x14ac:dyDescent="0.35">
      <c r="A591" t="s">
        <v>636</v>
      </c>
      <c r="B591">
        <v>26323</v>
      </c>
      <c r="C591">
        <f t="shared" si="24"/>
        <v>1336.2</v>
      </c>
      <c r="D591">
        <f t="shared" si="23"/>
        <v>27659.200000000001</v>
      </c>
    </row>
    <row r="592" spans="1:4" x14ac:dyDescent="0.35">
      <c r="A592" t="s">
        <v>637</v>
      </c>
      <c r="B592">
        <v>18878</v>
      </c>
      <c r="C592">
        <f t="shared" si="24"/>
        <v>2618.6999999999998</v>
      </c>
      <c r="D592">
        <f t="shared" si="23"/>
        <v>21496.7</v>
      </c>
    </row>
    <row r="593" spans="1:4" x14ac:dyDescent="0.35">
      <c r="A593" t="s">
        <v>638</v>
      </c>
      <c r="B593">
        <v>16782</v>
      </c>
      <c r="C593">
        <f t="shared" si="24"/>
        <v>1858.3</v>
      </c>
      <c r="D593">
        <f t="shared" si="23"/>
        <v>18640.3</v>
      </c>
    </row>
    <row r="594" spans="1:4" x14ac:dyDescent="0.35">
      <c r="A594" t="s">
        <v>639</v>
      </c>
      <c r="B594">
        <v>16256</v>
      </c>
      <c r="C594">
        <f t="shared" si="24"/>
        <v>2435.5</v>
      </c>
      <c r="D594">
        <f t="shared" si="23"/>
        <v>18691.5</v>
      </c>
    </row>
    <row r="595" spans="1:4" x14ac:dyDescent="0.35">
      <c r="A595" t="s">
        <v>640</v>
      </c>
      <c r="B595">
        <v>12319</v>
      </c>
      <c r="C595">
        <f t="shared" si="24"/>
        <v>1788.7</v>
      </c>
      <c r="D595">
        <f t="shared" si="23"/>
        <v>14107.7</v>
      </c>
    </row>
    <row r="596" spans="1:4" x14ac:dyDescent="0.35">
      <c r="A596" t="s">
        <v>641</v>
      </c>
      <c r="B596">
        <v>15520</v>
      </c>
      <c r="C596">
        <f t="shared" si="24"/>
        <v>1362.1</v>
      </c>
      <c r="D596">
        <f t="shared" si="23"/>
        <v>16882.099999999999</v>
      </c>
    </row>
    <row r="597" spans="1:4" x14ac:dyDescent="0.35">
      <c r="A597" t="s">
        <v>642</v>
      </c>
      <c r="B597">
        <v>19986</v>
      </c>
      <c r="C597">
        <f t="shared" si="24"/>
        <v>2067.9</v>
      </c>
      <c r="D597">
        <f t="shared" si="23"/>
        <v>22053.9</v>
      </c>
    </row>
    <row r="598" spans="1:4" x14ac:dyDescent="0.35">
      <c r="A598" t="s">
        <v>643</v>
      </c>
      <c r="B598">
        <v>26911</v>
      </c>
      <c r="C598">
        <f t="shared" si="24"/>
        <v>2571.6</v>
      </c>
      <c r="D598">
        <f t="shared" si="23"/>
        <v>29482.6</v>
      </c>
    </row>
    <row r="599" spans="1:4" x14ac:dyDescent="0.35">
      <c r="A599" t="s">
        <v>644</v>
      </c>
      <c r="B599">
        <v>16249</v>
      </c>
      <c r="C599">
        <f t="shared" si="24"/>
        <v>2130</v>
      </c>
      <c r="D599">
        <f t="shared" si="23"/>
        <v>18379</v>
      </c>
    </row>
    <row r="600" spans="1:4" x14ac:dyDescent="0.35">
      <c r="A600" t="s">
        <v>645</v>
      </c>
      <c r="B600">
        <v>27032</v>
      </c>
      <c r="C600">
        <f t="shared" si="24"/>
        <v>1925.2</v>
      </c>
      <c r="D600">
        <f t="shared" si="23"/>
        <v>28957.200000000001</v>
      </c>
    </row>
    <row r="601" spans="1:4" x14ac:dyDescent="0.35">
      <c r="A601" t="s">
        <v>646</v>
      </c>
      <c r="B601">
        <v>14014</v>
      </c>
      <c r="C601">
        <f t="shared" si="24"/>
        <v>1970.8</v>
      </c>
      <c r="D601">
        <f t="shared" si="23"/>
        <v>15984.8</v>
      </c>
    </row>
    <row r="602" spans="1:4" x14ac:dyDescent="0.35">
      <c r="A602" t="s">
        <v>647</v>
      </c>
      <c r="B602">
        <v>15259</v>
      </c>
      <c r="C602">
        <f t="shared" si="24"/>
        <v>1753.9</v>
      </c>
      <c r="D602">
        <f t="shared" si="23"/>
        <v>17012.900000000001</v>
      </c>
    </row>
    <row r="603" spans="1:4" x14ac:dyDescent="0.35">
      <c r="A603" t="s">
        <v>648</v>
      </c>
      <c r="B603">
        <v>12804</v>
      </c>
      <c r="C603">
        <f t="shared" si="24"/>
        <v>2031.1</v>
      </c>
      <c r="D603">
        <f t="shared" si="23"/>
        <v>14835.1</v>
      </c>
    </row>
    <row r="604" spans="1:4" x14ac:dyDescent="0.35">
      <c r="A604" t="s">
        <v>649</v>
      </c>
      <c r="B604">
        <v>24632</v>
      </c>
      <c r="C604">
        <f t="shared" si="24"/>
        <v>2541.6</v>
      </c>
      <c r="D604">
        <f t="shared" si="23"/>
        <v>27173.599999999999</v>
      </c>
    </row>
    <row r="605" spans="1:4" x14ac:dyDescent="0.35">
      <c r="A605" t="s">
        <v>650</v>
      </c>
      <c r="B605">
        <v>17649</v>
      </c>
      <c r="C605">
        <f t="shared" si="24"/>
        <v>1986.1</v>
      </c>
      <c r="D605">
        <f t="shared" si="23"/>
        <v>19635.099999999999</v>
      </c>
    </row>
    <row r="606" spans="1:4" x14ac:dyDescent="0.35">
      <c r="A606" t="s">
        <v>651</v>
      </c>
      <c r="B606">
        <v>18936</v>
      </c>
      <c r="C606">
        <f t="shared" si="24"/>
        <v>2671.8</v>
      </c>
      <c r="D606">
        <f t="shared" si="23"/>
        <v>21607.8</v>
      </c>
    </row>
    <row r="607" spans="1:4" x14ac:dyDescent="0.35">
      <c r="A607" t="s">
        <v>652</v>
      </c>
      <c r="B607">
        <v>17889</v>
      </c>
      <c r="C607">
        <f t="shared" si="24"/>
        <v>2560.1</v>
      </c>
      <c r="D607">
        <f t="shared" si="23"/>
        <v>20449.099999999999</v>
      </c>
    </row>
    <row r="608" spans="1:4" x14ac:dyDescent="0.35">
      <c r="A608" t="s">
        <v>653</v>
      </c>
      <c r="B608">
        <v>25603</v>
      </c>
      <c r="C608">
        <f t="shared" si="24"/>
        <v>1262.9000000000001</v>
      </c>
      <c r="D608">
        <f t="shared" si="23"/>
        <v>26865.9</v>
      </c>
    </row>
    <row r="609" spans="1:4" x14ac:dyDescent="0.35">
      <c r="A609" t="s">
        <v>654</v>
      </c>
      <c r="B609">
        <v>24084</v>
      </c>
      <c r="C609">
        <f t="shared" si="24"/>
        <v>2140.9</v>
      </c>
      <c r="D609">
        <f t="shared" si="23"/>
        <v>26224.9</v>
      </c>
    </row>
    <row r="610" spans="1:4" x14ac:dyDescent="0.35">
      <c r="A610" t="s">
        <v>655</v>
      </c>
      <c r="B610">
        <v>21378</v>
      </c>
      <c r="C610">
        <f t="shared" si="24"/>
        <v>1491.7</v>
      </c>
      <c r="D610">
        <f t="shared" si="23"/>
        <v>22869.7</v>
      </c>
    </row>
    <row r="611" spans="1:4" x14ac:dyDescent="0.35">
      <c r="A611" t="s">
        <v>656</v>
      </c>
      <c r="B611">
        <v>20265</v>
      </c>
      <c r="C611">
        <f t="shared" si="24"/>
        <v>2479.4</v>
      </c>
      <c r="D611">
        <f t="shared" si="23"/>
        <v>22744.400000000001</v>
      </c>
    </row>
    <row r="612" spans="1:4" x14ac:dyDescent="0.35">
      <c r="A612" t="s">
        <v>657</v>
      </c>
      <c r="B612">
        <v>12153</v>
      </c>
      <c r="C612">
        <f t="shared" si="24"/>
        <v>1499.2</v>
      </c>
      <c r="D612">
        <f t="shared" si="23"/>
        <v>13652.2</v>
      </c>
    </row>
    <row r="613" spans="1:4" x14ac:dyDescent="0.35">
      <c r="A613" t="s">
        <v>658</v>
      </c>
      <c r="B613">
        <v>18985</v>
      </c>
      <c r="C613">
        <f t="shared" si="24"/>
        <v>2475.5</v>
      </c>
      <c r="D613">
        <f t="shared" si="23"/>
        <v>21460.5</v>
      </c>
    </row>
    <row r="614" spans="1:4" x14ac:dyDescent="0.35">
      <c r="A614" t="s">
        <v>659</v>
      </c>
      <c r="B614">
        <v>14155</v>
      </c>
      <c r="C614">
        <f t="shared" si="24"/>
        <v>1300.5999999999999</v>
      </c>
      <c r="D614">
        <f t="shared" si="23"/>
        <v>15455.6</v>
      </c>
    </row>
    <row r="615" spans="1:4" x14ac:dyDescent="0.35">
      <c r="A615" t="s">
        <v>660</v>
      </c>
      <c r="B615">
        <v>27445</v>
      </c>
      <c r="C615">
        <f t="shared" si="24"/>
        <v>1545.4</v>
      </c>
      <c r="D615">
        <f t="shared" si="23"/>
        <v>28990.400000000001</v>
      </c>
    </row>
    <row r="616" spans="1:4" x14ac:dyDescent="0.35">
      <c r="A616" t="s">
        <v>661</v>
      </c>
      <c r="B616">
        <v>24983</v>
      </c>
      <c r="C616">
        <f t="shared" si="24"/>
        <v>2644</v>
      </c>
      <c r="D616">
        <f t="shared" si="23"/>
        <v>27627</v>
      </c>
    </row>
    <row r="617" spans="1:4" x14ac:dyDescent="0.35">
      <c r="A617" t="s">
        <v>662</v>
      </c>
      <c r="B617">
        <v>18632</v>
      </c>
      <c r="C617">
        <f t="shared" si="24"/>
        <v>2658.7</v>
      </c>
      <c r="D617">
        <f t="shared" si="23"/>
        <v>21290.7</v>
      </c>
    </row>
    <row r="618" spans="1:4" x14ac:dyDescent="0.35">
      <c r="A618" t="s">
        <v>663</v>
      </c>
      <c r="B618">
        <v>25513</v>
      </c>
      <c r="C618">
        <f t="shared" si="24"/>
        <v>1724.7</v>
      </c>
      <c r="D618">
        <f t="shared" si="23"/>
        <v>27237.7</v>
      </c>
    </row>
    <row r="619" spans="1:4" x14ac:dyDescent="0.35">
      <c r="A619" t="s">
        <v>664</v>
      </c>
      <c r="B619">
        <v>14323</v>
      </c>
      <c r="C619">
        <f t="shared" si="24"/>
        <v>1512.5</v>
      </c>
      <c r="D619">
        <f t="shared" si="23"/>
        <v>15835.5</v>
      </c>
    </row>
    <row r="620" spans="1:4" x14ac:dyDescent="0.35">
      <c r="A620" t="s">
        <v>665</v>
      </c>
      <c r="B620">
        <v>14458</v>
      </c>
      <c r="C620">
        <f t="shared" si="24"/>
        <v>2408.8000000000002</v>
      </c>
      <c r="D620">
        <f t="shared" si="23"/>
        <v>16866.8</v>
      </c>
    </row>
    <row r="621" spans="1:4" x14ac:dyDescent="0.35">
      <c r="A621" t="s">
        <v>666</v>
      </c>
      <c r="B621">
        <v>13580</v>
      </c>
      <c r="C621">
        <f t="shared" si="24"/>
        <v>1366.7</v>
      </c>
      <c r="D621">
        <f t="shared" si="23"/>
        <v>14946.7</v>
      </c>
    </row>
    <row r="622" spans="1:4" x14ac:dyDescent="0.35">
      <c r="A622" t="s">
        <v>667</v>
      </c>
      <c r="B622">
        <v>26916</v>
      </c>
      <c r="C622">
        <f t="shared" si="24"/>
        <v>1346.2</v>
      </c>
      <c r="D622">
        <f t="shared" si="23"/>
        <v>28262.2</v>
      </c>
    </row>
    <row r="623" spans="1:4" x14ac:dyDescent="0.35">
      <c r="A623" t="s">
        <v>668</v>
      </c>
      <c r="B623">
        <v>19758</v>
      </c>
      <c r="C623">
        <f t="shared" si="24"/>
        <v>1437.5</v>
      </c>
      <c r="D623">
        <f t="shared" si="23"/>
        <v>21195.5</v>
      </c>
    </row>
    <row r="624" spans="1:4" x14ac:dyDescent="0.35">
      <c r="A624" t="s">
        <v>669</v>
      </c>
      <c r="B624">
        <v>26136</v>
      </c>
      <c r="C624">
        <f t="shared" si="24"/>
        <v>2547.6</v>
      </c>
      <c r="D624">
        <f t="shared" si="23"/>
        <v>28683.599999999999</v>
      </c>
    </row>
    <row r="625" spans="1:4" x14ac:dyDescent="0.35">
      <c r="A625" t="s">
        <v>670</v>
      </c>
      <c r="B625">
        <v>15035</v>
      </c>
      <c r="C625">
        <f t="shared" si="24"/>
        <v>1545.9</v>
      </c>
      <c r="D625">
        <f t="shared" si="23"/>
        <v>16580.900000000001</v>
      </c>
    </row>
    <row r="626" spans="1:4" x14ac:dyDescent="0.35">
      <c r="A626" t="s">
        <v>671</v>
      </c>
      <c r="B626">
        <v>16771</v>
      </c>
      <c r="C626">
        <f t="shared" si="24"/>
        <v>1359.7</v>
      </c>
      <c r="D626">
        <f t="shared" si="23"/>
        <v>18130.7</v>
      </c>
    </row>
    <row r="627" spans="1:4" x14ac:dyDescent="0.35">
      <c r="A627" t="s">
        <v>672</v>
      </c>
      <c r="B627">
        <v>15572</v>
      </c>
      <c r="C627">
        <f t="shared" si="24"/>
        <v>1762</v>
      </c>
      <c r="D627">
        <f t="shared" si="23"/>
        <v>17334</v>
      </c>
    </row>
    <row r="628" spans="1:4" x14ac:dyDescent="0.35">
      <c r="A628" t="s">
        <v>673</v>
      </c>
      <c r="B628">
        <v>18776</v>
      </c>
      <c r="C628">
        <f t="shared" si="24"/>
        <v>1748.2</v>
      </c>
      <c r="D628">
        <f t="shared" si="23"/>
        <v>20524.2</v>
      </c>
    </row>
    <row r="629" spans="1:4" x14ac:dyDescent="0.35">
      <c r="A629" t="s">
        <v>674</v>
      </c>
      <c r="B629">
        <v>15711</v>
      </c>
      <c r="C629">
        <f t="shared" si="24"/>
        <v>1465</v>
      </c>
      <c r="D629">
        <f t="shared" si="23"/>
        <v>17176</v>
      </c>
    </row>
    <row r="630" spans="1:4" x14ac:dyDescent="0.35">
      <c r="A630" t="s">
        <v>675</v>
      </c>
      <c r="B630">
        <v>19979</v>
      </c>
      <c r="C630">
        <f t="shared" si="24"/>
        <v>2595.1999999999998</v>
      </c>
      <c r="D630">
        <f t="shared" si="23"/>
        <v>22574.2</v>
      </c>
    </row>
    <row r="631" spans="1:4" x14ac:dyDescent="0.35">
      <c r="A631" t="s">
        <v>676</v>
      </c>
      <c r="B631">
        <v>14637</v>
      </c>
      <c r="C631">
        <f t="shared" si="24"/>
        <v>1800.2</v>
      </c>
      <c r="D631">
        <f t="shared" si="23"/>
        <v>16437.2</v>
      </c>
    </row>
    <row r="632" spans="1:4" x14ac:dyDescent="0.35">
      <c r="A632" t="s">
        <v>677</v>
      </c>
      <c r="B632">
        <v>14995</v>
      </c>
      <c r="C632">
        <f t="shared" si="24"/>
        <v>1526.7</v>
      </c>
      <c r="D632">
        <f t="shared" si="23"/>
        <v>16521.7</v>
      </c>
    </row>
    <row r="633" spans="1:4" x14ac:dyDescent="0.35">
      <c r="A633" t="s">
        <v>678</v>
      </c>
      <c r="B633">
        <v>14781</v>
      </c>
      <c r="C633">
        <f t="shared" si="24"/>
        <v>2577.6999999999998</v>
      </c>
      <c r="D633">
        <f t="shared" si="23"/>
        <v>17358.7</v>
      </c>
    </row>
    <row r="634" spans="1:4" x14ac:dyDescent="0.35">
      <c r="A634" t="s">
        <v>679</v>
      </c>
      <c r="B634">
        <v>15869</v>
      </c>
      <c r="C634">
        <f t="shared" si="24"/>
        <v>1791.8</v>
      </c>
      <c r="D634">
        <f t="shared" si="23"/>
        <v>17660.8</v>
      </c>
    </row>
    <row r="635" spans="1:4" x14ac:dyDescent="0.35">
      <c r="A635" t="s">
        <v>680</v>
      </c>
      <c r="B635">
        <v>14797</v>
      </c>
      <c r="C635">
        <f t="shared" si="24"/>
        <v>2103.6</v>
      </c>
      <c r="D635">
        <f t="shared" si="23"/>
        <v>16900.599999999999</v>
      </c>
    </row>
    <row r="636" spans="1:4" x14ac:dyDescent="0.35">
      <c r="A636" t="s">
        <v>681</v>
      </c>
      <c r="B636">
        <v>14362</v>
      </c>
      <c r="C636">
        <f t="shared" si="24"/>
        <v>2528.9</v>
      </c>
      <c r="D636">
        <f t="shared" si="23"/>
        <v>16890.900000000001</v>
      </c>
    </row>
    <row r="637" spans="1:4" x14ac:dyDescent="0.35">
      <c r="A637" t="s">
        <v>682</v>
      </c>
      <c r="B637">
        <v>17935</v>
      </c>
      <c r="C637">
        <f t="shared" si="24"/>
        <v>2485.6</v>
      </c>
      <c r="D637">
        <f t="shared" si="23"/>
        <v>20420.599999999999</v>
      </c>
    </row>
    <row r="638" spans="1:4" x14ac:dyDescent="0.35">
      <c r="A638" t="s">
        <v>683</v>
      </c>
      <c r="B638">
        <v>17628</v>
      </c>
      <c r="C638">
        <f t="shared" si="24"/>
        <v>2700.7</v>
      </c>
      <c r="D638">
        <f t="shared" si="23"/>
        <v>20328.7</v>
      </c>
    </row>
    <row r="639" spans="1:4" x14ac:dyDescent="0.35">
      <c r="A639" t="s">
        <v>684</v>
      </c>
      <c r="B639">
        <v>18861</v>
      </c>
      <c r="C639">
        <f t="shared" si="24"/>
        <v>2731.6</v>
      </c>
      <c r="D639">
        <f t="shared" si="23"/>
        <v>21592.6</v>
      </c>
    </row>
    <row r="640" spans="1:4" x14ac:dyDescent="0.35">
      <c r="A640" t="s">
        <v>685</v>
      </c>
      <c r="B640">
        <v>23571</v>
      </c>
      <c r="C640">
        <f t="shared" si="24"/>
        <v>1402.4</v>
      </c>
      <c r="D640">
        <f t="shared" si="23"/>
        <v>24973.4</v>
      </c>
    </row>
    <row r="641" spans="1:4" x14ac:dyDescent="0.35">
      <c r="A641" t="s">
        <v>686</v>
      </c>
      <c r="B641">
        <v>24134</v>
      </c>
      <c r="C641">
        <f t="shared" si="24"/>
        <v>2003.5</v>
      </c>
      <c r="D641">
        <f t="shared" si="23"/>
        <v>26137.5</v>
      </c>
    </row>
    <row r="642" spans="1:4" x14ac:dyDescent="0.35">
      <c r="A642" t="s">
        <v>687</v>
      </c>
      <c r="B642">
        <v>25047</v>
      </c>
      <c r="C642">
        <f t="shared" si="24"/>
        <v>2504.1</v>
      </c>
      <c r="D642">
        <f t="shared" si="23"/>
        <v>27551.1</v>
      </c>
    </row>
    <row r="643" spans="1:4" x14ac:dyDescent="0.35">
      <c r="A643" t="s">
        <v>688</v>
      </c>
      <c r="B643">
        <v>17226</v>
      </c>
      <c r="C643">
        <f t="shared" si="24"/>
        <v>2528.8000000000002</v>
      </c>
      <c r="D643">
        <f t="shared" ref="D643:D706" si="25">B643+C643</f>
        <v>19754.8</v>
      </c>
    </row>
    <row r="644" spans="1:4" x14ac:dyDescent="0.35">
      <c r="A644" t="s">
        <v>689</v>
      </c>
      <c r="B644">
        <v>23629</v>
      </c>
      <c r="C644">
        <f t="shared" si="24"/>
        <v>1683.8</v>
      </c>
      <c r="D644">
        <f t="shared" si="25"/>
        <v>25312.799999999999</v>
      </c>
    </row>
    <row r="645" spans="1:4" x14ac:dyDescent="0.35">
      <c r="A645" t="s">
        <v>690</v>
      </c>
      <c r="B645">
        <v>19047</v>
      </c>
      <c r="C645">
        <f t="shared" ref="C645:C708" si="26">B394*10/100</f>
        <v>1463.2</v>
      </c>
      <c r="D645">
        <f t="shared" si="25"/>
        <v>20510.2</v>
      </c>
    </row>
    <row r="646" spans="1:4" x14ac:dyDescent="0.35">
      <c r="A646" t="s">
        <v>691</v>
      </c>
      <c r="B646">
        <v>24650</v>
      </c>
      <c r="C646">
        <f t="shared" si="26"/>
        <v>1664.9</v>
      </c>
      <c r="D646">
        <f t="shared" si="25"/>
        <v>26314.9</v>
      </c>
    </row>
    <row r="647" spans="1:4" x14ac:dyDescent="0.35">
      <c r="A647" t="s">
        <v>692</v>
      </c>
      <c r="B647">
        <v>25135</v>
      </c>
      <c r="C647">
        <f t="shared" si="26"/>
        <v>2693.6</v>
      </c>
      <c r="D647">
        <f t="shared" si="25"/>
        <v>27828.6</v>
      </c>
    </row>
    <row r="648" spans="1:4" x14ac:dyDescent="0.35">
      <c r="A648" t="s">
        <v>693</v>
      </c>
      <c r="B648">
        <v>16574</v>
      </c>
      <c r="C648">
        <f t="shared" si="26"/>
        <v>2074</v>
      </c>
      <c r="D648">
        <f t="shared" si="25"/>
        <v>18648</v>
      </c>
    </row>
    <row r="649" spans="1:4" x14ac:dyDescent="0.35">
      <c r="A649" t="s">
        <v>694</v>
      </c>
      <c r="B649">
        <v>16446</v>
      </c>
      <c r="C649">
        <f t="shared" si="26"/>
        <v>1915.1</v>
      </c>
      <c r="D649">
        <f t="shared" si="25"/>
        <v>18361.099999999999</v>
      </c>
    </row>
    <row r="650" spans="1:4" x14ac:dyDescent="0.35">
      <c r="A650" t="s">
        <v>695</v>
      </c>
      <c r="B650">
        <v>18203</v>
      </c>
      <c r="C650">
        <f t="shared" si="26"/>
        <v>2071.5</v>
      </c>
      <c r="D650">
        <f t="shared" si="25"/>
        <v>20274.5</v>
      </c>
    </row>
    <row r="651" spans="1:4" x14ac:dyDescent="0.35">
      <c r="A651" t="s">
        <v>696</v>
      </c>
      <c r="B651">
        <v>14874</v>
      </c>
      <c r="C651">
        <f t="shared" si="26"/>
        <v>1365</v>
      </c>
      <c r="D651">
        <f t="shared" si="25"/>
        <v>16239</v>
      </c>
    </row>
    <row r="652" spans="1:4" x14ac:dyDescent="0.35">
      <c r="A652" t="s">
        <v>697</v>
      </c>
      <c r="B652">
        <v>14685</v>
      </c>
      <c r="C652">
        <f t="shared" si="26"/>
        <v>2446.3000000000002</v>
      </c>
      <c r="D652">
        <f t="shared" si="25"/>
        <v>17131.3</v>
      </c>
    </row>
    <row r="653" spans="1:4" x14ac:dyDescent="0.35">
      <c r="A653" t="s">
        <v>698</v>
      </c>
      <c r="B653">
        <v>13019</v>
      </c>
      <c r="C653">
        <f t="shared" si="26"/>
        <v>2034.4</v>
      </c>
      <c r="D653">
        <f t="shared" si="25"/>
        <v>15053.4</v>
      </c>
    </row>
    <row r="654" spans="1:4" x14ac:dyDescent="0.35">
      <c r="A654" t="s">
        <v>699</v>
      </c>
      <c r="B654">
        <v>14382</v>
      </c>
      <c r="C654">
        <f t="shared" si="26"/>
        <v>1679.3</v>
      </c>
      <c r="D654">
        <f t="shared" si="25"/>
        <v>16061.3</v>
      </c>
    </row>
    <row r="655" spans="1:4" x14ac:dyDescent="0.35">
      <c r="A655" t="s">
        <v>700</v>
      </c>
      <c r="B655">
        <v>24159</v>
      </c>
      <c r="C655">
        <f t="shared" si="26"/>
        <v>2735.5</v>
      </c>
      <c r="D655">
        <f t="shared" si="25"/>
        <v>26894.5</v>
      </c>
    </row>
    <row r="656" spans="1:4" x14ac:dyDescent="0.35">
      <c r="A656" t="s">
        <v>701</v>
      </c>
      <c r="B656">
        <v>25685</v>
      </c>
      <c r="C656">
        <f t="shared" si="26"/>
        <v>2531.4</v>
      </c>
      <c r="D656">
        <f t="shared" si="25"/>
        <v>28216.400000000001</v>
      </c>
    </row>
    <row r="657" spans="1:4" x14ac:dyDescent="0.35">
      <c r="A657" t="s">
        <v>702</v>
      </c>
      <c r="B657">
        <v>18861</v>
      </c>
      <c r="C657">
        <f t="shared" si="26"/>
        <v>1340.2</v>
      </c>
      <c r="D657">
        <f t="shared" si="25"/>
        <v>20201.2</v>
      </c>
    </row>
    <row r="658" spans="1:4" x14ac:dyDescent="0.35">
      <c r="A658" t="s">
        <v>703</v>
      </c>
      <c r="B658">
        <v>23501</v>
      </c>
      <c r="C658">
        <f t="shared" si="26"/>
        <v>1607.6</v>
      </c>
      <c r="D658">
        <f t="shared" si="25"/>
        <v>25108.6</v>
      </c>
    </row>
    <row r="659" spans="1:4" x14ac:dyDescent="0.35">
      <c r="A659" t="s">
        <v>704</v>
      </c>
      <c r="B659">
        <v>17024</v>
      </c>
      <c r="C659">
        <f t="shared" si="26"/>
        <v>1418.9</v>
      </c>
      <c r="D659">
        <f t="shared" si="25"/>
        <v>18442.900000000001</v>
      </c>
    </row>
    <row r="660" spans="1:4" x14ac:dyDescent="0.35">
      <c r="A660" t="s">
        <v>705</v>
      </c>
      <c r="B660">
        <v>13222</v>
      </c>
      <c r="C660">
        <f t="shared" si="26"/>
        <v>1534.7</v>
      </c>
      <c r="D660">
        <f t="shared" si="25"/>
        <v>14756.7</v>
      </c>
    </row>
    <row r="661" spans="1:4" x14ac:dyDescent="0.35">
      <c r="A661" t="s">
        <v>706</v>
      </c>
      <c r="B661">
        <v>23729</v>
      </c>
      <c r="C661">
        <f t="shared" si="26"/>
        <v>1418.4</v>
      </c>
      <c r="D661">
        <f t="shared" si="25"/>
        <v>25147.4</v>
      </c>
    </row>
    <row r="662" spans="1:4" x14ac:dyDescent="0.35">
      <c r="A662" t="s">
        <v>707</v>
      </c>
      <c r="B662">
        <v>25416</v>
      </c>
      <c r="C662">
        <f t="shared" si="26"/>
        <v>1410.1</v>
      </c>
      <c r="D662">
        <f t="shared" si="25"/>
        <v>26826.1</v>
      </c>
    </row>
    <row r="663" spans="1:4" x14ac:dyDescent="0.35">
      <c r="A663" t="s">
        <v>708</v>
      </c>
      <c r="B663">
        <v>24462</v>
      </c>
      <c r="C663">
        <f t="shared" si="26"/>
        <v>1656.3</v>
      </c>
      <c r="D663">
        <f t="shared" si="25"/>
        <v>26118.3</v>
      </c>
    </row>
    <row r="664" spans="1:4" x14ac:dyDescent="0.35">
      <c r="A664" t="s">
        <v>709</v>
      </c>
      <c r="B664">
        <v>19536</v>
      </c>
      <c r="C664">
        <f t="shared" si="26"/>
        <v>1963.6</v>
      </c>
      <c r="D664">
        <f t="shared" si="25"/>
        <v>21499.599999999999</v>
      </c>
    </row>
    <row r="665" spans="1:4" x14ac:dyDescent="0.35">
      <c r="A665" t="s">
        <v>710</v>
      </c>
      <c r="B665">
        <v>18958</v>
      </c>
      <c r="C665">
        <f t="shared" si="26"/>
        <v>1478.9</v>
      </c>
      <c r="D665">
        <f t="shared" si="25"/>
        <v>20436.900000000001</v>
      </c>
    </row>
    <row r="666" spans="1:4" x14ac:dyDescent="0.35">
      <c r="A666" t="s">
        <v>711</v>
      </c>
      <c r="B666">
        <v>20196</v>
      </c>
      <c r="C666">
        <f t="shared" si="26"/>
        <v>2615.8000000000002</v>
      </c>
      <c r="D666">
        <f t="shared" si="25"/>
        <v>22811.8</v>
      </c>
    </row>
    <row r="667" spans="1:4" x14ac:dyDescent="0.35">
      <c r="A667" t="s">
        <v>712</v>
      </c>
      <c r="B667">
        <v>19281</v>
      </c>
      <c r="C667">
        <f t="shared" si="26"/>
        <v>2669.4</v>
      </c>
      <c r="D667">
        <f t="shared" si="25"/>
        <v>21950.400000000001</v>
      </c>
    </row>
    <row r="668" spans="1:4" x14ac:dyDescent="0.35">
      <c r="A668" t="s">
        <v>713</v>
      </c>
      <c r="B668">
        <v>25541</v>
      </c>
      <c r="C668">
        <f t="shared" si="26"/>
        <v>2315.1999999999998</v>
      </c>
      <c r="D668">
        <f t="shared" si="25"/>
        <v>27856.2</v>
      </c>
    </row>
    <row r="669" spans="1:4" x14ac:dyDescent="0.35">
      <c r="A669" t="s">
        <v>714</v>
      </c>
      <c r="B669">
        <v>27151</v>
      </c>
      <c r="C669">
        <f t="shared" si="26"/>
        <v>2027.1</v>
      </c>
      <c r="D669">
        <f t="shared" si="25"/>
        <v>29178.1</v>
      </c>
    </row>
    <row r="670" spans="1:4" x14ac:dyDescent="0.35">
      <c r="A670" t="s">
        <v>715</v>
      </c>
      <c r="B670">
        <v>24691</v>
      </c>
      <c r="C670">
        <f t="shared" si="26"/>
        <v>1647.8</v>
      </c>
      <c r="D670">
        <f t="shared" si="25"/>
        <v>26338.799999999999</v>
      </c>
    </row>
    <row r="671" spans="1:4" x14ac:dyDescent="0.35">
      <c r="A671" t="s">
        <v>716</v>
      </c>
      <c r="B671">
        <v>17899</v>
      </c>
      <c r="C671">
        <f t="shared" si="26"/>
        <v>1549.9</v>
      </c>
      <c r="D671">
        <f t="shared" si="25"/>
        <v>19448.900000000001</v>
      </c>
    </row>
    <row r="672" spans="1:4" x14ac:dyDescent="0.35">
      <c r="A672" t="s">
        <v>717</v>
      </c>
      <c r="B672">
        <v>15600</v>
      </c>
      <c r="C672">
        <f t="shared" si="26"/>
        <v>2041</v>
      </c>
      <c r="D672">
        <f t="shared" si="25"/>
        <v>17641</v>
      </c>
    </row>
    <row r="673" spans="1:4" x14ac:dyDescent="0.35">
      <c r="A673" t="s">
        <v>718</v>
      </c>
      <c r="B673">
        <v>15166</v>
      </c>
      <c r="C673">
        <f t="shared" si="26"/>
        <v>1474</v>
      </c>
      <c r="D673">
        <f t="shared" si="25"/>
        <v>16640</v>
      </c>
    </row>
    <row r="674" spans="1:4" x14ac:dyDescent="0.35">
      <c r="A674" t="s">
        <v>719</v>
      </c>
      <c r="B674">
        <v>20200</v>
      </c>
      <c r="C674">
        <f t="shared" si="26"/>
        <v>2428.5</v>
      </c>
      <c r="D674">
        <f t="shared" si="25"/>
        <v>22628.5</v>
      </c>
    </row>
    <row r="675" spans="1:4" x14ac:dyDescent="0.35">
      <c r="A675" t="s">
        <v>720</v>
      </c>
      <c r="B675">
        <v>25506</v>
      </c>
      <c r="C675">
        <f t="shared" si="26"/>
        <v>2497</v>
      </c>
      <c r="D675">
        <f t="shared" si="25"/>
        <v>28003</v>
      </c>
    </row>
    <row r="676" spans="1:4" x14ac:dyDescent="0.35">
      <c r="A676" t="s">
        <v>721</v>
      </c>
      <c r="B676">
        <v>20081</v>
      </c>
      <c r="C676">
        <f t="shared" si="26"/>
        <v>1905.1</v>
      </c>
      <c r="D676">
        <f t="shared" si="25"/>
        <v>21986.1</v>
      </c>
    </row>
    <row r="677" spans="1:4" x14ac:dyDescent="0.35">
      <c r="A677" t="s">
        <v>722</v>
      </c>
      <c r="B677">
        <v>19618</v>
      </c>
      <c r="C677">
        <f t="shared" si="26"/>
        <v>1823.9</v>
      </c>
      <c r="D677">
        <f t="shared" si="25"/>
        <v>21441.9</v>
      </c>
    </row>
    <row r="678" spans="1:4" x14ac:dyDescent="0.35">
      <c r="A678" t="s">
        <v>723</v>
      </c>
      <c r="B678">
        <v>18865</v>
      </c>
      <c r="C678">
        <f t="shared" si="26"/>
        <v>2758.1</v>
      </c>
      <c r="D678">
        <f t="shared" si="25"/>
        <v>21623.1</v>
      </c>
    </row>
    <row r="679" spans="1:4" x14ac:dyDescent="0.35">
      <c r="A679" t="s">
        <v>724</v>
      </c>
      <c r="B679">
        <v>19313</v>
      </c>
      <c r="C679">
        <f t="shared" si="26"/>
        <v>1659.6</v>
      </c>
      <c r="D679">
        <f t="shared" si="25"/>
        <v>20972.6</v>
      </c>
    </row>
    <row r="680" spans="1:4" x14ac:dyDescent="0.35">
      <c r="A680" t="s">
        <v>725</v>
      </c>
      <c r="B680">
        <v>12466</v>
      </c>
      <c r="C680">
        <f t="shared" si="26"/>
        <v>2043.2</v>
      </c>
      <c r="D680">
        <f t="shared" si="25"/>
        <v>14509.2</v>
      </c>
    </row>
    <row r="681" spans="1:4" x14ac:dyDescent="0.35">
      <c r="A681" t="s">
        <v>726</v>
      </c>
      <c r="B681">
        <v>19614</v>
      </c>
      <c r="C681">
        <f t="shared" si="26"/>
        <v>1309.5</v>
      </c>
      <c r="D681">
        <f t="shared" si="25"/>
        <v>20923.5</v>
      </c>
    </row>
    <row r="682" spans="1:4" x14ac:dyDescent="0.35">
      <c r="A682" t="s">
        <v>727</v>
      </c>
      <c r="B682">
        <v>14690</v>
      </c>
      <c r="C682">
        <f t="shared" si="26"/>
        <v>1519.5</v>
      </c>
      <c r="D682">
        <f t="shared" si="25"/>
        <v>16209.5</v>
      </c>
    </row>
    <row r="683" spans="1:4" x14ac:dyDescent="0.35">
      <c r="A683" t="s">
        <v>728</v>
      </c>
      <c r="B683">
        <v>15525</v>
      </c>
      <c r="C683">
        <f t="shared" si="26"/>
        <v>2537.6999999999998</v>
      </c>
      <c r="D683">
        <f t="shared" si="25"/>
        <v>18062.7</v>
      </c>
    </row>
    <row r="684" spans="1:4" x14ac:dyDescent="0.35">
      <c r="A684" t="s">
        <v>729</v>
      </c>
      <c r="B684">
        <v>21498</v>
      </c>
      <c r="C684">
        <f t="shared" si="26"/>
        <v>2001.7</v>
      </c>
      <c r="D684">
        <f t="shared" si="25"/>
        <v>23499.7</v>
      </c>
    </row>
    <row r="685" spans="1:4" x14ac:dyDescent="0.35">
      <c r="A685" t="s">
        <v>730</v>
      </c>
      <c r="B685">
        <v>24879</v>
      </c>
      <c r="C685">
        <f t="shared" si="26"/>
        <v>1653.7</v>
      </c>
      <c r="D685">
        <f t="shared" si="25"/>
        <v>26532.7</v>
      </c>
    </row>
    <row r="686" spans="1:4" x14ac:dyDescent="0.35">
      <c r="A686" t="s">
        <v>731</v>
      </c>
      <c r="B686">
        <v>25477</v>
      </c>
      <c r="C686">
        <f t="shared" si="26"/>
        <v>1875.7</v>
      </c>
      <c r="D686">
        <f t="shared" si="25"/>
        <v>27352.7</v>
      </c>
    </row>
    <row r="687" spans="1:4" x14ac:dyDescent="0.35">
      <c r="A687" t="s">
        <v>732</v>
      </c>
      <c r="B687">
        <v>14304</v>
      </c>
      <c r="C687">
        <f t="shared" si="26"/>
        <v>1218.0999999999999</v>
      </c>
      <c r="D687">
        <f t="shared" si="25"/>
        <v>15522.1</v>
      </c>
    </row>
    <row r="688" spans="1:4" x14ac:dyDescent="0.35">
      <c r="A688" t="s">
        <v>733</v>
      </c>
      <c r="B688">
        <v>17638</v>
      </c>
      <c r="C688">
        <f t="shared" si="26"/>
        <v>1527.4</v>
      </c>
      <c r="D688">
        <f t="shared" si="25"/>
        <v>19165.400000000001</v>
      </c>
    </row>
    <row r="689" spans="1:4" x14ac:dyDescent="0.35">
      <c r="A689" t="s">
        <v>734</v>
      </c>
      <c r="B689">
        <v>16284</v>
      </c>
      <c r="C689">
        <f t="shared" si="26"/>
        <v>1538.2</v>
      </c>
      <c r="D689">
        <f t="shared" si="25"/>
        <v>17822.2</v>
      </c>
    </row>
    <row r="690" spans="1:4" x14ac:dyDescent="0.35">
      <c r="A690" t="s">
        <v>735</v>
      </c>
      <c r="B690">
        <v>26768</v>
      </c>
      <c r="C690">
        <f t="shared" si="26"/>
        <v>1431</v>
      </c>
      <c r="D690">
        <f t="shared" si="25"/>
        <v>28199</v>
      </c>
    </row>
    <row r="691" spans="1:4" x14ac:dyDescent="0.35">
      <c r="A691" t="s">
        <v>736</v>
      </c>
      <c r="B691">
        <v>14492</v>
      </c>
      <c r="C691">
        <f t="shared" si="26"/>
        <v>1809.9</v>
      </c>
      <c r="D691">
        <f t="shared" si="25"/>
        <v>16301.9</v>
      </c>
    </row>
    <row r="692" spans="1:4" x14ac:dyDescent="0.35">
      <c r="A692" t="s">
        <v>737</v>
      </c>
      <c r="B692">
        <v>16517</v>
      </c>
      <c r="C692">
        <f t="shared" si="26"/>
        <v>2031.2</v>
      </c>
      <c r="D692">
        <f t="shared" si="25"/>
        <v>18548.2</v>
      </c>
    </row>
    <row r="693" spans="1:4" x14ac:dyDescent="0.35">
      <c r="A693" t="s">
        <v>738</v>
      </c>
      <c r="B693">
        <v>23617</v>
      </c>
      <c r="C693">
        <f t="shared" si="26"/>
        <v>1799.4</v>
      </c>
      <c r="D693">
        <f t="shared" si="25"/>
        <v>25416.400000000001</v>
      </c>
    </row>
    <row r="694" spans="1:4" x14ac:dyDescent="0.35">
      <c r="A694" t="s">
        <v>739</v>
      </c>
      <c r="B694">
        <v>19087</v>
      </c>
      <c r="C694">
        <f t="shared" si="26"/>
        <v>1517.6</v>
      </c>
      <c r="D694">
        <f t="shared" si="25"/>
        <v>20604.599999999999</v>
      </c>
    </row>
    <row r="695" spans="1:4" x14ac:dyDescent="0.35">
      <c r="A695" t="s">
        <v>740</v>
      </c>
      <c r="B695">
        <v>24291</v>
      </c>
      <c r="C695">
        <f t="shared" si="26"/>
        <v>1546.2</v>
      </c>
      <c r="D695">
        <f t="shared" si="25"/>
        <v>25837.200000000001</v>
      </c>
    </row>
    <row r="696" spans="1:4" x14ac:dyDescent="0.35">
      <c r="A696" t="s">
        <v>741</v>
      </c>
      <c r="B696">
        <v>24266</v>
      </c>
      <c r="C696">
        <f t="shared" si="26"/>
        <v>1516.5</v>
      </c>
      <c r="D696">
        <f t="shared" si="25"/>
        <v>25782.5</v>
      </c>
    </row>
    <row r="697" spans="1:4" x14ac:dyDescent="0.35">
      <c r="A697" t="s">
        <v>742</v>
      </c>
      <c r="B697">
        <v>25643</v>
      </c>
      <c r="C697">
        <f t="shared" si="26"/>
        <v>1672.3</v>
      </c>
      <c r="D697">
        <f t="shared" si="25"/>
        <v>27315.3</v>
      </c>
    </row>
    <row r="698" spans="1:4" x14ac:dyDescent="0.35">
      <c r="A698" t="s">
        <v>743</v>
      </c>
      <c r="B698">
        <v>18099</v>
      </c>
      <c r="C698">
        <f t="shared" si="26"/>
        <v>2670.9</v>
      </c>
      <c r="D698">
        <f t="shared" si="25"/>
        <v>20769.900000000001</v>
      </c>
    </row>
    <row r="699" spans="1:4" x14ac:dyDescent="0.35">
      <c r="A699" t="s">
        <v>744</v>
      </c>
      <c r="B699">
        <v>25860</v>
      </c>
      <c r="C699">
        <f t="shared" si="26"/>
        <v>1565.7</v>
      </c>
      <c r="D699">
        <f t="shared" si="25"/>
        <v>27425.7</v>
      </c>
    </row>
    <row r="700" spans="1:4" x14ac:dyDescent="0.35">
      <c r="A700" t="s">
        <v>745</v>
      </c>
      <c r="B700">
        <v>19409</v>
      </c>
      <c r="C700">
        <f t="shared" si="26"/>
        <v>1961.5</v>
      </c>
      <c r="D700">
        <f t="shared" si="25"/>
        <v>21370.5</v>
      </c>
    </row>
    <row r="701" spans="1:4" x14ac:dyDescent="0.35">
      <c r="A701" t="s">
        <v>746</v>
      </c>
      <c r="B701">
        <v>25266</v>
      </c>
      <c r="C701">
        <f t="shared" si="26"/>
        <v>1675.6</v>
      </c>
      <c r="D701">
        <f t="shared" si="25"/>
        <v>26941.599999999999</v>
      </c>
    </row>
    <row r="702" spans="1:4" x14ac:dyDescent="0.35">
      <c r="A702" t="s">
        <v>747</v>
      </c>
      <c r="B702">
        <v>15117</v>
      </c>
      <c r="C702">
        <f t="shared" si="26"/>
        <v>2469.6</v>
      </c>
      <c r="D702">
        <f t="shared" si="25"/>
        <v>17586.599999999999</v>
      </c>
    </row>
    <row r="703" spans="1:4" x14ac:dyDescent="0.35">
      <c r="A703" t="s">
        <v>748</v>
      </c>
      <c r="B703">
        <v>20317</v>
      </c>
      <c r="C703">
        <f t="shared" si="26"/>
        <v>2116.6</v>
      </c>
      <c r="D703">
        <f t="shared" si="25"/>
        <v>22433.599999999999</v>
      </c>
    </row>
    <row r="704" spans="1:4" x14ac:dyDescent="0.35">
      <c r="A704" t="s">
        <v>749</v>
      </c>
      <c r="B704">
        <v>14747</v>
      </c>
      <c r="C704">
        <f t="shared" si="26"/>
        <v>1765</v>
      </c>
      <c r="D704">
        <f t="shared" si="25"/>
        <v>16512</v>
      </c>
    </row>
    <row r="705" spans="1:4" x14ac:dyDescent="0.35">
      <c r="A705" t="s">
        <v>750</v>
      </c>
      <c r="B705">
        <v>13998</v>
      </c>
      <c r="C705">
        <f t="shared" si="26"/>
        <v>1283.9000000000001</v>
      </c>
      <c r="D705">
        <f t="shared" si="25"/>
        <v>15281.9</v>
      </c>
    </row>
    <row r="706" spans="1:4" x14ac:dyDescent="0.35">
      <c r="A706" t="s">
        <v>751</v>
      </c>
      <c r="B706">
        <v>16675</v>
      </c>
      <c r="C706">
        <f t="shared" si="26"/>
        <v>1900.4</v>
      </c>
      <c r="D706">
        <f t="shared" si="25"/>
        <v>18575.400000000001</v>
      </c>
    </row>
    <row r="707" spans="1:4" x14ac:dyDescent="0.35">
      <c r="A707" t="s">
        <v>752</v>
      </c>
      <c r="B707">
        <v>21563</v>
      </c>
      <c r="C707">
        <f t="shared" si="26"/>
        <v>1942.3</v>
      </c>
      <c r="D707">
        <f t="shared" ref="D707:D770" si="27">B707+C707</f>
        <v>23505.3</v>
      </c>
    </row>
    <row r="708" spans="1:4" x14ac:dyDescent="0.35">
      <c r="A708" t="s">
        <v>753</v>
      </c>
      <c r="B708">
        <v>25101</v>
      </c>
      <c r="C708">
        <f t="shared" si="26"/>
        <v>2159.3000000000002</v>
      </c>
      <c r="D708">
        <f t="shared" si="27"/>
        <v>27260.3</v>
      </c>
    </row>
    <row r="709" spans="1:4" x14ac:dyDescent="0.35">
      <c r="A709" t="s">
        <v>754</v>
      </c>
      <c r="B709">
        <v>19360</v>
      </c>
      <c r="C709">
        <f t="shared" ref="C709:C772" si="28">B458*10/100</f>
        <v>2393.5</v>
      </c>
      <c r="D709">
        <f t="shared" si="27"/>
        <v>21753.5</v>
      </c>
    </row>
    <row r="710" spans="1:4" x14ac:dyDescent="0.35">
      <c r="A710" t="s">
        <v>755</v>
      </c>
      <c r="B710">
        <v>17475</v>
      </c>
      <c r="C710">
        <f t="shared" si="28"/>
        <v>1904.5</v>
      </c>
      <c r="D710">
        <f t="shared" si="27"/>
        <v>19379.5</v>
      </c>
    </row>
    <row r="711" spans="1:4" x14ac:dyDescent="0.35">
      <c r="A711" t="s">
        <v>756</v>
      </c>
      <c r="B711">
        <v>12320</v>
      </c>
      <c r="C711">
        <f t="shared" si="28"/>
        <v>2320.9</v>
      </c>
      <c r="D711">
        <f t="shared" si="27"/>
        <v>14640.9</v>
      </c>
    </row>
    <row r="712" spans="1:4" x14ac:dyDescent="0.35">
      <c r="A712" t="s">
        <v>757</v>
      </c>
      <c r="B712">
        <v>23469</v>
      </c>
      <c r="C712">
        <f t="shared" si="28"/>
        <v>1276</v>
      </c>
      <c r="D712">
        <f t="shared" si="27"/>
        <v>24745</v>
      </c>
    </row>
    <row r="713" spans="1:4" x14ac:dyDescent="0.35">
      <c r="A713" t="s">
        <v>758</v>
      </c>
      <c r="B713">
        <v>15026</v>
      </c>
      <c r="C713">
        <f t="shared" si="28"/>
        <v>1855.6</v>
      </c>
      <c r="D713">
        <f t="shared" si="27"/>
        <v>16881.599999999999</v>
      </c>
    </row>
    <row r="714" spans="1:4" x14ac:dyDescent="0.35">
      <c r="A714" t="s">
        <v>759</v>
      </c>
      <c r="B714">
        <v>15590</v>
      </c>
      <c r="C714">
        <f t="shared" si="28"/>
        <v>2157.1</v>
      </c>
      <c r="D714">
        <f t="shared" si="27"/>
        <v>17747.099999999999</v>
      </c>
    </row>
    <row r="715" spans="1:4" x14ac:dyDescent="0.35">
      <c r="A715" t="s">
        <v>760</v>
      </c>
      <c r="B715">
        <v>15451</v>
      </c>
      <c r="C715">
        <f t="shared" si="28"/>
        <v>1440.7</v>
      </c>
      <c r="D715">
        <f t="shared" si="27"/>
        <v>16891.7</v>
      </c>
    </row>
    <row r="716" spans="1:4" x14ac:dyDescent="0.35">
      <c r="A716" t="s">
        <v>761</v>
      </c>
      <c r="B716">
        <v>25547</v>
      </c>
      <c r="C716">
        <f t="shared" si="28"/>
        <v>1486.6</v>
      </c>
      <c r="D716">
        <f t="shared" si="27"/>
        <v>27033.599999999999</v>
      </c>
    </row>
    <row r="717" spans="1:4" x14ac:dyDescent="0.35">
      <c r="A717" t="s">
        <v>762</v>
      </c>
      <c r="B717">
        <v>15255</v>
      </c>
      <c r="C717">
        <f t="shared" si="28"/>
        <v>1669.5</v>
      </c>
      <c r="D717">
        <f t="shared" si="27"/>
        <v>16924.5</v>
      </c>
    </row>
    <row r="718" spans="1:4" x14ac:dyDescent="0.35">
      <c r="A718" t="s">
        <v>763</v>
      </c>
      <c r="B718">
        <v>12110</v>
      </c>
      <c r="C718">
        <f t="shared" si="28"/>
        <v>1500.3</v>
      </c>
      <c r="D718">
        <f t="shared" si="27"/>
        <v>13610.3</v>
      </c>
    </row>
    <row r="719" spans="1:4" x14ac:dyDescent="0.35">
      <c r="A719" t="s">
        <v>764</v>
      </c>
      <c r="B719">
        <v>24721</v>
      </c>
      <c r="C719">
        <f t="shared" si="28"/>
        <v>2039.8</v>
      </c>
      <c r="D719">
        <f t="shared" si="27"/>
        <v>26760.799999999999</v>
      </c>
    </row>
    <row r="720" spans="1:4" x14ac:dyDescent="0.35">
      <c r="A720" t="s">
        <v>765</v>
      </c>
      <c r="B720">
        <v>23366</v>
      </c>
      <c r="C720">
        <f t="shared" si="28"/>
        <v>1280.5</v>
      </c>
      <c r="D720">
        <f t="shared" si="27"/>
        <v>24646.5</v>
      </c>
    </row>
    <row r="721" spans="1:4" x14ac:dyDescent="0.35">
      <c r="A721" t="s">
        <v>766</v>
      </c>
      <c r="B721">
        <v>24569</v>
      </c>
      <c r="C721">
        <f t="shared" si="28"/>
        <v>2573.8000000000002</v>
      </c>
      <c r="D721">
        <f t="shared" si="27"/>
        <v>27142.799999999999</v>
      </c>
    </row>
    <row r="722" spans="1:4" x14ac:dyDescent="0.35">
      <c r="A722" t="s">
        <v>767</v>
      </c>
      <c r="B722">
        <v>12369</v>
      </c>
      <c r="C722">
        <f t="shared" si="28"/>
        <v>1455.7</v>
      </c>
      <c r="D722">
        <f t="shared" si="27"/>
        <v>13824.7</v>
      </c>
    </row>
    <row r="723" spans="1:4" x14ac:dyDescent="0.35">
      <c r="A723" t="s">
        <v>768</v>
      </c>
      <c r="B723">
        <v>25102</v>
      </c>
      <c r="C723">
        <f t="shared" si="28"/>
        <v>1285.3</v>
      </c>
      <c r="D723">
        <f t="shared" si="27"/>
        <v>26387.3</v>
      </c>
    </row>
    <row r="724" spans="1:4" x14ac:dyDescent="0.35">
      <c r="A724" t="s">
        <v>769</v>
      </c>
      <c r="B724">
        <v>17940</v>
      </c>
      <c r="C724">
        <f t="shared" si="28"/>
        <v>2543.4</v>
      </c>
      <c r="D724">
        <f t="shared" si="27"/>
        <v>20483.400000000001</v>
      </c>
    </row>
    <row r="725" spans="1:4" x14ac:dyDescent="0.35">
      <c r="A725" t="s">
        <v>770</v>
      </c>
      <c r="B725">
        <v>25520</v>
      </c>
      <c r="C725">
        <f t="shared" si="28"/>
        <v>1239.4000000000001</v>
      </c>
      <c r="D725">
        <f t="shared" si="27"/>
        <v>26759.4</v>
      </c>
    </row>
    <row r="726" spans="1:4" x14ac:dyDescent="0.35">
      <c r="A726" t="s">
        <v>771</v>
      </c>
      <c r="B726">
        <v>12971</v>
      </c>
      <c r="C726">
        <f t="shared" si="28"/>
        <v>2550.5</v>
      </c>
      <c r="D726">
        <f t="shared" si="27"/>
        <v>15521.5</v>
      </c>
    </row>
    <row r="727" spans="1:4" x14ac:dyDescent="0.35">
      <c r="A727" t="s">
        <v>772</v>
      </c>
      <c r="B727">
        <v>17249</v>
      </c>
      <c r="C727">
        <f t="shared" si="28"/>
        <v>2035.4</v>
      </c>
      <c r="D727">
        <f t="shared" si="27"/>
        <v>19284.400000000001</v>
      </c>
    </row>
    <row r="728" spans="1:4" x14ac:dyDescent="0.35">
      <c r="A728" t="s">
        <v>773</v>
      </c>
      <c r="B728">
        <v>13233</v>
      </c>
      <c r="C728">
        <f t="shared" si="28"/>
        <v>1582.3</v>
      </c>
      <c r="D728">
        <f t="shared" si="27"/>
        <v>14815.3</v>
      </c>
    </row>
    <row r="729" spans="1:4" x14ac:dyDescent="0.35">
      <c r="A729" t="s">
        <v>774</v>
      </c>
      <c r="B729">
        <v>15848</v>
      </c>
      <c r="C729">
        <f t="shared" si="28"/>
        <v>1452.4</v>
      </c>
      <c r="D729">
        <f t="shared" si="27"/>
        <v>17300.400000000001</v>
      </c>
    </row>
    <row r="730" spans="1:4" x14ac:dyDescent="0.35">
      <c r="A730" t="s">
        <v>775</v>
      </c>
      <c r="B730">
        <v>23977</v>
      </c>
      <c r="C730">
        <f t="shared" si="28"/>
        <v>2021.5</v>
      </c>
      <c r="D730">
        <f t="shared" si="27"/>
        <v>25998.5</v>
      </c>
    </row>
    <row r="731" spans="1:4" x14ac:dyDescent="0.35">
      <c r="A731" t="s">
        <v>776</v>
      </c>
      <c r="B731">
        <v>19934</v>
      </c>
      <c r="C731">
        <f t="shared" si="28"/>
        <v>2580.9</v>
      </c>
      <c r="D731">
        <f t="shared" si="27"/>
        <v>22514.9</v>
      </c>
    </row>
    <row r="732" spans="1:4" x14ac:dyDescent="0.35">
      <c r="A732" t="s">
        <v>777</v>
      </c>
      <c r="B732">
        <v>17707</v>
      </c>
      <c r="C732">
        <f t="shared" si="28"/>
        <v>1898</v>
      </c>
      <c r="D732">
        <f t="shared" si="27"/>
        <v>19605</v>
      </c>
    </row>
    <row r="733" spans="1:4" x14ac:dyDescent="0.35">
      <c r="A733" t="s">
        <v>778</v>
      </c>
      <c r="B733">
        <v>15595</v>
      </c>
      <c r="C733">
        <f t="shared" si="28"/>
        <v>2425</v>
      </c>
      <c r="D733">
        <f t="shared" si="27"/>
        <v>18020</v>
      </c>
    </row>
    <row r="734" spans="1:4" x14ac:dyDescent="0.35">
      <c r="A734" t="s">
        <v>779</v>
      </c>
      <c r="B734">
        <v>17343</v>
      </c>
      <c r="C734">
        <f t="shared" si="28"/>
        <v>1370.9</v>
      </c>
      <c r="D734">
        <f t="shared" si="27"/>
        <v>18713.900000000001</v>
      </c>
    </row>
    <row r="735" spans="1:4" x14ac:dyDescent="0.35">
      <c r="A735" t="s">
        <v>780</v>
      </c>
      <c r="B735">
        <v>13454</v>
      </c>
      <c r="C735">
        <f t="shared" si="28"/>
        <v>1606.2</v>
      </c>
      <c r="D735">
        <f t="shared" si="27"/>
        <v>15060.2</v>
      </c>
    </row>
    <row r="736" spans="1:4" x14ac:dyDescent="0.35">
      <c r="A736" t="s">
        <v>781</v>
      </c>
      <c r="B736">
        <v>17961</v>
      </c>
      <c r="C736">
        <f t="shared" si="28"/>
        <v>1502</v>
      </c>
      <c r="D736">
        <f t="shared" si="27"/>
        <v>19463</v>
      </c>
    </row>
    <row r="737" spans="1:4" x14ac:dyDescent="0.35">
      <c r="A737" t="s">
        <v>782</v>
      </c>
      <c r="B737">
        <v>26243</v>
      </c>
      <c r="C737">
        <f t="shared" si="28"/>
        <v>1428</v>
      </c>
      <c r="D737">
        <f t="shared" si="27"/>
        <v>27671</v>
      </c>
    </row>
    <row r="738" spans="1:4" x14ac:dyDescent="0.35">
      <c r="A738" t="s">
        <v>783</v>
      </c>
      <c r="B738">
        <v>24129</v>
      </c>
      <c r="C738">
        <f t="shared" si="28"/>
        <v>1381.2</v>
      </c>
      <c r="D738">
        <f t="shared" si="27"/>
        <v>25510.2</v>
      </c>
    </row>
    <row r="739" spans="1:4" x14ac:dyDescent="0.35">
      <c r="A739" t="s">
        <v>784</v>
      </c>
      <c r="B739">
        <v>14891</v>
      </c>
      <c r="C739">
        <f t="shared" si="28"/>
        <v>1688</v>
      </c>
      <c r="D739">
        <f t="shared" si="27"/>
        <v>16579</v>
      </c>
    </row>
    <row r="740" spans="1:4" x14ac:dyDescent="0.35">
      <c r="A740" t="s">
        <v>785</v>
      </c>
      <c r="B740">
        <v>24202</v>
      </c>
      <c r="C740">
        <f t="shared" si="28"/>
        <v>2497.3000000000002</v>
      </c>
      <c r="D740">
        <f t="shared" si="27"/>
        <v>26699.3</v>
      </c>
    </row>
    <row r="741" spans="1:4" x14ac:dyDescent="0.35">
      <c r="A741" t="s">
        <v>786</v>
      </c>
      <c r="B741">
        <v>18319</v>
      </c>
      <c r="C741">
        <f t="shared" si="28"/>
        <v>1335.4</v>
      </c>
      <c r="D741">
        <f t="shared" si="27"/>
        <v>19654.400000000001</v>
      </c>
    </row>
    <row r="742" spans="1:4" x14ac:dyDescent="0.35">
      <c r="A742" t="s">
        <v>787</v>
      </c>
      <c r="B742">
        <v>18582</v>
      </c>
      <c r="C742">
        <f t="shared" si="28"/>
        <v>1900.3</v>
      </c>
      <c r="D742">
        <f t="shared" si="27"/>
        <v>20482.3</v>
      </c>
    </row>
    <row r="743" spans="1:4" x14ac:dyDescent="0.35">
      <c r="A743" t="s">
        <v>788</v>
      </c>
      <c r="B743">
        <v>20388</v>
      </c>
      <c r="C743">
        <f t="shared" si="28"/>
        <v>2498.3000000000002</v>
      </c>
      <c r="D743">
        <f t="shared" si="27"/>
        <v>22886.3</v>
      </c>
    </row>
    <row r="744" spans="1:4" x14ac:dyDescent="0.35">
      <c r="A744" t="s">
        <v>789</v>
      </c>
      <c r="B744">
        <v>23519</v>
      </c>
      <c r="C744">
        <f t="shared" si="28"/>
        <v>2590.5</v>
      </c>
      <c r="D744">
        <f t="shared" si="27"/>
        <v>26109.5</v>
      </c>
    </row>
    <row r="745" spans="1:4" x14ac:dyDescent="0.35">
      <c r="A745" t="s">
        <v>790</v>
      </c>
      <c r="B745">
        <v>21484</v>
      </c>
      <c r="C745">
        <f t="shared" si="28"/>
        <v>1363.7</v>
      </c>
      <c r="D745">
        <f t="shared" si="27"/>
        <v>22847.7</v>
      </c>
    </row>
    <row r="746" spans="1:4" x14ac:dyDescent="0.35">
      <c r="A746" t="s">
        <v>791</v>
      </c>
      <c r="B746">
        <v>15401</v>
      </c>
      <c r="C746">
        <f t="shared" si="28"/>
        <v>1760.3</v>
      </c>
      <c r="D746">
        <f t="shared" si="27"/>
        <v>17161.3</v>
      </c>
    </row>
    <row r="747" spans="1:4" x14ac:dyDescent="0.35">
      <c r="A747" t="s">
        <v>792</v>
      </c>
      <c r="B747">
        <v>24546</v>
      </c>
      <c r="C747">
        <f t="shared" si="28"/>
        <v>2345.1999999999998</v>
      </c>
      <c r="D747">
        <f t="shared" si="27"/>
        <v>26891.200000000001</v>
      </c>
    </row>
    <row r="748" spans="1:4" x14ac:dyDescent="0.35">
      <c r="A748" t="s">
        <v>793</v>
      </c>
      <c r="B748">
        <v>14357</v>
      </c>
      <c r="C748">
        <f t="shared" si="28"/>
        <v>2617.1999999999998</v>
      </c>
      <c r="D748">
        <f t="shared" si="27"/>
        <v>16974.2</v>
      </c>
    </row>
    <row r="749" spans="1:4" x14ac:dyDescent="0.35">
      <c r="A749" t="s">
        <v>794</v>
      </c>
      <c r="B749">
        <v>16427</v>
      </c>
      <c r="C749">
        <f t="shared" si="28"/>
        <v>2346.6</v>
      </c>
      <c r="D749">
        <f t="shared" si="27"/>
        <v>18773.599999999999</v>
      </c>
    </row>
    <row r="750" spans="1:4" x14ac:dyDescent="0.35">
      <c r="A750" t="s">
        <v>795</v>
      </c>
      <c r="B750">
        <v>20389</v>
      </c>
      <c r="C750">
        <f t="shared" si="28"/>
        <v>2643.3</v>
      </c>
      <c r="D750">
        <f t="shared" si="27"/>
        <v>23032.3</v>
      </c>
    </row>
    <row r="751" spans="1:4" x14ac:dyDescent="0.35">
      <c r="A751" t="s">
        <v>796</v>
      </c>
      <c r="B751">
        <v>14753</v>
      </c>
      <c r="C751">
        <f t="shared" si="28"/>
        <v>2552.6999999999998</v>
      </c>
      <c r="D751">
        <f t="shared" si="27"/>
        <v>17305.7</v>
      </c>
    </row>
    <row r="752" spans="1:4" x14ac:dyDescent="0.35">
      <c r="A752" t="s">
        <v>797</v>
      </c>
      <c r="B752">
        <v>15495</v>
      </c>
      <c r="C752">
        <f t="shared" si="28"/>
        <v>1664.1</v>
      </c>
      <c r="D752">
        <f t="shared" si="27"/>
        <v>17159.099999999999</v>
      </c>
    </row>
    <row r="753" spans="1:4" x14ac:dyDescent="0.35">
      <c r="A753" t="s">
        <v>798</v>
      </c>
      <c r="B753">
        <v>20314</v>
      </c>
      <c r="C753">
        <f t="shared" si="28"/>
        <v>1785</v>
      </c>
      <c r="D753">
        <f t="shared" si="27"/>
        <v>22099</v>
      </c>
    </row>
    <row r="754" spans="1:4" x14ac:dyDescent="0.35">
      <c r="A754" t="s">
        <v>799</v>
      </c>
      <c r="B754">
        <v>12417</v>
      </c>
      <c r="C754">
        <f t="shared" si="28"/>
        <v>1212.7</v>
      </c>
      <c r="D754">
        <f t="shared" si="27"/>
        <v>13629.7</v>
      </c>
    </row>
    <row r="755" spans="1:4" x14ac:dyDescent="0.35">
      <c r="A755" t="s">
        <v>800</v>
      </c>
      <c r="B755">
        <v>21398</v>
      </c>
      <c r="C755">
        <f t="shared" si="28"/>
        <v>1553</v>
      </c>
      <c r="D755">
        <f t="shared" si="27"/>
        <v>22951</v>
      </c>
    </row>
    <row r="756" spans="1:4" x14ac:dyDescent="0.35">
      <c r="A756" t="s">
        <v>801</v>
      </c>
      <c r="B756">
        <v>19940</v>
      </c>
      <c r="C756">
        <f t="shared" si="28"/>
        <v>1497.6</v>
      </c>
      <c r="D756">
        <f t="shared" si="27"/>
        <v>21437.599999999999</v>
      </c>
    </row>
    <row r="757" spans="1:4" x14ac:dyDescent="0.35">
      <c r="A757" t="s">
        <v>802</v>
      </c>
      <c r="B757">
        <v>17873</v>
      </c>
      <c r="C757">
        <f t="shared" si="28"/>
        <v>1900.7</v>
      </c>
      <c r="D757">
        <f t="shared" si="27"/>
        <v>19773.7</v>
      </c>
    </row>
    <row r="758" spans="1:4" x14ac:dyDescent="0.35">
      <c r="A758" t="s">
        <v>803</v>
      </c>
      <c r="B758">
        <v>23464</v>
      </c>
      <c r="C758">
        <f t="shared" si="28"/>
        <v>2319.3000000000002</v>
      </c>
      <c r="D758">
        <f t="shared" si="27"/>
        <v>25783.3</v>
      </c>
    </row>
    <row r="759" spans="1:4" x14ac:dyDescent="0.35">
      <c r="A759" t="s">
        <v>804</v>
      </c>
      <c r="B759">
        <v>13012</v>
      </c>
      <c r="C759">
        <f t="shared" si="28"/>
        <v>1506.5</v>
      </c>
      <c r="D759">
        <f t="shared" si="27"/>
        <v>14518.5</v>
      </c>
    </row>
    <row r="760" spans="1:4" x14ac:dyDescent="0.35">
      <c r="A760" t="s">
        <v>805</v>
      </c>
      <c r="B760">
        <v>20174</v>
      </c>
      <c r="C760">
        <f t="shared" si="28"/>
        <v>1897.9</v>
      </c>
      <c r="D760">
        <f t="shared" si="27"/>
        <v>22071.9</v>
      </c>
    </row>
    <row r="761" spans="1:4" x14ac:dyDescent="0.35">
      <c r="A761" t="s">
        <v>806</v>
      </c>
      <c r="B761">
        <v>26050</v>
      </c>
      <c r="C761">
        <f t="shared" si="28"/>
        <v>2556</v>
      </c>
      <c r="D761">
        <f t="shared" si="27"/>
        <v>28606</v>
      </c>
    </row>
    <row r="762" spans="1:4" x14ac:dyDescent="0.35">
      <c r="A762" t="s">
        <v>807</v>
      </c>
      <c r="B762">
        <v>12711</v>
      </c>
      <c r="C762">
        <f t="shared" si="28"/>
        <v>2462</v>
      </c>
      <c r="D762">
        <f t="shared" si="27"/>
        <v>15173</v>
      </c>
    </row>
    <row r="763" spans="1:4" x14ac:dyDescent="0.35">
      <c r="A763" t="s">
        <v>808</v>
      </c>
      <c r="B763">
        <v>19103</v>
      </c>
      <c r="C763">
        <f t="shared" si="28"/>
        <v>1754.8</v>
      </c>
      <c r="D763">
        <f t="shared" si="27"/>
        <v>20857.8</v>
      </c>
    </row>
    <row r="764" spans="1:4" x14ac:dyDescent="0.35">
      <c r="A764" t="s">
        <v>809</v>
      </c>
      <c r="B764">
        <v>14998</v>
      </c>
      <c r="C764">
        <f t="shared" si="28"/>
        <v>1572.9</v>
      </c>
      <c r="D764">
        <f t="shared" si="27"/>
        <v>16570.900000000001</v>
      </c>
    </row>
    <row r="765" spans="1:4" x14ac:dyDescent="0.35">
      <c r="A765" t="s">
        <v>810</v>
      </c>
      <c r="B765">
        <v>20115</v>
      </c>
      <c r="C765">
        <f t="shared" si="28"/>
        <v>1554.9</v>
      </c>
      <c r="D765">
        <f t="shared" si="27"/>
        <v>21669.9</v>
      </c>
    </row>
    <row r="766" spans="1:4" x14ac:dyDescent="0.35">
      <c r="A766" t="s">
        <v>811</v>
      </c>
      <c r="B766">
        <v>24974</v>
      </c>
      <c r="C766">
        <f t="shared" si="28"/>
        <v>1393.2</v>
      </c>
      <c r="D766">
        <f t="shared" si="27"/>
        <v>26367.200000000001</v>
      </c>
    </row>
    <row r="767" spans="1:4" x14ac:dyDescent="0.35">
      <c r="A767" t="s">
        <v>812</v>
      </c>
      <c r="B767">
        <v>15239</v>
      </c>
      <c r="C767">
        <f t="shared" si="28"/>
        <v>2393.6999999999998</v>
      </c>
      <c r="D767">
        <f t="shared" si="27"/>
        <v>17632.7</v>
      </c>
    </row>
    <row r="768" spans="1:4" x14ac:dyDescent="0.35">
      <c r="A768" t="s">
        <v>813</v>
      </c>
      <c r="B768">
        <v>24990</v>
      </c>
      <c r="C768">
        <f t="shared" si="28"/>
        <v>1285.0999999999999</v>
      </c>
      <c r="D768">
        <f t="shared" si="27"/>
        <v>26275.1</v>
      </c>
    </row>
    <row r="769" spans="1:4" x14ac:dyDescent="0.35">
      <c r="A769" t="s">
        <v>814</v>
      </c>
      <c r="B769">
        <v>13125</v>
      </c>
      <c r="C769">
        <f t="shared" si="28"/>
        <v>1940.7</v>
      </c>
      <c r="D769">
        <f t="shared" si="27"/>
        <v>15065.7</v>
      </c>
    </row>
    <row r="770" spans="1:4" x14ac:dyDescent="0.35">
      <c r="A770" t="s">
        <v>815</v>
      </c>
      <c r="B770">
        <v>15666</v>
      </c>
      <c r="C770">
        <f t="shared" si="28"/>
        <v>1757</v>
      </c>
      <c r="D770">
        <f t="shared" si="27"/>
        <v>17423</v>
      </c>
    </row>
    <row r="771" spans="1:4" x14ac:dyDescent="0.35">
      <c r="A771" t="s">
        <v>816</v>
      </c>
      <c r="B771">
        <v>21022</v>
      </c>
      <c r="C771">
        <f t="shared" si="28"/>
        <v>2485.1999999999998</v>
      </c>
      <c r="D771">
        <f t="shared" ref="D771:D834" si="29">B771+C771</f>
        <v>23507.200000000001</v>
      </c>
    </row>
    <row r="772" spans="1:4" x14ac:dyDescent="0.35">
      <c r="A772" t="s">
        <v>817</v>
      </c>
      <c r="B772">
        <v>24598</v>
      </c>
      <c r="C772">
        <f t="shared" si="28"/>
        <v>1311.1</v>
      </c>
      <c r="D772">
        <f t="shared" si="29"/>
        <v>25909.1</v>
      </c>
    </row>
    <row r="773" spans="1:4" x14ac:dyDescent="0.35">
      <c r="A773" t="s">
        <v>818</v>
      </c>
      <c r="B773">
        <v>13760</v>
      </c>
      <c r="C773">
        <f t="shared" ref="C773:C836" si="30">B522*10/100</f>
        <v>2493</v>
      </c>
      <c r="D773">
        <f t="shared" si="29"/>
        <v>16253</v>
      </c>
    </row>
    <row r="774" spans="1:4" x14ac:dyDescent="0.35">
      <c r="A774" t="s">
        <v>819</v>
      </c>
      <c r="B774">
        <v>24861</v>
      </c>
      <c r="C774">
        <f t="shared" si="30"/>
        <v>1736.8</v>
      </c>
      <c r="D774">
        <f t="shared" si="29"/>
        <v>26597.8</v>
      </c>
    </row>
    <row r="775" spans="1:4" x14ac:dyDescent="0.35">
      <c r="A775" t="s">
        <v>820</v>
      </c>
      <c r="B775">
        <v>16827</v>
      </c>
      <c r="C775">
        <f t="shared" si="30"/>
        <v>2556.5</v>
      </c>
      <c r="D775">
        <f t="shared" si="29"/>
        <v>19383.5</v>
      </c>
    </row>
    <row r="776" spans="1:4" x14ac:dyDescent="0.35">
      <c r="A776" t="s">
        <v>821</v>
      </c>
      <c r="B776">
        <v>19118</v>
      </c>
      <c r="C776">
        <f t="shared" si="30"/>
        <v>1550.9</v>
      </c>
      <c r="D776">
        <f t="shared" si="29"/>
        <v>20668.900000000001</v>
      </c>
    </row>
    <row r="777" spans="1:4" x14ac:dyDescent="0.35">
      <c r="A777" t="s">
        <v>822</v>
      </c>
      <c r="B777">
        <v>25219</v>
      </c>
      <c r="C777">
        <f t="shared" si="30"/>
        <v>1548.9</v>
      </c>
      <c r="D777">
        <f t="shared" si="29"/>
        <v>26767.9</v>
      </c>
    </row>
    <row r="778" spans="1:4" x14ac:dyDescent="0.35">
      <c r="A778" t="s">
        <v>823</v>
      </c>
      <c r="B778">
        <v>20311</v>
      </c>
      <c r="C778">
        <f t="shared" si="30"/>
        <v>2095.1</v>
      </c>
      <c r="D778">
        <f t="shared" si="29"/>
        <v>22406.1</v>
      </c>
    </row>
    <row r="779" spans="1:4" x14ac:dyDescent="0.35">
      <c r="A779" t="s">
        <v>824</v>
      </c>
      <c r="B779">
        <v>25339</v>
      </c>
      <c r="C779">
        <f t="shared" si="30"/>
        <v>2630</v>
      </c>
      <c r="D779">
        <f t="shared" si="29"/>
        <v>27969</v>
      </c>
    </row>
    <row r="780" spans="1:4" x14ac:dyDescent="0.35">
      <c r="A780" t="s">
        <v>825</v>
      </c>
      <c r="B780">
        <v>14164</v>
      </c>
      <c r="C780">
        <f t="shared" si="30"/>
        <v>1554.2</v>
      </c>
      <c r="D780">
        <f t="shared" si="29"/>
        <v>15718.2</v>
      </c>
    </row>
    <row r="781" spans="1:4" x14ac:dyDescent="0.35">
      <c r="A781" t="s">
        <v>826</v>
      </c>
      <c r="B781">
        <v>18325</v>
      </c>
      <c r="C781">
        <f t="shared" si="30"/>
        <v>1766.7</v>
      </c>
      <c r="D781">
        <f t="shared" si="29"/>
        <v>20091.7</v>
      </c>
    </row>
    <row r="782" spans="1:4" x14ac:dyDescent="0.35">
      <c r="A782" t="s">
        <v>827</v>
      </c>
      <c r="B782">
        <v>20021</v>
      </c>
      <c r="C782">
        <f t="shared" si="30"/>
        <v>1556.3</v>
      </c>
      <c r="D782">
        <f t="shared" si="29"/>
        <v>21577.3</v>
      </c>
    </row>
    <row r="783" spans="1:4" x14ac:dyDescent="0.35">
      <c r="A783" t="s">
        <v>828</v>
      </c>
      <c r="B783">
        <v>26850</v>
      </c>
      <c r="C783">
        <f t="shared" si="30"/>
        <v>1935.3</v>
      </c>
      <c r="D783">
        <f t="shared" si="29"/>
        <v>28785.3</v>
      </c>
    </row>
    <row r="784" spans="1:4" x14ac:dyDescent="0.35">
      <c r="A784" t="s">
        <v>829</v>
      </c>
      <c r="B784">
        <v>19453</v>
      </c>
      <c r="C784">
        <f t="shared" si="30"/>
        <v>1666.5</v>
      </c>
      <c r="D784">
        <f t="shared" si="29"/>
        <v>21119.5</v>
      </c>
    </row>
    <row r="785" spans="1:4" x14ac:dyDescent="0.35">
      <c r="A785" t="s">
        <v>830</v>
      </c>
      <c r="B785">
        <v>18877</v>
      </c>
      <c r="C785">
        <f t="shared" si="30"/>
        <v>1401.2</v>
      </c>
      <c r="D785">
        <f t="shared" si="29"/>
        <v>20278.2</v>
      </c>
    </row>
    <row r="786" spans="1:4" x14ac:dyDescent="0.35">
      <c r="A786" t="s">
        <v>831</v>
      </c>
      <c r="B786">
        <v>16713</v>
      </c>
      <c r="C786">
        <f t="shared" si="30"/>
        <v>1379</v>
      </c>
      <c r="D786">
        <f t="shared" si="29"/>
        <v>18092</v>
      </c>
    </row>
    <row r="787" spans="1:4" x14ac:dyDescent="0.35">
      <c r="A787" t="s">
        <v>832</v>
      </c>
      <c r="B787">
        <v>14765</v>
      </c>
      <c r="C787">
        <f t="shared" si="30"/>
        <v>2721.8</v>
      </c>
      <c r="D787">
        <f t="shared" si="29"/>
        <v>17486.8</v>
      </c>
    </row>
    <row r="788" spans="1:4" x14ac:dyDescent="0.35">
      <c r="A788" t="s">
        <v>833</v>
      </c>
      <c r="B788">
        <v>21220</v>
      </c>
      <c r="C788">
        <f t="shared" si="30"/>
        <v>1557.9</v>
      </c>
      <c r="D788">
        <f t="shared" si="29"/>
        <v>22777.9</v>
      </c>
    </row>
    <row r="789" spans="1:4" x14ac:dyDescent="0.35">
      <c r="A789" t="s">
        <v>834</v>
      </c>
      <c r="B789">
        <v>19151</v>
      </c>
      <c r="C789">
        <f t="shared" si="30"/>
        <v>2032.8</v>
      </c>
      <c r="D789">
        <f t="shared" si="29"/>
        <v>21183.8</v>
      </c>
    </row>
    <row r="790" spans="1:4" x14ac:dyDescent="0.35">
      <c r="A790" t="s">
        <v>835</v>
      </c>
      <c r="B790">
        <v>20083</v>
      </c>
      <c r="C790">
        <f t="shared" si="30"/>
        <v>2536.6999999999998</v>
      </c>
      <c r="D790">
        <f t="shared" si="29"/>
        <v>22619.7</v>
      </c>
    </row>
    <row r="791" spans="1:4" x14ac:dyDescent="0.35">
      <c r="A791" t="s">
        <v>836</v>
      </c>
      <c r="B791">
        <v>15423</v>
      </c>
      <c r="C791">
        <f t="shared" si="30"/>
        <v>1712.2</v>
      </c>
      <c r="D791">
        <f t="shared" si="29"/>
        <v>17135.2</v>
      </c>
    </row>
    <row r="792" spans="1:4" x14ac:dyDescent="0.35">
      <c r="A792" t="s">
        <v>837</v>
      </c>
      <c r="B792">
        <v>18091</v>
      </c>
      <c r="C792">
        <f t="shared" si="30"/>
        <v>1915.4</v>
      </c>
      <c r="D792">
        <f t="shared" si="29"/>
        <v>20006.400000000001</v>
      </c>
    </row>
    <row r="793" spans="1:4" x14ac:dyDescent="0.35">
      <c r="A793" t="s">
        <v>838</v>
      </c>
      <c r="B793">
        <v>13872</v>
      </c>
      <c r="C793">
        <f t="shared" si="30"/>
        <v>2351.8000000000002</v>
      </c>
      <c r="D793">
        <f t="shared" si="29"/>
        <v>16223.8</v>
      </c>
    </row>
    <row r="794" spans="1:4" x14ac:dyDescent="0.35">
      <c r="A794" t="s">
        <v>839</v>
      </c>
      <c r="B794">
        <v>16469</v>
      </c>
      <c r="C794">
        <f t="shared" si="30"/>
        <v>1467.1</v>
      </c>
      <c r="D794">
        <f t="shared" si="29"/>
        <v>17936.099999999999</v>
      </c>
    </row>
    <row r="795" spans="1:4" x14ac:dyDescent="0.35">
      <c r="A795" t="s">
        <v>840</v>
      </c>
      <c r="B795">
        <v>20506</v>
      </c>
      <c r="C795">
        <f t="shared" si="30"/>
        <v>2523.3000000000002</v>
      </c>
      <c r="D795">
        <f t="shared" si="29"/>
        <v>23029.3</v>
      </c>
    </row>
    <row r="796" spans="1:4" x14ac:dyDescent="0.35">
      <c r="A796" t="s">
        <v>841</v>
      </c>
      <c r="B796">
        <v>16653</v>
      </c>
      <c r="C796">
        <f t="shared" si="30"/>
        <v>1554.6</v>
      </c>
      <c r="D796">
        <f t="shared" si="29"/>
        <v>18207.599999999999</v>
      </c>
    </row>
    <row r="797" spans="1:4" x14ac:dyDescent="0.35">
      <c r="A797" t="s">
        <v>842</v>
      </c>
      <c r="B797">
        <v>12719</v>
      </c>
      <c r="C797">
        <f t="shared" si="30"/>
        <v>2640.1</v>
      </c>
      <c r="D797">
        <f t="shared" si="29"/>
        <v>15359.1</v>
      </c>
    </row>
    <row r="798" spans="1:4" x14ac:dyDescent="0.35">
      <c r="A798" t="s">
        <v>843</v>
      </c>
      <c r="B798">
        <v>19216</v>
      </c>
      <c r="C798">
        <f t="shared" si="30"/>
        <v>1588.6</v>
      </c>
      <c r="D798">
        <f t="shared" si="29"/>
        <v>20804.599999999999</v>
      </c>
    </row>
    <row r="799" spans="1:4" x14ac:dyDescent="0.35">
      <c r="A799" t="s">
        <v>844</v>
      </c>
      <c r="B799">
        <v>13422</v>
      </c>
      <c r="C799">
        <f t="shared" si="30"/>
        <v>2737.3</v>
      </c>
      <c r="D799">
        <f t="shared" si="29"/>
        <v>16159.3</v>
      </c>
    </row>
    <row r="800" spans="1:4" x14ac:dyDescent="0.35">
      <c r="A800" t="s">
        <v>845</v>
      </c>
      <c r="B800">
        <v>17448</v>
      </c>
      <c r="C800">
        <f t="shared" si="30"/>
        <v>2461.3000000000002</v>
      </c>
      <c r="D800">
        <f t="shared" si="29"/>
        <v>19909.3</v>
      </c>
    </row>
    <row r="801" spans="1:4" x14ac:dyDescent="0.35">
      <c r="A801" t="s">
        <v>846</v>
      </c>
      <c r="B801">
        <v>18061</v>
      </c>
      <c r="C801">
        <f t="shared" si="30"/>
        <v>1903.9</v>
      </c>
      <c r="D801">
        <f t="shared" si="29"/>
        <v>19964.900000000001</v>
      </c>
    </row>
    <row r="802" spans="1:4" x14ac:dyDescent="0.35">
      <c r="A802" t="s">
        <v>847</v>
      </c>
      <c r="B802">
        <v>16042</v>
      </c>
      <c r="C802">
        <f t="shared" si="30"/>
        <v>2566.1999999999998</v>
      </c>
      <c r="D802">
        <f t="shared" si="29"/>
        <v>18608.2</v>
      </c>
    </row>
    <row r="803" spans="1:4" x14ac:dyDescent="0.35">
      <c r="A803" t="s">
        <v>848</v>
      </c>
      <c r="B803">
        <v>24885</v>
      </c>
      <c r="C803">
        <f t="shared" si="30"/>
        <v>1620.2</v>
      </c>
      <c r="D803">
        <f t="shared" si="29"/>
        <v>26505.200000000001</v>
      </c>
    </row>
    <row r="804" spans="1:4" x14ac:dyDescent="0.35">
      <c r="A804" t="s">
        <v>849</v>
      </c>
      <c r="B804">
        <v>12192</v>
      </c>
      <c r="C804">
        <f t="shared" si="30"/>
        <v>1716.7</v>
      </c>
      <c r="D804">
        <f t="shared" si="29"/>
        <v>13908.7</v>
      </c>
    </row>
    <row r="805" spans="1:4" x14ac:dyDescent="0.35">
      <c r="A805" t="s">
        <v>850</v>
      </c>
      <c r="B805">
        <v>19629</v>
      </c>
      <c r="C805">
        <f t="shared" si="30"/>
        <v>1553</v>
      </c>
      <c r="D805">
        <f t="shared" si="29"/>
        <v>21182</v>
      </c>
    </row>
    <row r="806" spans="1:4" x14ac:dyDescent="0.35">
      <c r="A806" t="s">
        <v>851</v>
      </c>
      <c r="B806">
        <v>24603</v>
      </c>
      <c r="C806">
        <f t="shared" si="30"/>
        <v>1513.6</v>
      </c>
      <c r="D806">
        <f t="shared" si="29"/>
        <v>26116.6</v>
      </c>
    </row>
    <row r="807" spans="1:4" x14ac:dyDescent="0.35">
      <c r="A807" t="s">
        <v>852</v>
      </c>
      <c r="B807">
        <v>25769</v>
      </c>
      <c r="C807">
        <f t="shared" si="30"/>
        <v>1431.7</v>
      </c>
      <c r="D807">
        <f t="shared" si="29"/>
        <v>27200.7</v>
      </c>
    </row>
    <row r="808" spans="1:4" x14ac:dyDescent="0.35">
      <c r="A808" t="s">
        <v>853</v>
      </c>
      <c r="B808">
        <v>20724</v>
      </c>
      <c r="C808">
        <f t="shared" si="30"/>
        <v>1992.4</v>
      </c>
      <c r="D808">
        <f t="shared" si="29"/>
        <v>22716.400000000001</v>
      </c>
    </row>
    <row r="809" spans="1:4" x14ac:dyDescent="0.35">
      <c r="A809" t="s">
        <v>854</v>
      </c>
      <c r="B809">
        <v>20100</v>
      </c>
      <c r="C809">
        <f t="shared" si="30"/>
        <v>1538.2</v>
      </c>
      <c r="D809">
        <f t="shared" si="29"/>
        <v>21638.2</v>
      </c>
    </row>
    <row r="810" spans="1:4" x14ac:dyDescent="0.35">
      <c r="A810" t="s">
        <v>855</v>
      </c>
      <c r="B810">
        <v>23640</v>
      </c>
      <c r="C810">
        <f t="shared" si="30"/>
        <v>2110</v>
      </c>
      <c r="D810">
        <f t="shared" si="29"/>
        <v>25750</v>
      </c>
    </row>
    <row r="811" spans="1:4" x14ac:dyDescent="0.35">
      <c r="A811" t="s">
        <v>856</v>
      </c>
      <c r="B811">
        <v>14179</v>
      </c>
      <c r="C811">
        <f t="shared" si="30"/>
        <v>1347.6</v>
      </c>
      <c r="D811">
        <f t="shared" si="29"/>
        <v>15526.6</v>
      </c>
    </row>
    <row r="812" spans="1:4" x14ac:dyDescent="0.35">
      <c r="A812" t="s">
        <v>857</v>
      </c>
      <c r="B812">
        <v>14450</v>
      </c>
      <c r="C812">
        <f t="shared" si="30"/>
        <v>2357</v>
      </c>
      <c r="D812">
        <f t="shared" si="29"/>
        <v>16807</v>
      </c>
    </row>
    <row r="813" spans="1:4" x14ac:dyDescent="0.35">
      <c r="A813" t="s">
        <v>858</v>
      </c>
      <c r="B813">
        <v>25357</v>
      </c>
      <c r="C813">
        <f t="shared" si="30"/>
        <v>2399.9</v>
      </c>
      <c r="D813">
        <f t="shared" si="29"/>
        <v>27756.9</v>
      </c>
    </row>
    <row r="814" spans="1:4" x14ac:dyDescent="0.35">
      <c r="A814" t="s">
        <v>859</v>
      </c>
      <c r="B814">
        <v>21063</v>
      </c>
      <c r="C814">
        <f t="shared" si="30"/>
        <v>2585.8000000000002</v>
      </c>
      <c r="D814">
        <f t="shared" si="29"/>
        <v>23648.799999999999</v>
      </c>
    </row>
    <row r="815" spans="1:4" x14ac:dyDescent="0.35">
      <c r="A815" t="s">
        <v>860</v>
      </c>
      <c r="B815">
        <v>23971</v>
      </c>
      <c r="C815">
        <f t="shared" si="30"/>
        <v>1840.1</v>
      </c>
      <c r="D815">
        <f t="shared" si="29"/>
        <v>25811.1</v>
      </c>
    </row>
    <row r="816" spans="1:4" x14ac:dyDescent="0.35">
      <c r="A816" t="s">
        <v>861</v>
      </c>
      <c r="B816">
        <v>16753</v>
      </c>
      <c r="C816">
        <f t="shared" si="30"/>
        <v>1967.5</v>
      </c>
      <c r="D816">
        <f t="shared" si="29"/>
        <v>18720.5</v>
      </c>
    </row>
    <row r="817" spans="1:4" x14ac:dyDescent="0.35">
      <c r="A817" t="s">
        <v>862</v>
      </c>
      <c r="B817">
        <v>16832</v>
      </c>
      <c r="C817">
        <f t="shared" si="30"/>
        <v>1841.9</v>
      </c>
      <c r="D817">
        <f t="shared" si="29"/>
        <v>18673.900000000001</v>
      </c>
    </row>
    <row r="818" spans="1:4" x14ac:dyDescent="0.35">
      <c r="A818" t="s">
        <v>863</v>
      </c>
      <c r="B818">
        <v>27114</v>
      </c>
      <c r="C818">
        <f t="shared" si="30"/>
        <v>1375</v>
      </c>
      <c r="D818">
        <f t="shared" si="29"/>
        <v>28489</v>
      </c>
    </row>
    <row r="819" spans="1:4" x14ac:dyDescent="0.35">
      <c r="A819" t="s">
        <v>864</v>
      </c>
      <c r="B819">
        <v>15467</v>
      </c>
      <c r="C819">
        <f t="shared" si="30"/>
        <v>1678.2</v>
      </c>
      <c r="D819">
        <f t="shared" si="29"/>
        <v>17145.2</v>
      </c>
    </row>
    <row r="820" spans="1:4" x14ac:dyDescent="0.35">
      <c r="A820" t="s">
        <v>865</v>
      </c>
      <c r="B820">
        <v>20164</v>
      </c>
      <c r="C820">
        <f t="shared" si="30"/>
        <v>1676.4</v>
      </c>
      <c r="D820">
        <f t="shared" si="29"/>
        <v>21840.400000000001</v>
      </c>
    </row>
    <row r="821" spans="1:4" x14ac:dyDescent="0.35">
      <c r="A821" t="s">
        <v>866</v>
      </c>
      <c r="B821">
        <v>14243</v>
      </c>
      <c r="C821">
        <f t="shared" si="30"/>
        <v>1572.6</v>
      </c>
      <c r="D821">
        <f t="shared" si="29"/>
        <v>15815.6</v>
      </c>
    </row>
    <row r="822" spans="1:4" x14ac:dyDescent="0.35">
      <c r="A822" t="s">
        <v>867</v>
      </c>
      <c r="B822">
        <v>14321</v>
      </c>
      <c r="C822">
        <f t="shared" si="30"/>
        <v>2480.8000000000002</v>
      </c>
      <c r="D822">
        <f t="shared" si="29"/>
        <v>16801.8</v>
      </c>
    </row>
    <row r="823" spans="1:4" x14ac:dyDescent="0.35">
      <c r="A823" t="s">
        <v>868</v>
      </c>
      <c r="B823">
        <v>16682</v>
      </c>
      <c r="C823">
        <f t="shared" si="30"/>
        <v>1859.4</v>
      </c>
      <c r="D823">
        <f t="shared" si="29"/>
        <v>18541.400000000001</v>
      </c>
    </row>
    <row r="824" spans="1:4" x14ac:dyDescent="0.35">
      <c r="A824" t="s">
        <v>869</v>
      </c>
      <c r="B824">
        <v>14367</v>
      </c>
      <c r="C824">
        <f t="shared" si="30"/>
        <v>1447.7</v>
      </c>
      <c r="D824">
        <f t="shared" si="29"/>
        <v>15814.7</v>
      </c>
    </row>
    <row r="825" spans="1:4" x14ac:dyDescent="0.35">
      <c r="A825" t="s">
        <v>870</v>
      </c>
      <c r="B825">
        <v>12900</v>
      </c>
      <c r="C825">
        <f t="shared" si="30"/>
        <v>2014.8</v>
      </c>
      <c r="D825">
        <f t="shared" si="29"/>
        <v>14914.8</v>
      </c>
    </row>
    <row r="826" spans="1:4" x14ac:dyDescent="0.35">
      <c r="A826" t="s">
        <v>871</v>
      </c>
      <c r="B826">
        <v>15358</v>
      </c>
      <c r="C826">
        <f t="shared" si="30"/>
        <v>1497.4</v>
      </c>
      <c r="D826">
        <f t="shared" si="29"/>
        <v>16855.400000000001</v>
      </c>
    </row>
    <row r="827" spans="1:4" x14ac:dyDescent="0.35">
      <c r="A827" t="s">
        <v>872</v>
      </c>
      <c r="B827">
        <v>16057</v>
      </c>
      <c r="C827">
        <f t="shared" si="30"/>
        <v>1396.4</v>
      </c>
      <c r="D827">
        <f t="shared" si="29"/>
        <v>17453.400000000001</v>
      </c>
    </row>
    <row r="828" spans="1:4" x14ac:dyDescent="0.35">
      <c r="A828" t="s">
        <v>873</v>
      </c>
      <c r="B828">
        <v>23708</v>
      </c>
      <c r="C828">
        <f t="shared" si="30"/>
        <v>1438.5</v>
      </c>
      <c r="D828">
        <f t="shared" si="29"/>
        <v>25146.5</v>
      </c>
    </row>
    <row r="829" spans="1:4" x14ac:dyDescent="0.35">
      <c r="A829" t="s">
        <v>874</v>
      </c>
      <c r="B829">
        <v>17778</v>
      </c>
      <c r="C829">
        <f t="shared" si="30"/>
        <v>1370.7</v>
      </c>
      <c r="D829">
        <f t="shared" si="29"/>
        <v>19148.7</v>
      </c>
    </row>
    <row r="830" spans="1:4" x14ac:dyDescent="0.35">
      <c r="A830" t="s">
        <v>875</v>
      </c>
      <c r="B830">
        <v>18701</v>
      </c>
      <c r="C830">
        <f t="shared" si="30"/>
        <v>1507.5</v>
      </c>
      <c r="D830">
        <f t="shared" si="29"/>
        <v>20208.5</v>
      </c>
    </row>
    <row r="831" spans="1:4" x14ac:dyDescent="0.35">
      <c r="A831" t="s">
        <v>876</v>
      </c>
      <c r="B831">
        <v>15991</v>
      </c>
      <c r="C831">
        <f t="shared" si="30"/>
        <v>2531.6999999999998</v>
      </c>
      <c r="D831">
        <f t="shared" si="29"/>
        <v>18522.7</v>
      </c>
    </row>
    <row r="832" spans="1:4" x14ac:dyDescent="0.35">
      <c r="A832" t="s">
        <v>877</v>
      </c>
      <c r="B832">
        <v>25558</v>
      </c>
      <c r="C832">
        <f t="shared" si="30"/>
        <v>2750.5</v>
      </c>
      <c r="D832">
        <f t="shared" si="29"/>
        <v>28308.5</v>
      </c>
    </row>
    <row r="833" spans="1:4" x14ac:dyDescent="0.35">
      <c r="A833" t="s">
        <v>878</v>
      </c>
      <c r="B833">
        <v>23179</v>
      </c>
      <c r="C833">
        <f t="shared" si="30"/>
        <v>1407.1</v>
      </c>
      <c r="D833">
        <f t="shared" si="29"/>
        <v>24586.1</v>
      </c>
    </row>
    <row r="834" spans="1:4" x14ac:dyDescent="0.35">
      <c r="A834" t="s">
        <v>879</v>
      </c>
      <c r="B834">
        <v>25018</v>
      </c>
      <c r="C834">
        <f t="shared" si="30"/>
        <v>1426.6</v>
      </c>
      <c r="D834">
        <f t="shared" si="29"/>
        <v>26444.6</v>
      </c>
    </row>
    <row r="835" spans="1:4" x14ac:dyDescent="0.35">
      <c r="A835" t="s">
        <v>880</v>
      </c>
      <c r="B835">
        <v>12315</v>
      </c>
      <c r="C835">
        <f t="shared" si="30"/>
        <v>2098.6</v>
      </c>
      <c r="D835">
        <f t="shared" ref="D835:D898" si="31">B835+C835</f>
        <v>14413.6</v>
      </c>
    </row>
    <row r="836" spans="1:4" x14ac:dyDescent="0.35">
      <c r="A836" t="s">
        <v>881</v>
      </c>
      <c r="B836">
        <v>17170</v>
      </c>
      <c r="C836">
        <f t="shared" si="30"/>
        <v>1874.5</v>
      </c>
      <c r="D836">
        <f t="shared" si="31"/>
        <v>19044.5</v>
      </c>
    </row>
    <row r="837" spans="1:4" x14ac:dyDescent="0.35">
      <c r="A837" t="s">
        <v>882</v>
      </c>
      <c r="B837">
        <v>15203</v>
      </c>
      <c r="C837">
        <f t="shared" ref="C837:C880" si="32">B586*10/100</f>
        <v>1991.2</v>
      </c>
      <c r="D837">
        <f t="shared" si="31"/>
        <v>17194.2</v>
      </c>
    </row>
    <row r="838" spans="1:4" x14ac:dyDescent="0.35">
      <c r="A838" t="s">
        <v>883</v>
      </c>
      <c r="B838">
        <v>17274</v>
      </c>
      <c r="C838">
        <f t="shared" si="32"/>
        <v>2059.3000000000002</v>
      </c>
      <c r="D838">
        <f t="shared" si="31"/>
        <v>19333.3</v>
      </c>
    </row>
    <row r="839" spans="1:4" x14ac:dyDescent="0.35">
      <c r="A839" t="s">
        <v>884</v>
      </c>
      <c r="B839">
        <v>15466</v>
      </c>
      <c r="C839">
        <f t="shared" si="32"/>
        <v>2117.4</v>
      </c>
      <c r="D839">
        <f t="shared" si="31"/>
        <v>17583.400000000001</v>
      </c>
    </row>
    <row r="840" spans="1:4" x14ac:dyDescent="0.35">
      <c r="A840" t="s">
        <v>885</v>
      </c>
      <c r="B840">
        <v>24151</v>
      </c>
      <c r="C840">
        <f t="shared" si="32"/>
        <v>1652.9</v>
      </c>
      <c r="D840">
        <f t="shared" si="31"/>
        <v>25803.9</v>
      </c>
    </row>
    <row r="841" spans="1:4" x14ac:dyDescent="0.35">
      <c r="A841" t="s">
        <v>886</v>
      </c>
      <c r="B841">
        <v>17874</v>
      </c>
      <c r="C841">
        <f t="shared" si="32"/>
        <v>1378.8</v>
      </c>
      <c r="D841">
        <f t="shared" si="31"/>
        <v>19252.8</v>
      </c>
    </row>
    <row r="842" spans="1:4" x14ac:dyDescent="0.35">
      <c r="A842" t="s">
        <v>887</v>
      </c>
      <c r="B842">
        <v>17271</v>
      </c>
      <c r="C842">
        <f t="shared" si="32"/>
        <v>2632.3</v>
      </c>
      <c r="D842">
        <f t="shared" si="31"/>
        <v>19903.3</v>
      </c>
    </row>
    <row r="843" spans="1:4" x14ac:dyDescent="0.35">
      <c r="A843" t="s">
        <v>888</v>
      </c>
      <c r="B843">
        <v>18522</v>
      </c>
      <c r="C843">
        <f t="shared" si="32"/>
        <v>1887.8</v>
      </c>
      <c r="D843">
        <f t="shared" si="31"/>
        <v>20409.8</v>
      </c>
    </row>
    <row r="844" spans="1:4" x14ac:dyDescent="0.35">
      <c r="A844" t="s">
        <v>889</v>
      </c>
      <c r="B844">
        <v>20812</v>
      </c>
      <c r="C844">
        <f t="shared" si="32"/>
        <v>1678.2</v>
      </c>
      <c r="D844">
        <f t="shared" si="31"/>
        <v>22490.2</v>
      </c>
    </row>
    <row r="845" spans="1:4" x14ac:dyDescent="0.35">
      <c r="A845" t="s">
        <v>890</v>
      </c>
      <c r="B845">
        <v>25336</v>
      </c>
      <c r="C845">
        <f t="shared" si="32"/>
        <v>1625.6</v>
      </c>
      <c r="D845">
        <f t="shared" si="31"/>
        <v>26961.599999999999</v>
      </c>
    </row>
    <row r="846" spans="1:4" x14ac:dyDescent="0.35">
      <c r="A846" t="s">
        <v>891</v>
      </c>
      <c r="B846">
        <v>24819</v>
      </c>
      <c r="C846">
        <f t="shared" si="32"/>
        <v>1231.9000000000001</v>
      </c>
      <c r="D846">
        <f t="shared" si="31"/>
        <v>26050.9</v>
      </c>
    </row>
    <row r="847" spans="1:4" x14ac:dyDescent="0.35">
      <c r="A847" t="s">
        <v>892</v>
      </c>
      <c r="B847">
        <v>15479</v>
      </c>
      <c r="C847">
        <f t="shared" si="32"/>
        <v>1552</v>
      </c>
      <c r="D847">
        <f t="shared" si="31"/>
        <v>17031</v>
      </c>
    </row>
    <row r="848" spans="1:4" x14ac:dyDescent="0.35">
      <c r="A848" t="s">
        <v>893</v>
      </c>
      <c r="B848">
        <v>17626</v>
      </c>
      <c r="C848">
        <f t="shared" si="32"/>
        <v>1998.6</v>
      </c>
      <c r="D848">
        <f t="shared" si="31"/>
        <v>19624.599999999999</v>
      </c>
    </row>
    <row r="849" spans="1:4" x14ac:dyDescent="0.35">
      <c r="A849" t="s">
        <v>894</v>
      </c>
      <c r="B849">
        <v>14254</v>
      </c>
      <c r="C849">
        <f t="shared" si="32"/>
        <v>2691.1</v>
      </c>
      <c r="D849">
        <f t="shared" si="31"/>
        <v>16945.099999999999</v>
      </c>
    </row>
    <row r="850" spans="1:4" x14ac:dyDescent="0.35">
      <c r="A850" t="s">
        <v>895</v>
      </c>
      <c r="B850">
        <v>15237</v>
      </c>
      <c r="C850">
        <f t="shared" si="32"/>
        <v>1624.9</v>
      </c>
      <c r="D850">
        <f t="shared" si="31"/>
        <v>16861.900000000001</v>
      </c>
    </row>
    <row r="851" spans="1:4" x14ac:dyDescent="0.35">
      <c r="A851" t="s">
        <v>896</v>
      </c>
      <c r="B851">
        <v>26890</v>
      </c>
      <c r="C851">
        <f t="shared" si="32"/>
        <v>2703.2</v>
      </c>
      <c r="D851">
        <f t="shared" si="31"/>
        <v>29593.200000000001</v>
      </c>
    </row>
    <row r="852" spans="1:4" x14ac:dyDescent="0.35">
      <c r="A852" t="s">
        <v>897</v>
      </c>
      <c r="B852">
        <v>17285</v>
      </c>
      <c r="C852">
        <f t="shared" si="32"/>
        <v>1401.4</v>
      </c>
      <c r="D852">
        <f t="shared" si="31"/>
        <v>18686.400000000001</v>
      </c>
    </row>
    <row r="853" spans="1:4" x14ac:dyDescent="0.35">
      <c r="A853" t="s">
        <v>898</v>
      </c>
      <c r="B853">
        <v>27140</v>
      </c>
      <c r="C853">
        <f t="shared" si="32"/>
        <v>1525.9</v>
      </c>
      <c r="D853">
        <f t="shared" si="31"/>
        <v>28665.9</v>
      </c>
    </row>
    <row r="854" spans="1:4" x14ac:dyDescent="0.35">
      <c r="A854" t="s">
        <v>899</v>
      </c>
      <c r="B854">
        <v>18180</v>
      </c>
      <c r="C854">
        <f t="shared" si="32"/>
        <v>1280.4000000000001</v>
      </c>
      <c r="D854">
        <f t="shared" si="31"/>
        <v>19460.400000000001</v>
      </c>
    </row>
    <row r="855" spans="1:4" x14ac:dyDescent="0.35">
      <c r="A855" t="s">
        <v>900</v>
      </c>
      <c r="B855">
        <v>12855</v>
      </c>
      <c r="C855">
        <f t="shared" si="32"/>
        <v>2463.1999999999998</v>
      </c>
      <c r="D855">
        <f t="shared" si="31"/>
        <v>15318.2</v>
      </c>
    </row>
    <row r="856" spans="1:4" x14ac:dyDescent="0.35">
      <c r="A856" t="s">
        <v>901</v>
      </c>
      <c r="B856">
        <v>13365</v>
      </c>
      <c r="C856">
        <f t="shared" si="32"/>
        <v>1764.9</v>
      </c>
      <c r="D856">
        <f t="shared" si="31"/>
        <v>15129.9</v>
      </c>
    </row>
    <row r="857" spans="1:4" x14ac:dyDescent="0.35">
      <c r="A857" t="s">
        <v>902</v>
      </c>
      <c r="B857">
        <v>25480</v>
      </c>
      <c r="C857">
        <f t="shared" si="32"/>
        <v>1893.6</v>
      </c>
      <c r="D857">
        <f t="shared" si="31"/>
        <v>27373.599999999999</v>
      </c>
    </row>
    <row r="858" spans="1:4" x14ac:dyDescent="0.35">
      <c r="A858" t="s">
        <v>903</v>
      </c>
      <c r="B858">
        <v>24486</v>
      </c>
      <c r="C858">
        <f t="shared" si="32"/>
        <v>1788.9</v>
      </c>
      <c r="D858">
        <f t="shared" si="31"/>
        <v>26274.9</v>
      </c>
    </row>
    <row r="859" spans="1:4" x14ac:dyDescent="0.35">
      <c r="A859" t="s">
        <v>904</v>
      </c>
      <c r="B859">
        <v>14192</v>
      </c>
      <c r="C859">
        <f t="shared" si="32"/>
        <v>2560.3000000000002</v>
      </c>
      <c r="D859">
        <f t="shared" si="31"/>
        <v>16752.3</v>
      </c>
    </row>
    <row r="860" spans="1:4" x14ac:dyDescent="0.35">
      <c r="A860" t="s">
        <v>905</v>
      </c>
      <c r="B860">
        <v>20242</v>
      </c>
      <c r="C860">
        <f t="shared" si="32"/>
        <v>2408.4</v>
      </c>
      <c r="D860">
        <f t="shared" si="31"/>
        <v>22650.400000000001</v>
      </c>
    </row>
    <row r="861" spans="1:4" x14ac:dyDescent="0.35">
      <c r="A861" t="s">
        <v>906</v>
      </c>
      <c r="B861">
        <v>12122</v>
      </c>
      <c r="C861">
        <f t="shared" si="32"/>
        <v>2137.8000000000002</v>
      </c>
      <c r="D861">
        <f t="shared" si="31"/>
        <v>14259.8</v>
      </c>
    </row>
    <row r="862" spans="1:4" x14ac:dyDescent="0.35">
      <c r="A862" t="s">
        <v>907</v>
      </c>
      <c r="B862">
        <v>25663</v>
      </c>
      <c r="C862">
        <f t="shared" si="32"/>
        <v>2026.5</v>
      </c>
      <c r="D862">
        <f t="shared" si="31"/>
        <v>27689.5</v>
      </c>
    </row>
    <row r="863" spans="1:4" x14ac:dyDescent="0.35">
      <c r="A863" t="s">
        <v>908</v>
      </c>
      <c r="B863">
        <v>24900</v>
      </c>
      <c r="C863">
        <f t="shared" si="32"/>
        <v>1215.3</v>
      </c>
      <c r="D863">
        <f t="shared" si="31"/>
        <v>26115.3</v>
      </c>
    </row>
    <row r="864" spans="1:4" x14ac:dyDescent="0.35">
      <c r="A864" t="s">
        <v>909</v>
      </c>
      <c r="B864">
        <v>23984</v>
      </c>
      <c r="C864">
        <f t="shared" si="32"/>
        <v>1898.5</v>
      </c>
      <c r="D864">
        <f t="shared" si="31"/>
        <v>25882.5</v>
      </c>
    </row>
    <row r="865" spans="1:4" x14ac:dyDescent="0.35">
      <c r="A865" t="s">
        <v>910</v>
      </c>
      <c r="B865">
        <v>26929</v>
      </c>
      <c r="C865">
        <f t="shared" si="32"/>
        <v>1415.5</v>
      </c>
      <c r="D865">
        <f t="shared" si="31"/>
        <v>28344.5</v>
      </c>
    </row>
    <row r="866" spans="1:4" x14ac:dyDescent="0.35">
      <c r="A866" t="s">
        <v>911</v>
      </c>
      <c r="B866">
        <v>24385</v>
      </c>
      <c r="C866">
        <f t="shared" si="32"/>
        <v>2744.5</v>
      </c>
      <c r="D866">
        <f t="shared" si="31"/>
        <v>27129.5</v>
      </c>
    </row>
    <row r="867" spans="1:4" x14ac:dyDescent="0.35">
      <c r="A867" t="s">
        <v>912</v>
      </c>
      <c r="B867">
        <v>26744</v>
      </c>
      <c r="C867">
        <f t="shared" si="32"/>
        <v>2498.3000000000002</v>
      </c>
      <c r="D867">
        <f t="shared" si="31"/>
        <v>29242.3</v>
      </c>
    </row>
    <row r="868" spans="1:4" x14ac:dyDescent="0.35">
      <c r="A868" t="s">
        <v>913</v>
      </c>
      <c r="B868">
        <v>16268</v>
      </c>
      <c r="C868">
        <f t="shared" si="32"/>
        <v>1863.2</v>
      </c>
      <c r="D868">
        <f t="shared" si="31"/>
        <v>18131.2</v>
      </c>
    </row>
    <row r="869" spans="1:4" x14ac:dyDescent="0.35">
      <c r="A869" t="s">
        <v>914</v>
      </c>
      <c r="B869">
        <v>16707</v>
      </c>
      <c r="C869">
        <f t="shared" si="32"/>
        <v>2551.3000000000002</v>
      </c>
      <c r="D869">
        <f t="shared" si="31"/>
        <v>19258.3</v>
      </c>
    </row>
    <row r="870" spans="1:4" x14ac:dyDescent="0.35">
      <c r="A870" t="s">
        <v>915</v>
      </c>
      <c r="B870">
        <v>20267</v>
      </c>
      <c r="C870">
        <f t="shared" si="32"/>
        <v>1432.3</v>
      </c>
      <c r="D870">
        <f t="shared" si="31"/>
        <v>21699.3</v>
      </c>
    </row>
    <row r="871" spans="1:4" x14ac:dyDescent="0.35">
      <c r="A871" t="s">
        <v>916</v>
      </c>
      <c r="B871">
        <v>17363</v>
      </c>
      <c r="C871">
        <f t="shared" si="32"/>
        <v>1445.8</v>
      </c>
      <c r="D871">
        <f t="shared" si="31"/>
        <v>18808.8</v>
      </c>
    </row>
    <row r="872" spans="1:4" x14ac:dyDescent="0.35">
      <c r="A872" t="s">
        <v>917</v>
      </c>
      <c r="B872">
        <v>15159</v>
      </c>
      <c r="C872">
        <f t="shared" si="32"/>
        <v>1358</v>
      </c>
      <c r="D872">
        <f t="shared" si="31"/>
        <v>16517</v>
      </c>
    </row>
    <row r="873" spans="1:4" x14ac:dyDescent="0.35">
      <c r="A873" t="s">
        <v>918</v>
      </c>
      <c r="B873">
        <v>25459</v>
      </c>
      <c r="C873">
        <f t="shared" si="32"/>
        <v>2691.6</v>
      </c>
      <c r="D873">
        <f t="shared" si="31"/>
        <v>28150.6</v>
      </c>
    </row>
    <row r="874" spans="1:4" x14ac:dyDescent="0.35">
      <c r="A874" t="s">
        <v>919</v>
      </c>
      <c r="B874">
        <v>24909</v>
      </c>
      <c r="C874">
        <f t="shared" si="32"/>
        <v>1975.8</v>
      </c>
      <c r="D874">
        <f t="shared" si="31"/>
        <v>26884.799999999999</v>
      </c>
    </row>
    <row r="875" spans="1:4" x14ac:dyDescent="0.35">
      <c r="A875" t="s">
        <v>920</v>
      </c>
      <c r="B875">
        <v>24952</v>
      </c>
      <c r="C875">
        <f t="shared" si="32"/>
        <v>2613.6</v>
      </c>
      <c r="D875">
        <f t="shared" si="31"/>
        <v>27565.599999999999</v>
      </c>
    </row>
    <row r="876" spans="1:4" x14ac:dyDescent="0.35">
      <c r="A876" t="s">
        <v>921</v>
      </c>
      <c r="B876">
        <v>17135</v>
      </c>
      <c r="C876">
        <f t="shared" si="32"/>
        <v>1503.5</v>
      </c>
      <c r="D876">
        <f t="shared" si="31"/>
        <v>18638.5</v>
      </c>
    </row>
    <row r="877" spans="1:4" x14ac:dyDescent="0.35">
      <c r="A877" t="s">
        <v>922</v>
      </c>
      <c r="B877">
        <v>20460</v>
      </c>
      <c r="C877">
        <f t="shared" si="32"/>
        <v>1677.1</v>
      </c>
      <c r="D877">
        <f t="shared" si="31"/>
        <v>22137.1</v>
      </c>
    </row>
    <row r="878" spans="1:4" x14ac:dyDescent="0.35">
      <c r="A878" t="s">
        <v>923</v>
      </c>
      <c r="B878">
        <v>12177</v>
      </c>
      <c r="C878">
        <f t="shared" si="32"/>
        <v>1557.2</v>
      </c>
      <c r="D878">
        <f t="shared" si="31"/>
        <v>13734.2</v>
      </c>
    </row>
    <row r="879" spans="1:4" x14ac:dyDescent="0.35">
      <c r="A879" t="s">
        <v>924</v>
      </c>
      <c r="B879">
        <v>24864</v>
      </c>
      <c r="C879">
        <f t="shared" si="32"/>
        <v>1877.6</v>
      </c>
      <c r="D879">
        <f t="shared" si="31"/>
        <v>26741.599999999999</v>
      </c>
    </row>
    <row r="880" spans="1:4" x14ac:dyDescent="0.35">
      <c r="A880" t="s">
        <v>925</v>
      </c>
      <c r="B880">
        <v>24390</v>
      </c>
      <c r="C880">
        <f t="shared" si="32"/>
        <v>1571.1</v>
      </c>
      <c r="D880">
        <f t="shared" si="31"/>
        <v>25961.1</v>
      </c>
    </row>
    <row r="881" spans="1:4" x14ac:dyDescent="0.35">
      <c r="A881" t="s">
        <v>926</v>
      </c>
      <c r="B881">
        <v>14724</v>
      </c>
      <c r="C881">
        <f>B329*20/100</f>
        <v>3951.2</v>
      </c>
      <c r="D881">
        <f t="shared" si="31"/>
        <v>18675.2</v>
      </c>
    </row>
    <row r="882" spans="1:4" x14ac:dyDescent="0.35">
      <c r="A882" t="s">
        <v>927</v>
      </c>
      <c r="B882">
        <v>12425</v>
      </c>
      <c r="C882">
        <f t="shared" ref="C882:C945" si="33">B330*20/100</f>
        <v>2810.6</v>
      </c>
      <c r="D882">
        <f t="shared" si="31"/>
        <v>15235.6</v>
      </c>
    </row>
    <row r="883" spans="1:4" x14ac:dyDescent="0.35">
      <c r="A883" t="s">
        <v>928</v>
      </c>
      <c r="B883">
        <v>19786</v>
      </c>
      <c r="C883">
        <f t="shared" si="33"/>
        <v>4064.8</v>
      </c>
      <c r="D883">
        <f t="shared" si="31"/>
        <v>23850.799999999999</v>
      </c>
    </row>
    <row r="884" spans="1:4" x14ac:dyDescent="0.35">
      <c r="A884" t="s">
        <v>929</v>
      </c>
      <c r="B884">
        <v>15421</v>
      </c>
      <c r="C884">
        <f t="shared" si="33"/>
        <v>3174.6</v>
      </c>
      <c r="D884">
        <f t="shared" si="31"/>
        <v>18595.599999999999</v>
      </c>
    </row>
    <row r="885" spans="1:4" x14ac:dyDescent="0.35">
      <c r="A885" t="s">
        <v>930</v>
      </c>
      <c r="B885">
        <v>16021</v>
      </c>
      <c r="C885">
        <f t="shared" si="33"/>
        <v>2967.2</v>
      </c>
      <c r="D885">
        <f t="shared" si="31"/>
        <v>18988.2</v>
      </c>
    </row>
    <row r="886" spans="1:4" x14ac:dyDescent="0.35">
      <c r="A886" t="s">
        <v>931</v>
      </c>
      <c r="B886">
        <v>18017</v>
      </c>
      <c r="C886">
        <f t="shared" si="33"/>
        <v>4273.3999999999996</v>
      </c>
      <c r="D886">
        <f t="shared" si="31"/>
        <v>22290.400000000001</v>
      </c>
    </row>
    <row r="887" spans="1:4" x14ac:dyDescent="0.35">
      <c r="A887" t="s">
        <v>932</v>
      </c>
      <c r="B887">
        <v>19936</v>
      </c>
      <c r="C887">
        <f t="shared" si="33"/>
        <v>3113.8</v>
      </c>
      <c r="D887">
        <f t="shared" si="31"/>
        <v>23049.8</v>
      </c>
    </row>
    <row r="888" spans="1:4" x14ac:dyDescent="0.35">
      <c r="A888" t="s">
        <v>933</v>
      </c>
      <c r="B888">
        <v>17070</v>
      </c>
      <c r="C888">
        <f t="shared" si="33"/>
        <v>3632.2</v>
      </c>
      <c r="D888">
        <f t="shared" si="31"/>
        <v>20702.2</v>
      </c>
    </row>
    <row r="889" spans="1:4" x14ac:dyDescent="0.35">
      <c r="A889" t="s">
        <v>934</v>
      </c>
      <c r="B889">
        <v>19158</v>
      </c>
      <c r="C889">
        <f t="shared" si="33"/>
        <v>3579</v>
      </c>
      <c r="D889">
        <f t="shared" si="31"/>
        <v>22737</v>
      </c>
    </row>
    <row r="890" spans="1:4" x14ac:dyDescent="0.35">
      <c r="A890" t="s">
        <v>935</v>
      </c>
      <c r="B890">
        <v>15996</v>
      </c>
      <c r="C890">
        <f t="shared" si="33"/>
        <v>4014.8</v>
      </c>
      <c r="D890">
        <f t="shared" si="31"/>
        <v>20010.8</v>
      </c>
    </row>
    <row r="891" spans="1:4" x14ac:dyDescent="0.35">
      <c r="A891" t="s">
        <v>936</v>
      </c>
      <c r="B891">
        <v>23450</v>
      </c>
      <c r="C891">
        <f t="shared" si="33"/>
        <v>3637.4</v>
      </c>
      <c r="D891">
        <f t="shared" si="31"/>
        <v>27087.4</v>
      </c>
    </row>
    <row r="892" spans="1:4" x14ac:dyDescent="0.35">
      <c r="A892" t="s">
        <v>937</v>
      </c>
      <c r="B892">
        <v>23247</v>
      </c>
      <c r="C892">
        <f t="shared" si="33"/>
        <v>2672.4</v>
      </c>
      <c r="D892">
        <f t="shared" si="31"/>
        <v>25919.4</v>
      </c>
    </row>
    <row r="893" spans="1:4" x14ac:dyDescent="0.35">
      <c r="A893" t="s">
        <v>938</v>
      </c>
      <c r="B893">
        <v>17342</v>
      </c>
      <c r="C893">
        <f t="shared" si="33"/>
        <v>5237.3999999999996</v>
      </c>
      <c r="D893">
        <f t="shared" si="31"/>
        <v>22579.4</v>
      </c>
    </row>
    <row r="894" spans="1:4" x14ac:dyDescent="0.35">
      <c r="A894" t="s">
        <v>939</v>
      </c>
      <c r="B894">
        <v>24157</v>
      </c>
      <c r="C894">
        <f t="shared" si="33"/>
        <v>3716.6</v>
      </c>
      <c r="D894">
        <f t="shared" si="31"/>
        <v>27873.599999999999</v>
      </c>
    </row>
    <row r="895" spans="1:4" x14ac:dyDescent="0.35">
      <c r="A895" t="s">
        <v>940</v>
      </c>
      <c r="B895">
        <v>14067</v>
      </c>
      <c r="C895">
        <f t="shared" si="33"/>
        <v>4871</v>
      </c>
      <c r="D895">
        <f t="shared" si="31"/>
        <v>18938</v>
      </c>
    </row>
    <row r="896" spans="1:4" x14ac:dyDescent="0.35">
      <c r="A896" t="s">
        <v>941</v>
      </c>
      <c r="B896">
        <v>26824</v>
      </c>
      <c r="C896">
        <f t="shared" si="33"/>
        <v>3577.4</v>
      </c>
      <c r="D896">
        <f t="shared" si="31"/>
        <v>30401.4</v>
      </c>
    </row>
    <row r="897" spans="1:4" x14ac:dyDescent="0.35">
      <c r="A897" t="s">
        <v>942</v>
      </c>
      <c r="B897">
        <v>26120</v>
      </c>
      <c r="C897">
        <f t="shared" si="33"/>
        <v>2724.2</v>
      </c>
      <c r="D897">
        <f t="shared" si="31"/>
        <v>28844.2</v>
      </c>
    </row>
    <row r="898" spans="1:4" x14ac:dyDescent="0.35">
      <c r="A898" t="s">
        <v>943</v>
      </c>
      <c r="B898">
        <v>15996</v>
      </c>
      <c r="C898">
        <f t="shared" si="33"/>
        <v>4135.8</v>
      </c>
      <c r="D898">
        <f t="shared" si="31"/>
        <v>20131.8</v>
      </c>
    </row>
    <row r="899" spans="1:4" x14ac:dyDescent="0.35">
      <c r="A899" t="s">
        <v>944</v>
      </c>
      <c r="B899">
        <v>20292</v>
      </c>
      <c r="C899">
        <f t="shared" si="33"/>
        <v>5143.2</v>
      </c>
      <c r="D899">
        <f t="shared" ref="D899:D962" si="34">B899+C899</f>
        <v>25435.200000000001</v>
      </c>
    </row>
    <row r="900" spans="1:4" x14ac:dyDescent="0.35">
      <c r="A900" t="s">
        <v>945</v>
      </c>
      <c r="B900">
        <v>25485</v>
      </c>
      <c r="C900">
        <f t="shared" si="33"/>
        <v>4260</v>
      </c>
      <c r="D900">
        <f t="shared" si="34"/>
        <v>29745</v>
      </c>
    </row>
    <row r="901" spans="1:4" x14ac:dyDescent="0.35">
      <c r="A901" t="s">
        <v>946</v>
      </c>
      <c r="B901">
        <v>25628</v>
      </c>
      <c r="C901">
        <f t="shared" si="33"/>
        <v>3850.4</v>
      </c>
      <c r="D901">
        <f t="shared" si="34"/>
        <v>29478.400000000001</v>
      </c>
    </row>
    <row r="902" spans="1:4" x14ac:dyDescent="0.35">
      <c r="A902" t="s">
        <v>947</v>
      </c>
      <c r="B902">
        <v>20361</v>
      </c>
      <c r="C902">
        <f t="shared" si="33"/>
        <v>3941.6</v>
      </c>
      <c r="D902">
        <f t="shared" si="34"/>
        <v>24302.6</v>
      </c>
    </row>
    <row r="903" spans="1:4" x14ac:dyDescent="0.35">
      <c r="A903" t="s">
        <v>948</v>
      </c>
      <c r="B903">
        <v>14048</v>
      </c>
      <c r="C903">
        <f t="shared" si="33"/>
        <v>3507.8</v>
      </c>
      <c r="D903">
        <f t="shared" si="34"/>
        <v>17555.8</v>
      </c>
    </row>
    <row r="904" spans="1:4" x14ac:dyDescent="0.35">
      <c r="A904" t="s">
        <v>949</v>
      </c>
      <c r="B904">
        <v>20090</v>
      </c>
      <c r="C904">
        <f t="shared" si="33"/>
        <v>4062.2</v>
      </c>
      <c r="D904">
        <f t="shared" si="34"/>
        <v>24152.2</v>
      </c>
    </row>
    <row r="905" spans="1:4" x14ac:dyDescent="0.35">
      <c r="A905" t="s">
        <v>950</v>
      </c>
      <c r="B905">
        <v>21247</v>
      </c>
      <c r="C905">
        <f t="shared" si="33"/>
        <v>5083.2</v>
      </c>
      <c r="D905">
        <f t="shared" si="34"/>
        <v>26330.2</v>
      </c>
    </row>
    <row r="906" spans="1:4" x14ac:dyDescent="0.35">
      <c r="A906" t="s">
        <v>951</v>
      </c>
      <c r="B906">
        <v>19826</v>
      </c>
      <c r="C906">
        <f t="shared" si="33"/>
        <v>3972.2</v>
      </c>
      <c r="D906">
        <f t="shared" si="34"/>
        <v>23798.2</v>
      </c>
    </row>
    <row r="907" spans="1:4" x14ac:dyDescent="0.35">
      <c r="A907" t="s">
        <v>952</v>
      </c>
      <c r="B907">
        <v>19347</v>
      </c>
      <c r="C907">
        <f t="shared" si="33"/>
        <v>5343.6</v>
      </c>
      <c r="D907">
        <f t="shared" si="34"/>
        <v>24690.6</v>
      </c>
    </row>
    <row r="908" spans="1:4" x14ac:dyDescent="0.35">
      <c r="A908" t="s">
        <v>953</v>
      </c>
      <c r="B908">
        <v>21480</v>
      </c>
      <c r="C908">
        <f t="shared" si="33"/>
        <v>5120.2</v>
      </c>
      <c r="D908">
        <f t="shared" si="34"/>
        <v>26600.2</v>
      </c>
    </row>
    <row r="909" spans="1:4" x14ac:dyDescent="0.35">
      <c r="A909" t="s">
        <v>954</v>
      </c>
      <c r="B909">
        <v>24744</v>
      </c>
      <c r="C909">
        <f t="shared" si="33"/>
        <v>2525.8000000000002</v>
      </c>
      <c r="D909">
        <f t="shared" si="34"/>
        <v>27269.8</v>
      </c>
    </row>
    <row r="910" spans="1:4" x14ac:dyDescent="0.35">
      <c r="A910" t="s">
        <v>955</v>
      </c>
      <c r="B910">
        <v>13630</v>
      </c>
      <c r="C910">
        <f t="shared" si="33"/>
        <v>4281.8</v>
      </c>
      <c r="D910">
        <f t="shared" si="34"/>
        <v>17911.8</v>
      </c>
    </row>
    <row r="911" spans="1:4" x14ac:dyDescent="0.35">
      <c r="A911" t="s">
        <v>956</v>
      </c>
      <c r="B911">
        <v>15683</v>
      </c>
      <c r="C911">
        <f t="shared" si="33"/>
        <v>2983.4</v>
      </c>
      <c r="D911">
        <f t="shared" si="34"/>
        <v>18666.400000000001</v>
      </c>
    </row>
    <row r="912" spans="1:4" x14ac:dyDescent="0.35">
      <c r="A912" t="s">
        <v>957</v>
      </c>
      <c r="B912">
        <v>26315</v>
      </c>
      <c r="C912">
        <f t="shared" si="33"/>
        <v>4958.8</v>
      </c>
      <c r="D912">
        <f t="shared" si="34"/>
        <v>31273.8</v>
      </c>
    </row>
    <row r="913" spans="1:4" x14ac:dyDescent="0.35">
      <c r="A913" t="s">
        <v>958</v>
      </c>
      <c r="B913">
        <v>18887</v>
      </c>
      <c r="C913">
        <f t="shared" si="33"/>
        <v>2998.4</v>
      </c>
      <c r="D913">
        <f t="shared" si="34"/>
        <v>21885.4</v>
      </c>
    </row>
    <row r="914" spans="1:4" x14ac:dyDescent="0.35">
      <c r="A914" t="s">
        <v>959</v>
      </c>
      <c r="B914">
        <v>19455</v>
      </c>
      <c r="C914">
        <f t="shared" si="33"/>
        <v>4951</v>
      </c>
      <c r="D914">
        <f t="shared" si="34"/>
        <v>24406</v>
      </c>
    </row>
    <row r="915" spans="1:4" x14ac:dyDescent="0.35">
      <c r="A915" t="s">
        <v>960</v>
      </c>
      <c r="B915">
        <v>13509</v>
      </c>
      <c r="C915">
        <f t="shared" si="33"/>
        <v>2601.1999999999998</v>
      </c>
      <c r="D915">
        <f t="shared" si="34"/>
        <v>16110.2</v>
      </c>
    </row>
    <row r="916" spans="1:4" x14ac:dyDescent="0.35">
      <c r="A916" t="s">
        <v>961</v>
      </c>
      <c r="B916">
        <v>15746</v>
      </c>
      <c r="C916">
        <f t="shared" si="33"/>
        <v>3090.8</v>
      </c>
      <c r="D916">
        <f t="shared" si="34"/>
        <v>18836.8</v>
      </c>
    </row>
    <row r="917" spans="1:4" x14ac:dyDescent="0.35">
      <c r="A917" t="s">
        <v>962</v>
      </c>
      <c r="B917">
        <v>21470</v>
      </c>
      <c r="C917">
        <f t="shared" si="33"/>
        <v>5288</v>
      </c>
      <c r="D917">
        <f t="shared" si="34"/>
        <v>26758</v>
      </c>
    </row>
    <row r="918" spans="1:4" x14ac:dyDescent="0.35">
      <c r="A918" t="s">
        <v>963</v>
      </c>
      <c r="B918">
        <v>19223</v>
      </c>
      <c r="C918">
        <f t="shared" si="33"/>
        <v>5317.4</v>
      </c>
      <c r="D918">
        <f t="shared" si="34"/>
        <v>24540.400000000001</v>
      </c>
    </row>
    <row r="919" spans="1:4" x14ac:dyDescent="0.35">
      <c r="A919" t="s">
        <v>964</v>
      </c>
      <c r="B919">
        <v>15549</v>
      </c>
      <c r="C919">
        <f t="shared" si="33"/>
        <v>3449.4</v>
      </c>
      <c r="D919">
        <f t="shared" si="34"/>
        <v>18998.400000000001</v>
      </c>
    </row>
    <row r="920" spans="1:4" x14ac:dyDescent="0.35">
      <c r="A920" t="s">
        <v>965</v>
      </c>
      <c r="B920">
        <v>15266</v>
      </c>
      <c r="C920">
        <f t="shared" si="33"/>
        <v>3025</v>
      </c>
      <c r="D920">
        <f t="shared" si="34"/>
        <v>18291</v>
      </c>
    </row>
    <row r="921" spans="1:4" x14ac:dyDescent="0.35">
      <c r="A921" t="s">
        <v>966</v>
      </c>
      <c r="B921">
        <v>13697</v>
      </c>
      <c r="C921">
        <f t="shared" si="33"/>
        <v>4817.6000000000004</v>
      </c>
      <c r="D921">
        <f t="shared" si="34"/>
        <v>18514.599999999999</v>
      </c>
    </row>
    <row r="922" spans="1:4" x14ac:dyDescent="0.35">
      <c r="A922" t="s">
        <v>967</v>
      </c>
      <c r="B922">
        <v>25065</v>
      </c>
      <c r="C922">
        <f t="shared" si="33"/>
        <v>2733.4</v>
      </c>
      <c r="D922">
        <f t="shared" si="34"/>
        <v>27798.400000000001</v>
      </c>
    </row>
    <row r="923" spans="1:4" x14ac:dyDescent="0.35">
      <c r="A923" t="s">
        <v>968</v>
      </c>
      <c r="B923">
        <v>24194</v>
      </c>
      <c r="C923">
        <f t="shared" si="33"/>
        <v>2692.4</v>
      </c>
      <c r="D923">
        <f t="shared" si="34"/>
        <v>26886.400000000001</v>
      </c>
    </row>
    <row r="924" spans="1:4" x14ac:dyDescent="0.35">
      <c r="A924" t="s">
        <v>969</v>
      </c>
      <c r="B924">
        <v>25585</v>
      </c>
      <c r="C924">
        <f t="shared" si="33"/>
        <v>2875</v>
      </c>
      <c r="D924">
        <f t="shared" si="34"/>
        <v>28460</v>
      </c>
    </row>
    <row r="925" spans="1:4" x14ac:dyDescent="0.35">
      <c r="A925" t="s">
        <v>970</v>
      </c>
      <c r="B925">
        <v>17966</v>
      </c>
      <c r="C925">
        <f t="shared" si="33"/>
        <v>5095.2</v>
      </c>
      <c r="D925">
        <f t="shared" si="34"/>
        <v>23061.200000000001</v>
      </c>
    </row>
    <row r="926" spans="1:4" x14ac:dyDescent="0.35">
      <c r="A926" t="s">
        <v>971</v>
      </c>
      <c r="B926">
        <v>20273</v>
      </c>
      <c r="C926">
        <f t="shared" si="33"/>
        <v>3091.8</v>
      </c>
      <c r="D926">
        <f t="shared" si="34"/>
        <v>23364.799999999999</v>
      </c>
    </row>
    <row r="927" spans="1:4" x14ac:dyDescent="0.35">
      <c r="A927" t="s">
        <v>972</v>
      </c>
      <c r="B927">
        <v>15239</v>
      </c>
      <c r="C927">
        <f t="shared" si="33"/>
        <v>2719.4</v>
      </c>
      <c r="D927">
        <f t="shared" si="34"/>
        <v>17958.400000000001</v>
      </c>
    </row>
    <row r="928" spans="1:4" x14ac:dyDescent="0.35">
      <c r="A928" t="s">
        <v>973</v>
      </c>
      <c r="B928">
        <v>17906</v>
      </c>
      <c r="C928">
        <f t="shared" si="33"/>
        <v>3524</v>
      </c>
      <c r="D928">
        <f t="shared" si="34"/>
        <v>21430</v>
      </c>
    </row>
    <row r="929" spans="1:4" x14ac:dyDescent="0.35">
      <c r="A929" t="s">
        <v>974</v>
      </c>
      <c r="B929">
        <v>15175</v>
      </c>
      <c r="C929">
        <f t="shared" si="33"/>
        <v>3496.4</v>
      </c>
      <c r="D929">
        <f t="shared" si="34"/>
        <v>18671.400000000001</v>
      </c>
    </row>
    <row r="930" spans="1:4" x14ac:dyDescent="0.35">
      <c r="A930" t="s">
        <v>975</v>
      </c>
      <c r="B930">
        <v>15759</v>
      </c>
      <c r="C930">
        <f t="shared" si="33"/>
        <v>2930</v>
      </c>
      <c r="D930">
        <f t="shared" si="34"/>
        <v>18689</v>
      </c>
    </row>
    <row r="931" spans="1:4" x14ac:dyDescent="0.35">
      <c r="A931" t="s">
        <v>976</v>
      </c>
      <c r="B931">
        <v>27539</v>
      </c>
      <c r="C931">
        <f t="shared" si="33"/>
        <v>5190.3999999999996</v>
      </c>
      <c r="D931">
        <f t="shared" si="34"/>
        <v>32729.4</v>
      </c>
    </row>
    <row r="932" spans="1:4" x14ac:dyDescent="0.35">
      <c r="A932" t="s">
        <v>977</v>
      </c>
      <c r="B932">
        <v>25483</v>
      </c>
      <c r="C932">
        <f t="shared" si="33"/>
        <v>3600.4</v>
      </c>
      <c r="D932">
        <f t="shared" si="34"/>
        <v>29083.4</v>
      </c>
    </row>
    <row r="933" spans="1:4" x14ac:dyDescent="0.35">
      <c r="A933" t="s">
        <v>978</v>
      </c>
      <c r="B933">
        <v>24407</v>
      </c>
      <c r="C933">
        <f t="shared" si="33"/>
        <v>3053.4</v>
      </c>
      <c r="D933">
        <f t="shared" si="34"/>
        <v>27460.400000000001</v>
      </c>
    </row>
    <row r="934" spans="1:4" x14ac:dyDescent="0.35">
      <c r="A934" t="s">
        <v>979</v>
      </c>
      <c r="B934">
        <v>23722</v>
      </c>
      <c r="C934">
        <f t="shared" si="33"/>
        <v>5155.3999999999996</v>
      </c>
      <c r="D934">
        <f t="shared" si="34"/>
        <v>28877.4</v>
      </c>
    </row>
    <row r="935" spans="1:4" x14ac:dyDescent="0.35">
      <c r="A935" t="s">
        <v>980</v>
      </c>
      <c r="B935">
        <v>17103</v>
      </c>
      <c r="C935">
        <f t="shared" si="33"/>
        <v>3583.6</v>
      </c>
      <c r="D935">
        <f t="shared" si="34"/>
        <v>20686.599999999999</v>
      </c>
    </row>
    <row r="936" spans="1:4" x14ac:dyDescent="0.35">
      <c r="A936" t="s">
        <v>981</v>
      </c>
      <c r="B936">
        <v>26744</v>
      </c>
      <c r="C936">
        <f t="shared" si="33"/>
        <v>4207.2</v>
      </c>
      <c r="D936">
        <f t="shared" si="34"/>
        <v>30951.200000000001</v>
      </c>
    </row>
    <row r="937" spans="1:4" x14ac:dyDescent="0.35">
      <c r="A937" t="s">
        <v>982</v>
      </c>
      <c r="B937">
        <v>27398</v>
      </c>
      <c r="C937">
        <f t="shared" si="33"/>
        <v>5057.8</v>
      </c>
      <c r="D937">
        <f t="shared" si="34"/>
        <v>32455.8</v>
      </c>
    </row>
    <row r="938" spans="1:4" x14ac:dyDescent="0.35">
      <c r="A938" t="s">
        <v>983</v>
      </c>
      <c r="B938">
        <v>14454</v>
      </c>
      <c r="C938">
        <f t="shared" si="33"/>
        <v>4971.2</v>
      </c>
      <c r="D938">
        <f t="shared" si="34"/>
        <v>19425.2</v>
      </c>
    </row>
    <row r="939" spans="1:4" x14ac:dyDescent="0.35">
      <c r="A939" t="s">
        <v>984</v>
      </c>
      <c r="B939">
        <v>15274</v>
      </c>
      <c r="C939">
        <f t="shared" si="33"/>
        <v>5401.4</v>
      </c>
      <c r="D939">
        <f t="shared" si="34"/>
        <v>20675.400000000001</v>
      </c>
    </row>
    <row r="940" spans="1:4" x14ac:dyDescent="0.35">
      <c r="A940" t="s">
        <v>985</v>
      </c>
      <c r="B940">
        <v>19501</v>
      </c>
      <c r="C940">
        <f t="shared" si="33"/>
        <v>5463.2</v>
      </c>
      <c r="D940">
        <f t="shared" si="34"/>
        <v>24964.2</v>
      </c>
    </row>
    <row r="941" spans="1:4" x14ac:dyDescent="0.35">
      <c r="A941" t="s">
        <v>986</v>
      </c>
      <c r="B941">
        <v>12204</v>
      </c>
      <c r="C941">
        <f t="shared" si="33"/>
        <v>2804.8</v>
      </c>
      <c r="D941">
        <f t="shared" si="34"/>
        <v>15008.8</v>
      </c>
    </row>
    <row r="942" spans="1:4" x14ac:dyDescent="0.35">
      <c r="A942" t="s">
        <v>987</v>
      </c>
      <c r="B942">
        <v>23639</v>
      </c>
      <c r="C942">
        <f t="shared" si="33"/>
        <v>4007</v>
      </c>
      <c r="D942">
        <f t="shared" si="34"/>
        <v>27646</v>
      </c>
    </row>
    <row r="943" spans="1:4" x14ac:dyDescent="0.35">
      <c r="A943" t="s">
        <v>988</v>
      </c>
      <c r="B943">
        <v>18031</v>
      </c>
      <c r="C943">
        <f t="shared" si="33"/>
        <v>5008.2</v>
      </c>
      <c r="D943">
        <f t="shared" si="34"/>
        <v>23039.200000000001</v>
      </c>
    </row>
    <row r="944" spans="1:4" x14ac:dyDescent="0.35">
      <c r="A944" t="s">
        <v>989</v>
      </c>
      <c r="B944">
        <v>15536</v>
      </c>
      <c r="C944">
        <f t="shared" si="33"/>
        <v>5057.6000000000004</v>
      </c>
      <c r="D944">
        <f t="shared" si="34"/>
        <v>20593.599999999999</v>
      </c>
    </row>
    <row r="945" spans="1:4" x14ac:dyDescent="0.35">
      <c r="A945" t="s">
        <v>990</v>
      </c>
      <c r="B945">
        <v>17683</v>
      </c>
      <c r="C945">
        <f t="shared" si="33"/>
        <v>3367.6</v>
      </c>
      <c r="D945">
        <f t="shared" si="34"/>
        <v>21050.6</v>
      </c>
    </row>
    <row r="946" spans="1:4" x14ac:dyDescent="0.35">
      <c r="A946" t="s">
        <v>991</v>
      </c>
      <c r="B946">
        <v>24569</v>
      </c>
      <c r="C946">
        <f t="shared" ref="C946:C1001" si="35">B394*20/100</f>
        <v>2926.4</v>
      </c>
      <c r="D946">
        <f t="shared" si="34"/>
        <v>27495.4</v>
      </c>
    </row>
    <row r="947" spans="1:4" x14ac:dyDescent="0.35">
      <c r="A947" t="s">
        <v>992</v>
      </c>
      <c r="B947">
        <v>20044</v>
      </c>
      <c r="C947">
        <f t="shared" si="35"/>
        <v>3329.8</v>
      </c>
      <c r="D947">
        <f t="shared" si="34"/>
        <v>23373.8</v>
      </c>
    </row>
    <row r="948" spans="1:4" x14ac:dyDescent="0.35">
      <c r="A948" t="s">
        <v>993</v>
      </c>
      <c r="B948">
        <v>16786</v>
      </c>
      <c r="C948">
        <f t="shared" si="35"/>
        <v>5387.2</v>
      </c>
      <c r="D948">
        <f t="shared" si="34"/>
        <v>22173.200000000001</v>
      </c>
    </row>
    <row r="949" spans="1:4" x14ac:dyDescent="0.35">
      <c r="A949" t="s">
        <v>994</v>
      </c>
      <c r="B949">
        <v>15500</v>
      </c>
      <c r="C949">
        <f t="shared" si="35"/>
        <v>4148</v>
      </c>
      <c r="D949">
        <f t="shared" si="34"/>
        <v>19648</v>
      </c>
    </row>
    <row r="950" spans="1:4" x14ac:dyDescent="0.35">
      <c r="A950" t="s">
        <v>995</v>
      </c>
      <c r="B950">
        <v>14087</v>
      </c>
      <c r="C950">
        <f t="shared" si="35"/>
        <v>3830.2</v>
      </c>
      <c r="D950">
        <f t="shared" si="34"/>
        <v>17917.2</v>
      </c>
    </row>
    <row r="951" spans="1:4" x14ac:dyDescent="0.35">
      <c r="A951" t="s">
        <v>996</v>
      </c>
      <c r="B951">
        <v>14277</v>
      </c>
      <c r="C951">
        <f t="shared" si="35"/>
        <v>4143</v>
      </c>
      <c r="D951">
        <f t="shared" si="34"/>
        <v>18420</v>
      </c>
    </row>
    <row r="952" spans="1:4" x14ac:dyDescent="0.35">
      <c r="A952" t="s">
        <v>997</v>
      </c>
      <c r="B952">
        <v>18442</v>
      </c>
      <c r="C952">
        <f t="shared" si="35"/>
        <v>2730</v>
      </c>
      <c r="D952">
        <f t="shared" si="34"/>
        <v>21172</v>
      </c>
    </row>
    <row r="953" spans="1:4" x14ac:dyDescent="0.35">
      <c r="A953" t="s">
        <v>998</v>
      </c>
      <c r="B953">
        <v>24614</v>
      </c>
      <c r="C953">
        <f t="shared" si="35"/>
        <v>4892.6000000000004</v>
      </c>
      <c r="D953">
        <f t="shared" si="34"/>
        <v>29506.6</v>
      </c>
    </row>
    <row r="954" spans="1:4" x14ac:dyDescent="0.35">
      <c r="A954" t="s">
        <v>999</v>
      </c>
      <c r="B954">
        <v>12607</v>
      </c>
      <c r="C954">
        <f t="shared" si="35"/>
        <v>4068.8</v>
      </c>
      <c r="D954">
        <f t="shared" si="34"/>
        <v>16675.8</v>
      </c>
    </row>
    <row r="955" spans="1:4" x14ac:dyDescent="0.35">
      <c r="A955" t="s">
        <v>1000</v>
      </c>
      <c r="B955">
        <v>12628</v>
      </c>
      <c r="C955">
        <f t="shared" si="35"/>
        <v>3358.6</v>
      </c>
      <c r="D955">
        <f t="shared" si="34"/>
        <v>15986.6</v>
      </c>
    </row>
    <row r="956" spans="1:4" x14ac:dyDescent="0.35">
      <c r="A956" t="s">
        <v>1001</v>
      </c>
      <c r="B956">
        <v>19552</v>
      </c>
      <c r="C956">
        <f t="shared" si="35"/>
        <v>5471</v>
      </c>
      <c r="D956">
        <f t="shared" si="34"/>
        <v>25023</v>
      </c>
    </row>
    <row r="957" spans="1:4" x14ac:dyDescent="0.35">
      <c r="A957" t="s">
        <v>1002</v>
      </c>
      <c r="B957">
        <v>26081</v>
      </c>
      <c r="C957">
        <f t="shared" si="35"/>
        <v>5062.8</v>
      </c>
      <c r="D957">
        <f t="shared" si="34"/>
        <v>31143.8</v>
      </c>
    </row>
    <row r="958" spans="1:4" x14ac:dyDescent="0.35">
      <c r="A958" t="s">
        <v>1003</v>
      </c>
      <c r="B958">
        <v>15345</v>
      </c>
      <c r="C958">
        <f t="shared" si="35"/>
        <v>2680.4</v>
      </c>
      <c r="D958">
        <f t="shared" si="34"/>
        <v>18025.400000000001</v>
      </c>
    </row>
    <row r="959" spans="1:4" x14ac:dyDescent="0.35">
      <c r="A959" t="s">
        <v>1004</v>
      </c>
      <c r="B959">
        <v>19943</v>
      </c>
      <c r="C959">
        <f t="shared" si="35"/>
        <v>3215.2</v>
      </c>
      <c r="D959">
        <f t="shared" si="34"/>
        <v>23158.2</v>
      </c>
    </row>
    <row r="960" spans="1:4" x14ac:dyDescent="0.35">
      <c r="A960" t="s">
        <v>1005</v>
      </c>
      <c r="B960">
        <v>25724</v>
      </c>
      <c r="C960">
        <f t="shared" si="35"/>
        <v>2837.8</v>
      </c>
      <c r="D960">
        <f t="shared" si="34"/>
        <v>28561.8</v>
      </c>
    </row>
    <row r="961" spans="1:4" x14ac:dyDescent="0.35">
      <c r="A961" t="s">
        <v>1006</v>
      </c>
      <c r="B961">
        <v>14734</v>
      </c>
      <c r="C961">
        <f t="shared" si="35"/>
        <v>3069.4</v>
      </c>
      <c r="D961">
        <f t="shared" si="34"/>
        <v>17803.400000000001</v>
      </c>
    </row>
    <row r="962" spans="1:4" x14ac:dyDescent="0.35">
      <c r="A962" t="s">
        <v>1007</v>
      </c>
      <c r="B962">
        <v>16052</v>
      </c>
      <c r="C962">
        <f t="shared" si="35"/>
        <v>2836.8</v>
      </c>
      <c r="D962">
        <f t="shared" si="34"/>
        <v>18888.8</v>
      </c>
    </row>
    <row r="963" spans="1:4" x14ac:dyDescent="0.35">
      <c r="A963" t="s">
        <v>1008</v>
      </c>
      <c r="B963">
        <v>14942</v>
      </c>
      <c r="C963">
        <f t="shared" si="35"/>
        <v>2820.2</v>
      </c>
      <c r="D963">
        <f t="shared" ref="D963:D1026" si="36">B963+C963</f>
        <v>17762.2</v>
      </c>
    </row>
    <row r="964" spans="1:4" x14ac:dyDescent="0.35">
      <c r="A964" t="s">
        <v>1009</v>
      </c>
      <c r="B964">
        <v>17794</v>
      </c>
      <c r="C964">
        <f t="shared" si="35"/>
        <v>3312.6</v>
      </c>
      <c r="D964">
        <f t="shared" si="36"/>
        <v>21106.6</v>
      </c>
    </row>
    <row r="965" spans="1:4" x14ac:dyDescent="0.35">
      <c r="A965" t="s">
        <v>1010</v>
      </c>
      <c r="B965">
        <v>26073</v>
      </c>
      <c r="C965">
        <f t="shared" si="35"/>
        <v>3927.2</v>
      </c>
      <c r="D965">
        <f t="shared" si="36"/>
        <v>30000.2</v>
      </c>
    </row>
    <row r="966" spans="1:4" x14ac:dyDescent="0.35">
      <c r="A966" t="s">
        <v>1011</v>
      </c>
      <c r="B966">
        <v>20299</v>
      </c>
      <c r="C966">
        <f t="shared" si="35"/>
        <v>2957.8</v>
      </c>
      <c r="D966">
        <f t="shared" si="36"/>
        <v>23256.799999999999</v>
      </c>
    </row>
    <row r="967" spans="1:4" x14ac:dyDescent="0.35">
      <c r="A967" t="s">
        <v>1012</v>
      </c>
      <c r="B967">
        <v>15631</v>
      </c>
      <c r="C967">
        <f t="shared" si="35"/>
        <v>5231.6000000000004</v>
      </c>
      <c r="D967">
        <f t="shared" si="36"/>
        <v>20862.599999999999</v>
      </c>
    </row>
    <row r="968" spans="1:4" x14ac:dyDescent="0.35">
      <c r="A968" t="s">
        <v>1013</v>
      </c>
      <c r="B968">
        <v>17332</v>
      </c>
      <c r="C968">
        <f t="shared" si="35"/>
        <v>5338.8</v>
      </c>
      <c r="D968">
        <f t="shared" si="36"/>
        <v>22670.799999999999</v>
      </c>
    </row>
    <row r="969" spans="1:4" x14ac:dyDescent="0.35">
      <c r="A969" t="s">
        <v>1014</v>
      </c>
      <c r="B969">
        <v>14662</v>
      </c>
      <c r="C969">
        <f t="shared" si="35"/>
        <v>4630.3999999999996</v>
      </c>
      <c r="D969">
        <f t="shared" si="36"/>
        <v>19292.400000000001</v>
      </c>
    </row>
    <row r="970" spans="1:4" x14ac:dyDescent="0.35">
      <c r="A970" t="s">
        <v>1015</v>
      </c>
      <c r="B970">
        <v>14945</v>
      </c>
      <c r="C970">
        <f t="shared" si="35"/>
        <v>4054.2</v>
      </c>
      <c r="D970">
        <f t="shared" si="36"/>
        <v>18999.2</v>
      </c>
    </row>
    <row r="971" spans="1:4" x14ac:dyDescent="0.35">
      <c r="A971" t="s">
        <v>1016</v>
      </c>
      <c r="B971">
        <v>17890</v>
      </c>
      <c r="C971">
        <f t="shared" si="35"/>
        <v>3295.6</v>
      </c>
      <c r="D971">
        <f t="shared" si="36"/>
        <v>21185.599999999999</v>
      </c>
    </row>
    <row r="972" spans="1:4" x14ac:dyDescent="0.35">
      <c r="A972" t="s">
        <v>1017</v>
      </c>
      <c r="B972">
        <v>16765</v>
      </c>
      <c r="C972">
        <f t="shared" si="35"/>
        <v>3099.8</v>
      </c>
      <c r="D972">
        <f t="shared" si="36"/>
        <v>19864.8</v>
      </c>
    </row>
    <row r="973" spans="1:4" x14ac:dyDescent="0.35">
      <c r="A973" t="s">
        <v>1018</v>
      </c>
      <c r="B973">
        <v>15331</v>
      </c>
      <c r="C973">
        <f t="shared" si="35"/>
        <v>4082</v>
      </c>
      <c r="D973">
        <f t="shared" si="36"/>
        <v>19413</v>
      </c>
    </row>
    <row r="974" spans="1:4" x14ac:dyDescent="0.35">
      <c r="A974" t="s">
        <v>1019</v>
      </c>
      <c r="B974">
        <v>25900</v>
      </c>
      <c r="C974">
        <f t="shared" si="35"/>
        <v>2948</v>
      </c>
      <c r="D974">
        <f t="shared" si="36"/>
        <v>28848</v>
      </c>
    </row>
    <row r="975" spans="1:4" x14ac:dyDescent="0.35">
      <c r="A975" t="s">
        <v>1020</v>
      </c>
      <c r="B975">
        <v>16165</v>
      </c>
      <c r="C975">
        <f t="shared" si="35"/>
        <v>4857</v>
      </c>
      <c r="D975">
        <f t="shared" si="36"/>
        <v>21022</v>
      </c>
    </row>
    <row r="976" spans="1:4" x14ac:dyDescent="0.35">
      <c r="A976" t="s">
        <v>1021</v>
      </c>
      <c r="B976">
        <v>14854</v>
      </c>
      <c r="C976">
        <f t="shared" si="35"/>
        <v>4994</v>
      </c>
      <c r="D976">
        <f t="shared" si="36"/>
        <v>19848</v>
      </c>
    </row>
    <row r="977" spans="1:4" x14ac:dyDescent="0.35">
      <c r="A977" t="s">
        <v>1022</v>
      </c>
      <c r="B977">
        <v>23792</v>
      </c>
      <c r="C977">
        <f t="shared" si="35"/>
        <v>3810.2</v>
      </c>
      <c r="D977">
        <f t="shared" si="36"/>
        <v>27602.2</v>
      </c>
    </row>
    <row r="978" spans="1:4" x14ac:dyDescent="0.35">
      <c r="A978" t="s">
        <v>1023</v>
      </c>
      <c r="B978">
        <v>18706</v>
      </c>
      <c r="C978">
        <f t="shared" si="35"/>
        <v>3647.8</v>
      </c>
      <c r="D978">
        <f t="shared" si="36"/>
        <v>22353.8</v>
      </c>
    </row>
    <row r="979" spans="1:4" x14ac:dyDescent="0.35">
      <c r="A979" t="s">
        <v>1024</v>
      </c>
      <c r="B979">
        <v>15721</v>
      </c>
      <c r="C979">
        <f t="shared" si="35"/>
        <v>5516.2</v>
      </c>
      <c r="D979">
        <f t="shared" si="36"/>
        <v>21237.200000000001</v>
      </c>
    </row>
    <row r="980" spans="1:4" x14ac:dyDescent="0.35">
      <c r="A980" t="s">
        <v>1025</v>
      </c>
      <c r="B980">
        <v>12907</v>
      </c>
      <c r="C980">
        <f t="shared" si="35"/>
        <v>3319.2</v>
      </c>
      <c r="D980">
        <f t="shared" si="36"/>
        <v>16226.2</v>
      </c>
    </row>
    <row r="981" spans="1:4" x14ac:dyDescent="0.35">
      <c r="A981" t="s">
        <v>1026</v>
      </c>
      <c r="B981">
        <v>24785</v>
      </c>
      <c r="C981">
        <f t="shared" si="35"/>
        <v>4086.4</v>
      </c>
      <c r="D981">
        <f t="shared" si="36"/>
        <v>28871.4</v>
      </c>
    </row>
    <row r="982" spans="1:4" x14ac:dyDescent="0.35">
      <c r="A982" t="s">
        <v>1027</v>
      </c>
      <c r="B982">
        <v>20966</v>
      </c>
      <c r="C982">
        <f t="shared" si="35"/>
        <v>2619</v>
      </c>
      <c r="D982">
        <f t="shared" si="36"/>
        <v>23585</v>
      </c>
    </row>
    <row r="983" spans="1:4" x14ac:dyDescent="0.35">
      <c r="A983" t="s">
        <v>1028</v>
      </c>
      <c r="B983">
        <v>13494</v>
      </c>
      <c r="C983">
        <f t="shared" si="35"/>
        <v>3039</v>
      </c>
      <c r="D983">
        <f t="shared" si="36"/>
        <v>16533</v>
      </c>
    </row>
    <row r="984" spans="1:4" x14ac:dyDescent="0.35">
      <c r="A984" t="s">
        <v>1029</v>
      </c>
      <c r="B984">
        <v>14341</v>
      </c>
      <c r="C984">
        <f t="shared" si="35"/>
        <v>5075.3999999999996</v>
      </c>
      <c r="D984">
        <f t="shared" si="36"/>
        <v>19416.400000000001</v>
      </c>
    </row>
    <row r="985" spans="1:4" x14ac:dyDescent="0.35">
      <c r="A985" t="s">
        <v>1030</v>
      </c>
      <c r="B985">
        <v>23927</v>
      </c>
      <c r="C985">
        <f t="shared" si="35"/>
        <v>4003.4</v>
      </c>
      <c r="D985">
        <f t="shared" si="36"/>
        <v>27930.400000000001</v>
      </c>
    </row>
    <row r="986" spans="1:4" x14ac:dyDescent="0.35">
      <c r="A986" t="s">
        <v>1031</v>
      </c>
      <c r="B986">
        <v>15220</v>
      </c>
      <c r="C986">
        <f t="shared" si="35"/>
        <v>3307.4</v>
      </c>
      <c r="D986">
        <f t="shared" si="36"/>
        <v>18527.400000000001</v>
      </c>
    </row>
    <row r="987" spans="1:4" x14ac:dyDescent="0.35">
      <c r="A987" t="s">
        <v>1032</v>
      </c>
      <c r="B987">
        <v>12166</v>
      </c>
      <c r="C987">
        <f t="shared" si="35"/>
        <v>3751.4</v>
      </c>
      <c r="D987">
        <f t="shared" si="36"/>
        <v>15917.4</v>
      </c>
    </row>
    <row r="988" spans="1:4" x14ac:dyDescent="0.35">
      <c r="A988" t="s">
        <v>1033</v>
      </c>
      <c r="B988">
        <v>21334</v>
      </c>
      <c r="C988">
        <f t="shared" si="35"/>
        <v>2436.1999999999998</v>
      </c>
      <c r="D988">
        <f t="shared" si="36"/>
        <v>23770.2</v>
      </c>
    </row>
    <row r="989" spans="1:4" x14ac:dyDescent="0.35">
      <c r="A989" t="s">
        <v>1034</v>
      </c>
      <c r="B989">
        <v>14798</v>
      </c>
      <c r="C989">
        <f t="shared" si="35"/>
        <v>3054.8</v>
      </c>
      <c r="D989">
        <f t="shared" si="36"/>
        <v>17852.8</v>
      </c>
    </row>
    <row r="990" spans="1:4" x14ac:dyDescent="0.35">
      <c r="A990" t="s">
        <v>1035</v>
      </c>
      <c r="B990">
        <v>25464</v>
      </c>
      <c r="C990">
        <f t="shared" si="35"/>
        <v>3076.4</v>
      </c>
      <c r="D990">
        <f t="shared" si="36"/>
        <v>28540.400000000001</v>
      </c>
    </row>
    <row r="991" spans="1:4" x14ac:dyDescent="0.35">
      <c r="A991" t="s">
        <v>1036</v>
      </c>
      <c r="B991">
        <v>25580</v>
      </c>
      <c r="C991">
        <f t="shared" si="35"/>
        <v>2862</v>
      </c>
      <c r="D991">
        <f t="shared" si="36"/>
        <v>28442</v>
      </c>
    </row>
    <row r="992" spans="1:4" x14ac:dyDescent="0.35">
      <c r="A992" t="s">
        <v>1037</v>
      </c>
      <c r="B992">
        <v>12892</v>
      </c>
      <c r="C992">
        <f t="shared" si="35"/>
        <v>3619.8</v>
      </c>
      <c r="D992">
        <f t="shared" si="36"/>
        <v>16511.8</v>
      </c>
    </row>
    <row r="993" spans="1:4" x14ac:dyDescent="0.35">
      <c r="A993" t="s">
        <v>1038</v>
      </c>
      <c r="B993">
        <v>14424</v>
      </c>
      <c r="C993">
        <f t="shared" si="35"/>
        <v>4062.4</v>
      </c>
      <c r="D993">
        <f t="shared" si="36"/>
        <v>18486.400000000001</v>
      </c>
    </row>
    <row r="994" spans="1:4" x14ac:dyDescent="0.35">
      <c r="A994" t="s">
        <v>1039</v>
      </c>
      <c r="B994">
        <v>25454</v>
      </c>
      <c r="C994">
        <f t="shared" si="35"/>
        <v>3598.8</v>
      </c>
      <c r="D994">
        <f t="shared" si="36"/>
        <v>29052.799999999999</v>
      </c>
    </row>
    <row r="995" spans="1:4" x14ac:dyDescent="0.35">
      <c r="A995" t="s">
        <v>1040</v>
      </c>
      <c r="B995">
        <v>27420</v>
      </c>
      <c r="C995">
        <f t="shared" si="35"/>
        <v>3035.2</v>
      </c>
      <c r="D995">
        <f t="shared" si="36"/>
        <v>30455.200000000001</v>
      </c>
    </row>
    <row r="996" spans="1:4" x14ac:dyDescent="0.35">
      <c r="A996" t="s">
        <v>1041</v>
      </c>
      <c r="B996">
        <v>15568</v>
      </c>
      <c r="C996">
        <f t="shared" si="35"/>
        <v>3092.4</v>
      </c>
      <c r="D996">
        <f t="shared" si="36"/>
        <v>18660.400000000001</v>
      </c>
    </row>
    <row r="997" spans="1:4" x14ac:dyDescent="0.35">
      <c r="A997" t="s">
        <v>1042</v>
      </c>
      <c r="B997">
        <v>25597</v>
      </c>
      <c r="C997">
        <f t="shared" si="35"/>
        <v>3033</v>
      </c>
      <c r="D997">
        <f t="shared" si="36"/>
        <v>28630</v>
      </c>
    </row>
    <row r="998" spans="1:4" x14ac:dyDescent="0.35">
      <c r="A998" t="s">
        <v>1043</v>
      </c>
      <c r="B998">
        <v>18027</v>
      </c>
      <c r="C998">
        <f t="shared" si="35"/>
        <v>3344.6</v>
      </c>
      <c r="D998">
        <f t="shared" si="36"/>
        <v>21371.599999999999</v>
      </c>
    </row>
    <row r="999" spans="1:4" x14ac:dyDescent="0.35">
      <c r="A999" t="s">
        <v>1044</v>
      </c>
      <c r="B999">
        <v>15670</v>
      </c>
      <c r="C999">
        <f t="shared" si="35"/>
        <v>5341.8</v>
      </c>
      <c r="D999">
        <f t="shared" si="36"/>
        <v>21011.8</v>
      </c>
    </row>
    <row r="1000" spans="1:4" x14ac:dyDescent="0.35">
      <c r="A1000" t="s">
        <v>1045</v>
      </c>
      <c r="B1000">
        <v>14800</v>
      </c>
      <c r="C1000">
        <f t="shared" si="35"/>
        <v>3131.4</v>
      </c>
      <c r="D1000">
        <f t="shared" si="36"/>
        <v>17931.400000000001</v>
      </c>
    </row>
    <row r="1001" spans="1:4" x14ac:dyDescent="0.35">
      <c r="A1001" t="s">
        <v>1046</v>
      </c>
      <c r="B1001">
        <v>16376</v>
      </c>
      <c r="C1001">
        <f t="shared" si="35"/>
        <v>3923</v>
      </c>
      <c r="D1001">
        <f t="shared" si="36"/>
        <v>20299</v>
      </c>
    </row>
    <row r="1002" spans="1:4" x14ac:dyDescent="0.35">
      <c r="A1002" t="s">
        <v>1047</v>
      </c>
      <c r="B1002">
        <v>109541</v>
      </c>
      <c r="C1002">
        <f>B329*5/100</f>
        <v>987.8</v>
      </c>
      <c r="D1002">
        <f t="shared" si="36"/>
        <v>110528.8</v>
      </c>
    </row>
    <row r="1003" spans="1:4" x14ac:dyDescent="0.35">
      <c r="A1003" t="s">
        <v>1048</v>
      </c>
      <c r="B1003">
        <v>106430</v>
      </c>
      <c r="C1003">
        <f t="shared" ref="C1003:C1045" si="37">B330*5/100</f>
        <v>702.65</v>
      </c>
      <c r="D1003">
        <f t="shared" si="36"/>
        <v>107132.65</v>
      </c>
    </row>
    <row r="1004" spans="1:4" x14ac:dyDescent="0.35">
      <c r="A1004" t="s">
        <v>1049</v>
      </c>
      <c r="B1004">
        <v>109130</v>
      </c>
      <c r="C1004">
        <f t="shared" si="37"/>
        <v>1016.2</v>
      </c>
      <c r="D1004">
        <f t="shared" si="36"/>
        <v>110146.2</v>
      </c>
    </row>
    <row r="1005" spans="1:4" x14ac:dyDescent="0.35">
      <c r="A1005" t="s">
        <v>1050</v>
      </c>
      <c r="B1005">
        <v>124566</v>
      </c>
      <c r="C1005">
        <f t="shared" si="37"/>
        <v>793.65</v>
      </c>
      <c r="D1005">
        <f t="shared" si="36"/>
        <v>125359.65</v>
      </c>
    </row>
    <row r="1006" spans="1:4" x14ac:dyDescent="0.35">
      <c r="A1006" t="s">
        <v>1051</v>
      </c>
      <c r="B1006">
        <v>106416</v>
      </c>
      <c r="C1006">
        <f t="shared" si="37"/>
        <v>741.8</v>
      </c>
      <c r="D1006">
        <f t="shared" si="36"/>
        <v>107157.8</v>
      </c>
    </row>
    <row r="1007" spans="1:4" x14ac:dyDescent="0.35">
      <c r="A1007" t="s">
        <v>1052</v>
      </c>
      <c r="B1007">
        <v>105756</v>
      </c>
      <c r="C1007">
        <f t="shared" si="37"/>
        <v>1068.3499999999999</v>
      </c>
      <c r="D1007">
        <f t="shared" si="36"/>
        <v>106824.35</v>
      </c>
    </row>
    <row r="1008" spans="1:4" x14ac:dyDescent="0.35">
      <c r="A1008" t="s">
        <v>1053</v>
      </c>
      <c r="B1008">
        <v>105235</v>
      </c>
      <c r="C1008">
        <f t="shared" si="37"/>
        <v>778.45</v>
      </c>
      <c r="D1008">
        <f t="shared" si="36"/>
        <v>106013.45</v>
      </c>
    </row>
    <row r="1009" spans="1:4" x14ac:dyDescent="0.35">
      <c r="A1009" t="s">
        <v>1054</v>
      </c>
      <c r="B1009">
        <v>106502</v>
      </c>
      <c r="C1009">
        <f t="shared" si="37"/>
        <v>908.05</v>
      </c>
      <c r="D1009">
        <f t="shared" si="36"/>
        <v>107410.05</v>
      </c>
    </row>
    <row r="1010" spans="1:4" x14ac:dyDescent="0.35">
      <c r="A1010" t="s">
        <v>1055</v>
      </c>
      <c r="B1010">
        <v>123502</v>
      </c>
      <c r="C1010">
        <f t="shared" si="37"/>
        <v>894.75</v>
      </c>
      <c r="D1010">
        <f t="shared" si="36"/>
        <v>124396.75</v>
      </c>
    </row>
    <row r="1011" spans="1:4" x14ac:dyDescent="0.35">
      <c r="A1011" t="s">
        <v>1056</v>
      </c>
      <c r="B1011">
        <v>123985</v>
      </c>
      <c r="C1011">
        <f t="shared" si="37"/>
        <v>1003.7</v>
      </c>
      <c r="D1011">
        <f t="shared" si="36"/>
        <v>124988.7</v>
      </c>
    </row>
    <row r="1012" spans="1:4" x14ac:dyDescent="0.35">
      <c r="A1012" t="s">
        <v>1057</v>
      </c>
      <c r="B1012">
        <v>113241</v>
      </c>
      <c r="C1012">
        <f t="shared" si="37"/>
        <v>909.35</v>
      </c>
      <c r="D1012">
        <f t="shared" si="36"/>
        <v>114150.35</v>
      </c>
    </row>
    <row r="1013" spans="1:4" x14ac:dyDescent="0.35">
      <c r="A1013" t="s">
        <v>1058</v>
      </c>
      <c r="B1013">
        <v>104375</v>
      </c>
      <c r="C1013">
        <f t="shared" si="37"/>
        <v>668.1</v>
      </c>
      <c r="D1013">
        <f t="shared" si="36"/>
        <v>105043.1</v>
      </c>
    </row>
    <row r="1014" spans="1:4" x14ac:dyDescent="0.35">
      <c r="A1014" t="s">
        <v>1059</v>
      </c>
      <c r="B1014">
        <v>115219</v>
      </c>
      <c r="C1014">
        <f t="shared" si="37"/>
        <v>1309.3499999999999</v>
      </c>
      <c r="D1014">
        <f t="shared" si="36"/>
        <v>116528.35</v>
      </c>
    </row>
    <row r="1015" spans="1:4" x14ac:dyDescent="0.35">
      <c r="A1015" t="s">
        <v>1060</v>
      </c>
      <c r="B1015">
        <v>105157</v>
      </c>
      <c r="C1015">
        <f t="shared" si="37"/>
        <v>929.15</v>
      </c>
      <c r="D1015">
        <f t="shared" si="36"/>
        <v>106086.15</v>
      </c>
    </row>
    <row r="1016" spans="1:4" x14ac:dyDescent="0.35">
      <c r="A1016" t="s">
        <v>1061</v>
      </c>
      <c r="B1016">
        <v>115562</v>
      </c>
      <c r="C1016">
        <f t="shared" si="37"/>
        <v>1217.75</v>
      </c>
      <c r="D1016">
        <f t="shared" si="36"/>
        <v>116779.75</v>
      </c>
    </row>
    <row r="1017" spans="1:4" x14ac:dyDescent="0.35">
      <c r="A1017" t="s">
        <v>1062</v>
      </c>
      <c r="B1017">
        <v>124973</v>
      </c>
      <c r="C1017">
        <f t="shared" si="37"/>
        <v>894.35</v>
      </c>
      <c r="D1017">
        <f t="shared" si="36"/>
        <v>125867.35</v>
      </c>
    </row>
    <row r="1018" spans="1:4" x14ac:dyDescent="0.35">
      <c r="A1018" t="s">
        <v>1063</v>
      </c>
      <c r="B1018">
        <v>109604</v>
      </c>
      <c r="C1018">
        <f t="shared" si="37"/>
        <v>681.05</v>
      </c>
      <c r="D1018">
        <f t="shared" si="36"/>
        <v>110285.05</v>
      </c>
    </row>
    <row r="1019" spans="1:4" x14ac:dyDescent="0.35">
      <c r="A1019" t="s">
        <v>1064</v>
      </c>
      <c r="B1019">
        <v>125451</v>
      </c>
      <c r="C1019">
        <f t="shared" si="37"/>
        <v>1033.95</v>
      </c>
      <c r="D1019">
        <f t="shared" si="36"/>
        <v>126484.95</v>
      </c>
    </row>
    <row r="1020" spans="1:4" x14ac:dyDescent="0.35">
      <c r="A1020" t="s">
        <v>1065</v>
      </c>
      <c r="B1020">
        <v>109128</v>
      </c>
      <c r="C1020">
        <f t="shared" si="37"/>
        <v>1285.8</v>
      </c>
      <c r="D1020">
        <f t="shared" si="36"/>
        <v>110413.8</v>
      </c>
    </row>
    <row r="1021" spans="1:4" x14ac:dyDescent="0.35">
      <c r="A1021" t="s">
        <v>1066</v>
      </c>
      <c r="B1021">
        <v>108748</v>
      </c>
      <c r="C1021">
        <f t="shared" si="37"/>
        <v>1065</v>
      </c>
      <c r="D1021">
        <f t="shared" si="36"/>
        <v>109813</v>
      </c>
    </row>
    <row r="1022" spans="1:4" x14ac:dyDescent="0.35">
      <c r="A1022" t="s">
        <v>1067</v>
      </c>
      <c r="B1022">
        <v>125271</v>
      </c>
      <c r="C1022">
        <f t="shared" si="37"/>
        <v>962.6</v>
      </c>
      <c r="D1022">
        <f t="shared" si="36"/>
        <v>126233.60000000001</v>
      </c>
    </row>
    <row r="1023" spans="1:4" x14ac:dyDescent="0.35">
      <c r="A1023" t="s">
        <v>1068</v>
      </c>
      <c r="B1023">
        <v>124486</v>
      </c>
      <c r="C1023">
        <f t="shared" si="37"/>
        <v>985.4</v>
      </c>
      <c r="D1023">
        <f t="shared" si="36"/>
        <v>125471.4</v>
      </c>
    </row>
    <row r="1024" spans="1:4" x14ac:dyDescent="0.35">
      <c r="A1024" t="s">
        <v>1069</v>
      </c>
      <c r="B1024">
        <v>108204</v>
      </c>
      <c r="C1024">
        <f t="shared" si="37"/>
        <v>876.95</v>
      </c>
      <c r="D1024">
        <f t="shared" si="36"/>
        <v>109080.95</v>
      </c>
    </row>
    <row r="1025" spans="1:4" x14ac:dyDescent="0.35">
      <c r="A1025" t="s">
        <v>1070</v>
      </c>
      <c r="B1025">
        <v>123577</v>
      </c>
      <c r="C1025">
        <f t="shared" si="37"/>
        <v>1015.55</v>
      </c>
      <c r="D1025">
        <f t="shared" si="36"/>
        <v>124592.55</v>
      </c>
    </row>
    <row r="1026" spans="1:4" x14ac:dyDescent="0.35">
      <c r="A1026" t="s">
        <v>1071</v>
      </c>
      <c r="B1026">
        <v>107649</v>
      </c>
      <c r="C1026">
        <f t="shared" si="37"/>
        <v>1270.8</v>
      </c>
      <c r="D1026">
        <f t="shared" si="36"/>
        <v>108919.8</v>
      </c>
    </row>
    <row r="1027" spans="1:4" x14ac:dyDescent="0.35">
      <c r="A1027" t="s">
        <v>1072</v>
      </c>
      <c r="B1027">
        <v>115923</v>
      </c>
      <c r="C1027">
        <f t="shared" si="37"/>
        <v>993.05</v>
      </c>
      <c r="D1027">
        <f t="shared" ref="D1027:D1090" si="38">B1027+C1027</f>
        <v>116916.05</v>
      </c>
    </row>
    <row r="1028" spans="1:4" x14ac:dyDescent="0.35">
      <c r="A1028" t="s">
        <v>1073</v>
      </c>
      <c r="B1028">
        <v>113906</v>
      </c>
      <c r="C1028">
        <f t="shared" si="37"/>
        <v>1335.9</v>
      </c>
      <c r="D1028">
        <f t="shared" si="38"/>
        <v>115241.9</v>
      </c>
    </row>
    <row r="1029" spans="1:4" x14ac:dyDescent="0.35">
      <c r="A1029" t="s">
        <v>1074</v>
      </c>
      <c r="B1029">
        <v>104508</v>
      </c>
      <c r="C1029">
        <f t="shared" si="37"/>
        <v>1280.05</v>
      </c>
      <c r="D1029">
        <f t="shared" si="38"/>
        <v>105788.05</v>
      </c>
    </row>
    <row r="1030" spans="1:4" x14ac:dyDescent="0.35">
      <c r="A1030" t="s">
        <v>1075</v>
      </c>
      <c r="B1030">
        <v>124611</v>
      </c>
      <c r="C1030">
        <f t="shared" si="37"/>
        <v>631.45000000000005</v>
      </c>
      <c r="D1030">
        <f t="shared" si="38"/>
        <v>125242.45</v>
      </c>
    </row>
    <row r="1031" spans="1:4" x14ac:dyDescent="0.35">
      <c r="A1031" t="s">
        <v>1076</v>
      </c>
      <c r="B1031">
        <v>123341</v>
      </c>
      <c r="C1031">
        <f t="shared" si="37"/>
        <v>1070.45</v>
      </c>
      <c r="D1031">
        <f t="shared" si="38"/>
        <v>124411.45</v>
      </c>
    </row>
    <row r="1032" spans="1:4" x14ac:dyDescent="0.35">
      <c r="A1032" t="s">
        <v>1077</v>
      </c>
      <c r="B1032">
        <v>109894</v>
      </c>
      <c r="C1032">
        <f t="shared" si="37"/>
        <v>745.85</v>
      </c>
      <c r="D1032">
        <f t="shared" si="38"/>
        <v>110639.85</v>
      </c>
    </row>
    <row r="1033" spans="1:4" x14ac:dyDescent="0.35">
      <c r="A1033" t="s">
        <v>1078</v>
      </c>
      <c r="B1033">
        <v>124513</v>
      </c>
      <c r="C1033">
        <f t="shared" si="37"/>
        <v>1239.7</v>
      </c>
      <c r="D1033">
        <f t="shared" si="38"/>
        <v>125752.7</v>
      </c>
    </row>
    <row r="1034" spans="1:4" x14ac:dyDescent="0.35">
      <c r="A1034" t="s">
        <v>1079</v>
      </c>
      <c r="B1034">
        <v>123361</v>
      </c>
      <c r="C1034">
        <f t="shared" si="37"/>
        <v>749.6</v>
      </c>
      <c r="D1034">
        <f t="shared" si="38"/>
        <v>124110.6</v>
      </c>
    </row>
    <row r="1035" spans="1:4" x14ac:dyDescent="0.35">
      <c r="A1035" t="s">
        <v>1080</v>
      </c>
      <c r="B1035">
        <v>110398</v>
      </c>
      <c r="C1035">
        <f t="shared" si="37"/>
        <v>1237.75</v>
      </c>
      <c r="D1035">
        <f t="shared" si="38"/>
        <v>111635.75</v>
      </c>
    </row>
    <row r="1036" spans="1:4" x14ac:dyDescent="0.35">
      <c r="A1036" t="s">
        <v>1081</v>
      </c>
      <c r="B1036">
        <v>104573</v>
      </c>
      <c r="C1036">
        <f t="shared" si="37"/>
        <v>650.29999999999995</v>
      </c>
      <c r="D1036">
        <f t="shared" si="38"/>
        <v>105223.3</v>
      </c>
    </row>
    <row r="1037" spans="1:4" x14ac:dyDescent="0.35">
      <c r="A1037" t="s">
        <v>1082</v>
      </c>
      <c r="B1037">
        <v>123436</v>
      </c>
      <c r="C1037">
        <f t="shared" si="37"/>
        <v>772.7</v>
      </c>
      <c r="D1037">
        <f t="shared" si="38"/>
        <v>124208.7</v>
      </c>
    </row>
    <row r="1038" spans="1:4" x14ac:dyDescent="0.35">
      <c r="A1038" t="s">
        <v>1083</v>
      </c>
      <c r="B1038">
        <v>105380</v>
      </c>
      <c r="C1038">
        <f t="shared" si="37"/>
        <v>1322</v>
      </c>
      <c r="D1038">
        <f t="shared" si="38"/>
        <v>106702</v>
      </c>
    </row>
    <row r="1039" spans="1:4" x14ac:dyDescent="0.35">
      <c r="A1039" t="s">
        <v>1084</v>
      </c>
      <c r="B1039">
        <v>105862</v>
      </c>
      <c r="C1039">
        <f t="shared" si="37"/>
        <v>1329.35</v>
      </c>
      <c r="D1039">
        <f t="shared" si="38"/>
        <v>107191.35</v>
      </c>
    </row>
    <row r="1040" spans="1:4" x14ac:dyDescent="0.35">
      <c r="A1040" t="s">
        <v>1085</v>
      </c>
      <c r="B1040">
        <v>113289</v>
      </c>
      <c r="C1040">
        <f t="shared" si="37"/>
        <v>862.35</v>
      </c>
      <c r="D1040">
        <f t="shared" si="38"/>
        <v>114151.35</v>
      </c>
    </row>
    <row r="1041" spans="1:4" x14ac:dyDescent="0.35">
      <c r="A1041" t="s">
        <v>1086</v>
      </c>
      <c r="B1041">
        <v>114359</v>
      </c>
      <c r="C1041">
        <f t="shared" si="37"/>
        <v>756.25</v>
      </c>
      <c r="D1041">
        <f t="shared" si="38"/>
        <v>115115.25</v>
      </c>
    </row>
    <row r="1042" spans="1:4" x14ac:dyDescent="0.35">
      <c r="A1042" t="s">
        <v>1087</v>
      </c>
      <c r="B1042">
        <v>125151</v>
      </c>
      <c r="C1042">
        <f t="shared" si="37"/>
        <v>1204.4000000000001</v>
      </c>
      <c r="D1042">
        <f t="shared" si="38"/>
        <v>126355.4</v>
      </c>
    </row>
    <row r="1043" spans="1:4" x14ac:dyDescent="0.35">
      <c r="A1043" t="s">
        <v>1088</v>
      </c>
      <c r="B1043">
        <v>104867</v>
      </c>
      <c r="C1043">
        <f t="shared" si="37"/>
        <v>683.35</v>
      </c>
      <c r="D1043">
        <f t="shared" si="38"/>
        <v>105550.35</v>
      </c>
    </row>
    <row r="1044" spans="1:4" x14ac:dyDescent="0.35">
      <c r="A1044" t="s">
        <v>1089</v>
      </c>
      <c r="B1044">
        <v>105092</v>
      </c>
      <c r="C1044">
        <f t="shared" si="37"/>
        <v>673.1</v>
      </c>
      <c r="D1044">
        <f t="shared" si="38"/>
        <v>105765.1</v>
      </c>
    </row>
    <row r="1045" spans="1:4" x14ac:dyDescent="0.35">
      <c r="A1045" t="s">
        <v>1090</v>
      </c>
      <c r="B1045">
        <v>106622</v>
      </c>
      <c r="C1045">
        <f t="shared" si="37"/>
        <v>718.75</v>
      </c>
      <c r="D1045">
        <f t="shared" si="38"/>
        <v>107340.75</v>
      </c>
    </row>
    <row r="1046" spans="1:4" x14ac:dyDescent="0.35">
      <c r="A1046" t="s">
        <v>1091</v>
      </c>
      <c r="B1046">
        <v>123914</v>
      </c>
      <c r="C1046">
        <f>B329*3/100</f>
        <v>592.67999999999995</v>
      </c>
      <c r="D1046">
        <f t="shared" si="38"/>
        <v>124506.68</v>
      </c>
    </row>
    <row r="1047" spans="1:4" x14ac:dyDescent="0.35">
      <c r="A1047" t="s">
        <v>1092</v>
      </c>
      <c r="B1047">
        <v>107688</v>
      </c>
      <c r="C1047">
        <f t="shared" ref="C1047:C1110" si="39">B330*3/100</f>
        <v>421.59</v>
      </c>
      <c r="D1047">
        <f t="shared" si="38"/>
        <v>108109.59</v>
      </c>
    </row>
    <row r="1048" spans="1:4" x14ac:dyDescent="0.35">
      <c r="A1048" t="s">
        <v>1093</v>
      </c>
      <c r="B1048">
        <v>108704</v>
      </c>
      <c r="C1048">
        <f t="shared" si="39"/>
        <v>609.72</v>
      </c>
      <c r="D1048">
        <f t="shared" si="38"/>
        <v>109313.72</v>
      </c>
    </row>
    <row r="1049" spans="1:4" x14ac:dyDescent="0.35">
      <c r="A1049" t="s">
        <v>1094</v>
      </c>
      <c r="B1049">
        <v>113151</v>
      </c>
      <c r="C1049">
        <f t="shared" si="39"/>
        <v>476.19</v>
      </c>
      <c r="D1049">
        <f t="shared" si="38"/>
        <v>113627.19</v>
      </c>
    </row>
    <row r="1050" spans="1:4" x14ac:dyDescent="0.35">
      <c r="A1050" t="s">
        <v>1095</v>
      </c>
      <c r="B1050">
        <v>108529</v>
      </c>
      <c r="C1050">
        <f t="shared" si="39"/>
        <v>445.08</v>
      </c>
      <c r="D1050">
        <f t="shared" si="38"/>
        <v>108974.08</v>
      </c>
    </row>
    <row r="1051" spans="1:4" x14ac:dyDescent="0.35">
      <c r="A1051" t="s">
        <v>1096</v>
      </c>
      <c r="B1051">
        <v>108821</v>
      </c>
      <c r="C1051">
        <f t="shared" si="39"/>
        <v>641.01</v>
      </c>
      <c r="D1051">
        <f t="shared" si="38"/>
        <v>109462.01</v>
      </c>
    </row>
    <row r="1052" spans="1:4" x14ac:dyDescent="0.35">
      <c r="A1052" t="s">
        <v>1097</v>
      </c>
      <c r="B1052">
        <v>114714</v>
      </c>
      <c r="C1052">
        <f t="shared" si="39"/>
        <v>467.07</v>
      </c>
      <c r="D1052">
        <f t="shared" si="38"/>
        <v>115181.07</v>
      </c>
    </row>
    <row r="1053" spans="1:4" x14ac:dyDescent="0.35">
      <c r="A1053" t="s">
        <v>1098</v>
      </c>
      <c r="B1053">
        <v>104317</v>
      </c>
      <c r="C1053">
        <f t="shared" si="39"/>
        <v>544.83000000000004</v>
      </c>
      <c r="D1053">
        <f t="shared" si="38"/>
        <v>104861.83</v>
      </c>
    </row>
    <row r="1054" spans="1:4" x14ac:dyDescent="0.35">
      <c r="A1054" t="s">
        <v>1099</v>
      </c>
      <c r="B1054">
        <v>105482</v>
      </c>
      <c r="C1054">
        <f t="shared" si="39"/>
        <v>536.85</v>
      </c>
      <c r="D1054">
        <f t="shared" si="38"/>
        <v>106018.85</v>
      </c>
    </row>
    <row r="1055" spans="1:4" x14ac:dyDescent="0.35">
      <c r="A1055" t="s">
        <v>1100</v>
      </c>
      <c r="B1055">
        <v>106585</v>
      </c>
      <c r="C1055">
        <f t="shared" si="39"/>
        <v>602.22</v>
      </c>
      <c r="D1055">
        <f t="shared" si="38"/>
        <v>107187.22</v>
      </c>
    </row>
    <row r="1056" spans="1:4" x14ac:dyDescent="0.35">
      <c r="A1056" t="s">
        <v>1101</v>
      </c>
      <c r="B1056">
        <v>114015</v>
      </c>
      <c r="C1056">
        <f t="shared" si="39"/>
        <v>545.61</v>
      </c>
      <c r="D1056">
        <f t="shared" si="38"/>
        <v>114560.61</v>
      </c>
    </row>
    <row r="1057" spans="1:4" x14ac:dyDescent="0.35">
      <c r="A1057" t="s">
        <v>1102</v>
      </c>
      <c r="B1057">
        <v>105551</v>
      </c>
      <c r="C1057">
        <f t="shared" si="39"/>
        <v>400.86</v>
      </c>
      <c r="D1057">
        <f t="shared" si="38"/>
        <v>105951.86</v>
      </c>
    </row>
    <row r="1058" spans="1:4" x14ac:dyDescent="0.35">
      <c r="A1058" t="s">
        <v>1103</v>
      </c>
      <c r="B1058">
        <v>110327</v>
      </c>
      <c r="C1058">
        <f t="shared" si="39"/>
        <v>785.61</v>
      </c>
      <c r="D1058">
        <f t="shared" si="38"/>
        <v>111112.61</v>
      </c>
    </row>
    <row r="1059" spans="1:4" x14ac:dyDescent="0.35">
      <c r="A1059" t="s">
        <v>1104</v>
      </c>
      <c r="B1059">
        <v>105232</v>
      </c>
      <c r="C1059">
        <f t="shared" si="39"/>
        <v>557.49</v>
      </c>
      <c r="D1059">
        <f t="shared" si="38"/>
        <v>105789.49</v>
      </c>
    </row>
    <row r="1060" spans="1:4" x14ac:dyDescent="0.35">
      <c r="A1060" t="s">
        <v>1105</v>
      </c>
      <c r="B1060">
        <v>104311</v>
      </c>
      <c r="C1060">
        <f t="shared" si="39"/>
        <v>730.65</v>
      </c>
      <c r="D1060">
        <f t="shared" si="38"/>
        <v>105041.65</v>
      </c>
    </row>
    <row r="1061" spans="1:4" x14ac:dyDescent="0.35">
      <c r="A1061" t="s">
        <v>1106</v>
      </c>
      <c r="B1061">
        <v>125233</v>
      </c>
      <c r="C1061">
        <f t="shared" si="39"/>
        <v>536.61</v>
      </c>
      <c r="D1061">
        <f t="shared" si="38"/>
        <v>125769.61</v>
      </c>
    </row>
    <row r="1062" spans="1:4" x14ac:dyDescent="0.35">
      <c r="A1062" t="s">
        <v>1107</v>
      </c>
      <c r="B1062">
        <v>114713</v>
      </c>
      <c r="C1062">
        <f t="shared" si="39"/>
        <v>408.63</v>
      </c>
      <c r="D1062">
        <f t="shared" si="38"/>
        <v>115121.63</v>
      </c>
    </row>
    <row r="1063" spans="1:4" x14ac:dyDescent="0.35">
      <c r="A1063" t="s">
        <v>1108</v>
      </c>
      <c r="B1063">
        <v>124956</v>
      </c>
      <c r="C1063">
        <f t="shared" si="39"/>
        <v>620.37</v>
      </c>
      <c r="D1063">
        <f t="shared" si="38"/>
        <v>125576.37</v>
      </c>
    </row>
    <row r="1064" spans="1:4" x14ac:dyDescent="0.35">
      <c r="A1064" t="s">
        <v>1109</v>
      </c>
      <c r="B1064">
        <v>114914</v>
      </c>
      <c r="C1064">
        <f t="shared" si="39"/>
        <v>771.48</v>
      </c>
      <c r="D1064">
        <f t="shared" si="38"/>
        <v>115685.48</v>
      </c>
    </row>
    <row r="1065" spans="1:4" x14ac:dyDescent="0.35">
      <c r="A1065" t="s">
        <v>1110</v>
      </c>
      <c r="B1065">
        <v>108778</v>
      </c>
      <c r="C1065">
        <f t="shared" si="39"/>
        <v>639</v>
      </c>
      <c r="D1065">
        <f t="shared" si="38"/>
        <v>109417</v>
      </c>
    </row>
    <row r="1066" spans="1:4" x14ac:dyDescent="0.35">
      <c r="A1066" t="s">
        <v>1111</v>
      </c>
      <c r="B1066">
        <v>125976</v>
      </c>
      <c r="C1066">
        <f t="shared" si="39"/>
        <v>577.55999999999995</v>
      </c>
      <c r="D1066">
        <f t="shared" si="38"/>
        <v>126553.56</v>
      </c>
    </row>
    <row r="1067" spans="1:4" x14ac:dyDescent="0.35">
      <c r="A1067" t="s">
        <v>1112</v>
      </c>
      <c r="B1067">
        <v>113754</v>
      </c>
      <c r="C1067">
        <f t="shared" si="39"/>
        <v>591.24</v>
      </c>
      <c r="D1067">
        <f t="shared" si="38"/>
        <v>114345.24</v>
      </c>
    </row>
    <row r="1068" spans="1:4" x14ac:dyDescent="0.35">
      <c r="A1068" t="s">
        <v>1113</v>
      </c>
      <c r="B1068">
        <v>105624</v>
      </c>
      <c r="C1068">
        <f t="shared" si="39"/>
        <v>526.16999999999996</v>
      </c>
      <c r="D1068">
        <f t="shared" si="38"/>
        <v>106150.17</v>
      </c>
    </row>
    <row r="1069" spans="1:4" x14ac:dyDescent="0.35">
      <c r="A1069" t="s">
        <v>1114</v>
      </c>
      <c r="B1069">
        <v>124307</v>
      </c>
      <c r="C1069">
        <f t="shared" si="39"/>
        <v>609.33000000000004</v>
      </c>
      <c r="D1069">
        <f t="shared" si="38"/>
        <v>124916.33</v>
      </c>
    </row>
    <row r="1070" spans="1:4" x14ac:dyDescent="0.35">
      <c r="A1070" t="s">
        <v>1115</v>
      </c>
      <c r="B1070">
        <v>114860</v>
      </c>
      <c r="C1070">
        <f t="shared" si="39"/>
        <v>762.48</v>
      </c>
      <c r="D1070">
        <f t="shared" si="38"/>
        <v>115622.48</v>
      </c>
    </row>
    <row r="1071" spans="1:4" x14ac:dyDescent="0.35">
      <c r="A1071" t="s">
        <v>1116</v>
      </c>
      <c r="B1071">
        <v>124014</v>
      </c>
      <c r="C1071">
        <f t="shared" si="39"/>
        <v>595.83000000000004</v>
      </c>
      <c r="D1071">
        <f t="shared" si="38"/>
        <v>124609.83</v>
      </c>
    </row>
    <row r="1072" spans="1:4" x14ac:dyDescent="0.35">
      <c r="A1072" t="s">
        <v>1117</v>
      </c>
      <c r="B1072">
        <v>114971</v>
      </c>
      <c r="C1072">
        <f t="shared" si="39"/>
        <v>801.54</v>
      </c>
      <c r="D1072">
        <f t="shared" si="38"/>
        <v>115772.54</v>
      </c>
    </row>
    <row r="1073" spans="1:4" x14ac:dyDescent="0.35">
      <c r="A1073" t="s">
        <v>1118</v>
      </c>
      <c r="B1073">
        <v>114580</v>
      </c>
      <c r="C1073">
        <f t="shared" si="39"/>
        <v>768.03</v>
      </c>
      <c r="D1073">
        <f t="shared" si="38"/>
        <v>115348.03</v>
      </c>
    </row>
    <row r="1074" spans="1:4" x14ac:dyDescent="0.35">
      <c r="A1074" t="s">
        <v>1119</v>
      </c>
      <c r="B1074">
        <v>110218</v>
      </c>
      <c r="C1074">
        <f t="shared" si="39"/>
        <v>378.87</v>
      </c>
      <c r="D1074">
        <f t="shared" si="38"/>
        <v>110596.87</v>
      </c>
    </row>
    <row r="1075" spans="1:4" x14ac:dyDescent="0.35">
      <c r="A1075" t="s">
        <v>1120</v>
      </c>
      <c r="B1075">
        <v>113400</v>
      </c>
      <c r="C1075">
        <f t="shared" si="39"/>
        <v>642.27</v>
      </c>
      <c r="D1075">
        <f t="shared" si="38"/>
        <v>114042.27</v>
      </c>
    </row>
    <row r="1076" spans="1:4" x14ac:dyDescent="0.35">
      <c r="A1076" t="s">
        <v>1121</v>
      </c>
      <c r="B1076">
        <v>104610</v>
      </c>
      <c r="C1076">
        <f t="shared" si="39"/>
        <v>447.51</v>
      </c>
      <c r="D1076">
        <f t="shared" si="38"/>
        <v>105057.51</v>
      </c>
    </row>
    <row r="1077" spans="1:4" x14ac:dyDescent="0.35">
      <c r="A1077" t="s">
        <v>1122</v>
      </c>
      <c r="B1077">
        <v>115124</v>
      </c>
      <c r="C1077">
        <f t="shared" si="39"/>
        <v>743.82</v>
      </c>
      <c r="D1077">
        <f t="shared" si="38"/>
        <v>115867.82</v>
      </c>
    </row>
    <row r="1078" spans="1:4" x14ac:dyDescent="0.35">
      <c r="A1078" t="s">
        <v>1123</v>
      </c>
      <c r="B1078">
        <v>108801</v>
      </c>
      <c r="C1078">
        <f t="shared" si="39"/>
        <v>449.76</v>
      </c>
      <c r="D1078">
        <f t="shared" si="38"/>
        <v>109250.76</v>
      </c>
    </row>
    <row r="1079" spans="1:4" x14ac:dyDescent="0.35">
      <c r="A1079" t="s">
        <v>1124</v>
      </c>
      <c r="B1079">
        <v>106138</v>
      </c>
      <c r="C1079">
        <f t="shared" si="39"/>
        <v>742.65</v>
      </c>
      <c r="D1079">
        <f t="shared" si="38"/>
        <v>106880.65</v>
      </c>
    </row>
    <row r="1080" spans="1:4" x14ac:dyDescent="0.35">
      <c r="A1080" t="s">
        <v>1125</v>
      </c>
      <c r="B1080">
        <v>110177</v>
      </c>
      <c r="C1080">
        <f t="shared" si="39"/>
        <v>390.18</v>
      </c>
      <c r="D1080">
        <f t="shared" si="38"/>
        <v>110567.18</v>
      </c>
    </row>
    <row r="1081" spans="1:4" x14ac:dyDescent="0.35">
      <c r="A1081" t="s">
        <v>1126</v>
      </c>
      <c r="B1081">
        <v>123829</v>
      </c>
      <c r="C1081">
        <f t="shared" si="39"/>
        <v>463.62</v>
      </c>
      <c r="D1081">
        <f t="shared" si="38"/>
        <v>124292.62</v>
      </c>
    </row>
    <row r="1082" spans="1:4" x14ac:dyDescent="0.35">
      <c r="A1082" t="s">
        <v>1127</v>
      </c>
      <c r="B1082">
        <v>105922</v>
      </c>
      <c r="C1082">
        <f t="shared" si="39"/>
        <v>793.2</v>
      </c>
      <c r="D1082">
        <f t="shared" si="38"/>
        <v>106715.2</v>
      </c>
    </row>
    <row r="1083" spans="1:4" x14ac:dyDescent="0.35">
      <c r="A1083" t="s">
        <v>1128</v>
      </c>
      <c r="B1083">
        <v>113115</v>
      </c>
      <c r="C1083">
        <f t="shared" si="39"/>
        <v>797.61</v>
      </c>
      <c r="D1083">
        <f t="shared" si="38"/>
        <v>113912.61</v>
      </c>
    </row>
    <row r="1084" spans="1:4" x14ac:dyDescent="0.35">
      <c r="A1084" t="s">
        <v>1129</v>
      </c>
      <c r="B1084">
        <v>110290</v>
      </c>
      <c r="C1084">
        <f t="shared" si="39"/>
        <v>517.41</v>
      </c>
      <c r="D1084">
        <f t="shared" si="38"/>
        <v>110807.41</v>
      </c>
    </row>
    <row r="1085" spans="1:4" x14ac:dyDescent="0.35">
      <c r="A1085" t="s">
        <v>1130</v>
      </c>
      <c r="B1085">
        <v>104607</v>
      </c>
      <c r="C1085">
        <f t="shared" si="39"/>
        <v>453.75</v>
      </c>
      <c r="D1085">
        <f t="shared" si="38"/>
        <v>105060.75</v>
      </c>
    </row>
    <row r="1086" spans="1:4" x14ac:dyDescent="0.35">
      <c r="A1086" t="s">
        <v>1131</v>
      </c>
      <c r="B1086">
        <v>108577</v>
      </c>
      <c r="C1086">
        <f t="shared" si="39"/>
        <v>722.64</v>
      </c>
      <c r="D1086">
        <f t="shared" si="38"/>
        <v>109299.64</v>
      </c>
    </row>
    <row r="1087" spans="1:4" x14ac:dyDescent="0.35">
      <c r="A1087" t="s">
        <v>1132</v>
      </c>
      <c r="B1087">
        <v>105170</v>
      </c>
      <c r="C1087">
        <f t="shared" si="39"/>
        <v>410.01</v>
      </c>
      <c r="D1087">
        <f t="shared" si="38"/>
        <v>105580.01</v>
      </c>
    </row>
    <row r="1088" spans="1:4" x14ac:dyDescent="0.35">
      <c r="A1088" t="s">
        <v>1133</v>
      </c>
      <c r="B1088">
        <v>109133</v>
      </c>
      <c r="C1088">
        <f t="shared" si="39"/>
        <v>403.86</v>
      </c>
      <c r="D1088">
        <f t="shared" si="38"/>
        <v>109536.86</v>
      </c>
    </row>
    <row r="1089" spans="1:4" x14ac:dyDescent="0.35">
      <c r="A1089" t="s">
        <v>1134</v>
      </c>
      <c r="B1089">
        <v>105427</v>
      </c>
      <c r="C1089">
        <f t="shared" si="39"/>
        <v>431.25</v>
      </c>
      <c r="D1089">
        <f t="shared" si="38"/>
        <v>105858.25</v>
      </c>
    </row>
    <row r="1090" spans="1:4" x14ac:dyDescent="0.35">
      <c r="A1090" t="s">
        <v>1135</v>
      </c>
      <c r="B1090">
        <v>114399</v>
      </c>
      <c r="C1090">
        <f t="shared" si="39"/>
        <v>764.28</v>
      </c>
      <c r="D1090">
        <f t="shared" si="38"/>
        <v>115163.28</v>
      </c>
    </row>
    <row r="1091" spans="1:4" x14ac:dyDescent="0.35">
      <c r="A1091" t="s">
        <v>1136</v>
      </c>
      <c r="B1091">
        <v>125163</v>
      </c>
      <c r="C1091">
        <f t="shared" si="39"/>
        <v>463.77</v>
      </c>
      <c r="D1091">
        <f t="shared" ref="D1091:D1154" si="40">B1091+C1091</f>
        <v>125626.77</v>
      </c>
    </row>
    <row r="1092" spans="1:4" x14ac:dyDescent="0.35">
      <c r="A1092" t="s">
        <v>1137</v>
      </c>
      <c r="B1092">
        <v>105454</v>
      </c>
      <c r="C1092">
        <f t="shared" si="39"/>
        <v>407.91</v>
      </c>
      <c r="D1092">
        <f t="shared" si="40"/>
        <v>105861.91</v>
      </c>
    </row>
    <row r="1093" spans="1:4" x14ac:dyDescent="0.35">
      <c r="A1093" t="s">
        <v>1138</v>
      </c>
      <c r="B1093">
        <v>108933</v>
      </c>
      <c r="C1093">
        <f t="shared" si="39"/>
        <v>528.6</v>
      </c>
      <c r="D1093">
        <f t="shared" si="40"/>
        <v>109461.6</v>
      </c>
    </row>
    <row r="1094" spans="1:4" x14ac:dyDescent="0.35">
      <c r="A1094" t="s">
        <v>1139</v>
      </c>
      <c r="B1094">
        <v>123841</v>
      </c>
      <c r="C1094">
        <f t="shared" si="39"/>
        <v>524.46</v>
      </c>
      <c r="D1094">
        <f t="shared" si="40"/>
        <v>124365.46</v>
      </c>
    </row>
    <row r="1095" spans="1:4" x14ac:dyDescent="0.35">
      <c r="A1095" t="s">
        <v>1140</v>
      </c>
      <c r="B1095">
        <v>124804</v>
      </c>
      <c r="C1095">
        <f t="shared" si="39"/>
        <v>439.5</v>
      </c>
      <c r="D1095">
        <f t="shared" si="40"/>
        <v>125243.5</v>
      </c>
    </row>
    <row r="1096" spans="1:4" x14ac:dyDescent="0.35">
      <c r="A1096" t="s">
        <v>1141</v>
      </c>
      <c r="B1096">
        <v>114029</v>
      </c>
      <c r="C1096">
        <f t="shared" si="39"/>
        <v>778.56</v>
      </c>
      <c r="D1096">
        <f t="shared" si="40"/>
        <v>114807.56</v>
      </c>
    </row>
    <row r="1097" spans="1:4" x14ac:dyDescent="0.35">
      <c r="A1097" t="s">
        <v>1142</v>
      </c>
      <c r="B1097">
        <v>107696</v>
      </c>
      <c r="C1097">
        <f t="shared" si="39"/>
        <v>540.05999999999995</v>
      </c>
      <c r="D1097">
        <f t="shared" si="40"/>
        <v>108236.06</v>
      </c>
    </row>
    <row r="1098" spans="1:4" x14ac:dyDescent="0.35">
      <c r="A1098" t="s">
        <v>1143</v>
      </c>
      <c r="B1098">
        <v>115972</v>
      </c>
      <c r="C1098">
        <f t="shared" si="39"/>
        <v>458.01</v>
      </c>
      <c r="D1098">
        <f t="shared" si="40"/>
        <v>116430.01</v>
      </c>
    </row>
    <row r="1099" spans="1:4" x14ac:dyDescent="0.35">
      <c r="A1099" t="s">
        <v>1144</v>
      </c>
      <c r="B1099">
        <v>108666</v>
      </c>
      <c r="C1099">
        <f t="shared" si="39"/>
        <v>773.31</v>
      </c>
      <c r="D1099">
        <f t="shared" si="40"/>
        <v>109439.31</v>
      </c>
    </row>
    <row r="1100" spans="1:4" x14ac:dyDescent="0.35">
      <c r="A1100" t="s">
        <v>1145</v>
      </c>
      <c r="B1100">
        <v>107662</v>
      </c>
      <c r="C1100">
        <f t="shared" si="39"/>
        <v>537.54</v>
      </c>
      <c r="D1100">
        <f t="shared" si="40"/>
        <v>108199.54</v>
      </c>
    </row>
    <row r="1101" spans="1:4" x14ac:dyDescent="0.35">
      <c r="A1101" t="s">
        <v>1146</v>
      </c>
      <c r="B1101">
        <v>108976</v>
      </c>
      <c r="C1101">
        <f t="shared" si="39"/>
        <v>631.08000000000004</v>
      </c>
      <c r="D1101">
        <f t="shared" si="40"/>
        <v>109607.08</v>
      </c>
    </row>
    <row r="1102" spans="1:4" x14ac:dyDescent="0.35">
      <c r="A1102" t="s">
        <v>1147</v>
      </c>
      <c r="B1102">
        <v>108230</v>
      </c>
      <c r="C1102">
        <f t="shared" si="39"/>
        <v>758.67</v>
      </c>
      <c r="D1102">
        <f t="shared" si="40"/>
        <v>108988.67</v>
      </c>
    </row>
    <row r="1103" spans="1:4" x14ac:dyDescent="0.35">
      <c r="A1103" t="s">
        <v>1148</v>
      </c>
      <c r="B1103">
        <v>110221</v>
      </c>
      <c r="C1103">
        <f t="shared" si="39"/>
        <v>745.68</v>
      </c>
      <c r="D1103">
        <f t="shared" si="40"/>
        <v>110966.68</v>
      </c>
    </row>
    <row r="1104" spans="1:4" x14ac:dyDescent="0.35">
      <c r="A1104" t="s">
        <v>1149</v>
      </c>
      <c r="B1104">
        <v>108702</v>
      </c>
      <c r="C1104">
        <f t="shared" si="39"/>
        <v>810.21</v>
      </c>
      <c r="D1104">
        <f t="shared" si="40"/>
        <v>109512.21</v>
      </c>
    </row>
    <row r="1105" spans="1:4" x14ac:dyDescent="0.35">
      <c r="A1105" t="s">
        <v>1150</v>
      </c>
      <c r="B1105">
        <v>104321</v>
      </c>
      <c r="C1105">
        <f t="shared" si="39"/>
        <v>819.48</v>
      </c>
      <c r="D1105">
        <f t="shared" si="40"/>
        <v>105140.48</v>
      </c>
    </row>
    <row r="1106" spans="1:4" x14ac:dyDescent="0.35">
      <c r="A1106" t="s">
        <v>1151</v>
      </c>
      <c r="B1106">
        <v>123317</v>
      </c>
      <c r="C1106">
        <f t="shared" si="39"/>
        <v>420.72</v>
      </c>
      <c r="D1106">
        <f t="shared" si="40"/>
        <v>123737.72</v>
      </c>
    </row>
    <row r="1107" spans="1:4" x14ac:dyDescent="0.35">
      <c r="A1107" t="s">
        <v>1152</v>
      </c>
      <c r="B1107">
        <v>108150</v>
      </c>
      <c r="C1107">
        <f t="shared" si="39"/>
        <v>601.04999999999995</v>
      </c>
      <c r="D1107">
        <f t="shared" si="40"/>
        <v>108751.05</v>
      </c>
    </row>
    <row r="1108" spans="1:4" x14ac:dyDescent="0.35">
      <c r="A1108" t="s">
        <v>1153</v>
      </c>
      <c r="B1108">
        <v>116235</v>
      </c>
      <c r="C1108">
        <f t="shared" si="39"/>
        <v>751.23</v>
      </c>
      <c r="D1108">
        <f t="shared" si="40"/>
        <v>116986.23</v>
      </c>
    </row>
    <row r="1109" spans="1:4" x14ac:dyDescent="0.35">
      <c r="A1109" t="s">
        <v>1154</v>
      </c>
      <c r="B1109">
        <v>123088</v>
      </c>
      <c r="C1109">
        <f t="shared" si="39"/>
        <v>758.64</v>
      </c>
      <c r="D1109">
        <f t="shared" si="40"/>
        <v>123846.64</v>
      </c>
    </row>
    <row r="1110" spans="1:4" x14ac:dyDescent="0.35">
      <c r="A1110" t="s">
        <v>1155</v>
      </c>
      <c r="B1110">
        <v>105088</v>
      </c>
      <c r="C1110">
        <f t="shared" si="39"/>
        <v>505.14</v>
      </c>
      <c r="D1110">
        <f t="shared" si="40"/>
        <v>105593.14</v>
      </c>
    </row>
    <row r="1111" spans="1:4" x14ac:dyDescent="0.35">
      <c r="A1111" t="s">
        <v>1156</v>
      </c>
      <c r="B1111">
        <v>110043</v>
      </c>
      <c r="C1111">
        <f t="shared" ref="C1111:C1174" si="41">B394*3/100</f>
        <v>438.96</v>
      </c>
      <c r="D1111">
        <f t="shared" si="40"/>
        <v>110481.96</v>
      </c>
    </row>
    <row r="1112" spans="1:4" x14ac:dyDescent="0.35">
      <c r="A1112" t="s">
        <v>1157</v>
      </c>
      <c r="B1112">
        <v>114127</v>
      </c>
      <c r="C1112">
        <f t="shared" si="41"/>
        <v>499.47</v>
      </c>
      <c r="D1112">
        <f t="shared" si="40"/>
        <v>114626.47</v>
      </c>
    </row>
    <row r="1113" spans="1:4" x14ac:dyDescent="0.35">
      <c r="A1113" t="s">
        <v>1158</v>
      </c>
      <c r="B1113">
        <v>123137</v>
      </c>
      <c r="C1113">
        <f t="shared" si="41"/>
        <v>808.08</v>
      </c>
      <c r="D1113">
        <f t="shared" si="40"/>
        <v>123945.08</v>
      </c>
    </row>
    <row r="1114" spans="1:4" x14ac:dyDescent="0.35">
      <c r="A1114" t="s">
        <v>1159</v>
      </c>
      <c r="B1114">
        <v>123688</v>
      </c>
      <c r="C1114">
        <f t="shared" si="41"/>
        <v>622.20000000000005</v>
      </c>
      <c r="D1114">
        <f t="shared" si="40"/>
        <v>124310.2</v>
      </c>
    </row>
    <row r="1115" spans="1:4" x14ac:dyDescent="0.35">
      <c r="A1115" t="s">
        <v>1160</v>
      </c>
      <c r="B1115">
        <v>104825</v>
      </c>
      <c r="C1115">
        <f t="shared" si="41"/>
        <v>574.53</v>
      </c>
      <c r="D1115">
        <f t="shared" si="40"/>
        <v>105399.53</v>
      </c>
    </row>
    <row r="1116" spans="1:4" x14ac:dyDescent="0.35">
      <c r="A1116" t="s">
        <v>1161</v>
      </c>
      <c r="B1116">
        <v>125008</v>
      </c>
      <c r="C1116">
        <f t="shared" si="41"/>
        <v>621.45000000000005</v>
      </c>
      <c r="D1116">
        <f t="shared" si="40"/>
        <v>125629.45</v>
      </c>
    </row>
    <row r="1117" spans="1:4" x14ac:dyDescent="0.35">
      <c r="A1117" t="s">
        <v>1162</v>
      </c>
      <c r="B1117">
        <v>108992</v>
      </c>
      <c r="C1117">
        <f t="shared" si="41"/>
        <v>409.5</v>
      </c>
      <c r="D1117">
        <f t="shared" si="40"/>
        <v>109401.5</v>
      </c>
    </row>
    <row r="1118" spans="1:4" x14ac:dyDescent="0.35">
      <c r="A1118" t="s">
        <v>1163</v>
      </c>
      <c r="B1118">
        <v>124340</v>
      </c>
      <c r="C1118">
        <f t="shared" si="41"/>
        <v>733.89</v>
      </c>
      <c r="D1118">
        <f t="shared" si="40"/>
        <v>125073.89</v>
      </c>
    </row>
    <row r="1119" spans="1:4" x14ac:dyDescent="0.35">
      <c r="A1119" t="s">
        <v>1164</v>
      </c>
      <c r="B1119">
        <v>114585</v>
      </c>
      <c r="C1119">
        <f t="shared" si="41"/>
        <v>610.32000000000005</v>
      </c>
      <c r="D1119">
        <f t="shared" si="40"/>
        <v>115195.32</v>
      </c>
    </row>
    <row r="1120" spans="1:4" x14ac:dyDescent="0.35">
      <c r="A1120" t="s">
        <v>1165</v>
      </c>
      <c r="B1120">
        <v>105476</v>
      </c>
      <c r="C1120">
        <f t="shared" si="41"/>
        <v>503.79</v>
      </c>
      <c r="D1120">
        <f t="shared" si="40"/>
        <v>105979.79</v>
      </c>
    </row>
    <row r="1121" spans="1:4" x14ac:dyDescent="0.35">
      <c r="A1121" t="s">
        <v>1166</v>
      </c>
      <c r="B1121">
        <v>115174</v>
      </c>
      <c r="C1121">
        <f t="shared" si="41"/>
        <v>820.65</v>
      </c>
      <c r="D1121">
        <f t="shared" si="40"/>
        <v>115994.65</v>
      </c>
    </row>
    <row r="1122" spans="1:4" x14ac:dyDescent="0.35">
      <c r="A1122" t="s">
        <v>1167</v>
      </c>
      <c r="B1122">
        <v>124828</v>
      </c>
      <c r="C1122">
        <f t="shared" si="41"/>
        <v>759.42</v>
      </c>
      <c r="D1122">
        <f t="shared" si="40"/>
        <v>125587.42</v>
      </c>
    </row>
    <row r="1123" spans="1:4" x14ac:dyDescent="0.35">
      <c r="A1123" t="s">
        <v>1168</v>
      </c>
      <c r="B1123">
        <v>114626</v>
      </c>
      <c r="C1123">
        <f t="shared" si="41"/>
        <v>402.06</v>
      </c>
      <c r="D1123">
        <f t="shared" si="40"/>
        <v>115028.06</v>
      </c>
    </row>
    <row r="1124" spans="1:4" x14ac:dyDescent="0.35">
      <c r="A1124" t="s">
        <v>1169</v>
      </c>
      <c r="B1124">
        <v>107775</v>
      </c>
      <c r="C1124">
        <f t="shared" si="41"/>
        <v>482.28</v>
      </c>
      <c r="D1124">
        <f t="shared" si="40"/>
        <v>108257.28</v>
      </c>
    </row>
    <row r="1125" spans="1:4" x14ac:dyDescent="0.35">
      <c r="A1125" t="s">
        <v>1170</v>
      </c>
      <c r="B1125">
        <v>107724</v>
      </c>
      <c r="C1125">
        <f t="shared" si="41"/>
        <v>425.67</v>
      </c>
      <c r="D1125">
        <f t="shared" si="40"/>
        <v>108149.67</v>
      </c>
    </row>
    <row r="1126" spans="1:4" x14ac:dyDescent="0.35">
      <c r="A1126" t="s">
        <v>1171</v>
      </c>
      <c r="B1126">
        <v>115013</v>
      </c>
      <c r="C1126">
        <f t="shared" si="41"/>
        <v>460.41</v>
      </c>
      <c r="D1126">
        <f t="shared" si="40"/>
        <v>115473.41</v>
      </c>
    </row>
    <row r="1127" spans="1:4" x14ac:dyDescent="0.35">
      <c r="A1127" t="s">
        <v>1172</v>
      </c>
      <c r="B1127">
        <v>104362</v>
      </c>
      <c r="C1127">
        <f t="shared" si="41"/>
        <v>425.52</v>
      </c>
      <c r="D1127">
        <f t="shared" si="40"/>
        <v>104787.52</v>
      </c>
    </row>
    <row r="1128" spans="1:4" x14ac:dyDescent="0.35">
      <c r="A1128" t="s">
        <v>1173</v>
      </c>
      <c r="B1128">
        <v>108171</v>
      </c>
      <c r="C1128">
        <f t="shared" si="41"/>
        <v>423.03</v>
      </c>
      <c r="D1128">
        <f t="shared" si="40"/>
        <v>108594.03</v>
      </c>
    </row>
    <row r="1129" spans="1:4" x14ac:dyDescent="0.35">
      <c r="A1129" t="s">
        <v>1174</v>
      </c>
      <c r="B1129">
        <v>104667</v>
      </c>
      <c r="C1129">
        <f t="shared" si="41"/>
        <v>496.89</v>
      </c>
      <c r="D1129">
        <f t="shared" si="40"/>
        <v>105163.89</v>
      </c>
    </row>
    <row r="1130" spans="1:4" x14ac:dyDescent="0.35">
      <c r="A1130" t="s">
        <v>1175</v>
      </c>
      <c r="B1130">
        <v>114831</v>
      </c>
      <c r="C1130">
        <f t="shared" si="41"/>
        <v>589.08000000000004</v>
      </c>
      <c r="D1130">
        <f t="shared" si="40"/>
        <v>115420.08</v>
      </c>
    </row>
    <row r="1131" spans="1:4" x14ac:dyDescent="0.35">
      <c r="A1131" t="s">
        <v>1176</v>
      </c>
      <c r="B1131">
        <v>124957</v>
      </c>
      <c r="C1131">
        <f t="shared" si="41"/>
        <v>443.67</v>
      </c>
      <c r="D1131">
        <f t="shared" si="40"/>
        <v>125400.67</v>
      </c>
    </row>
    <row r="1132" spans="1:4" x14ac:dyDescent="0.35">
      <c r="A1132" t="s">
        <v>1177</v>
      </c>
      <c r="B1132">
        <v>114058</v>
      </c>
      <c r="C1132">
        <f t="shared" si="41"/>
        <v>784.74</v>
      </c>
      <c r="D1132">
        <f t="shared" si="40"/>
        <v>114842.74</v>
      </c>
    </row>
    <row r="1133" spans="1:4" x14ac:dyDescent="0.35">
      <c r="A1133" t="s">
        <v>1178</v>
      </c>
      <c r="B1133">
        <v>115379</v>
      </c>
      <c r="C1133">
        <f t="shared" si="41"/>
        <v>800.82</v>
      </c>
      <c r="D1133">
        <f t="shared" si="40"/>
        <v>116179.82</v>
      </c>
    </row>
    <row r="1134" spans="1:4" x14ac:dyDescent="0.35">
      <c r="A1134" t="s">
        <v>1179</v>
      </c>
      <c r="B1134">
        <v>116027</v>
      </c>
      <c r="C1134">
        <f t="shared" si="41"/>
        <v>694.56</v>
      </c>
      <c r="D1134">
        <f t="shared" si="40"/>
        <v>116721.56</v>
      </c>
    </row>
    <row r="1135" spans="1:4" x14ac:dyDescent="0.35">
      <c r="A1135" t="s">
        <v>1180</v>
      </c>
      <c r="B1135">
        <v>105524</v>
      </c>
      <c r="C1135">
        <f t="shared" si="41"/>
        <v>608.13</v>
      </c>
      <c r="D1135">
        <f t="shared" si="40"/>
        <v>106132.13</v>
      </c>
    </row>
    <row r="1136" spans="1:4" x14ac:dyDescent="0.35">
      <c r="A1136" t="s">
        <v>1181</v>
      </c>
      <c r="B1136">
        <v>108051</v>
      </c>
      <c r="C1136">
        <f t="shared" si="41"/>
        <v>494.34</v>
      </c>
      <c r="D1136">
        <f t="shared" si="40"/>
        <v>108545.34</v>
      </c>
    </row>
    <row r="1137" spans="1:4" x14ac:dyDescent="0.35">
      <c r="A1137" t="s">
        <v>1182</v>
      </c>
      <c r="B1137">
        <v>109742</v>
      </c>
      <c r="C1137">
        <f t="shared" si="41"/>
        <v>464.97</v>
      </c>
      <c r="D1137">
        <f t="shared" si="40"/>
        <v>110206.97</v>
      </c>
    </row>
    <row r="1138" spans="1:4" x14ac:dyDescent="0.35">
      <c r="A1138" t="s">
        <v>1183</v>
      </c>
      <c r="B1138">
        <v>106724</v>
      </c>
      <c r="C1138">
        <f t="shared" si="41"/>
        <v>612.29999999999995</v>
      </c>
      <c r="D1138">
        <f t="shared" si="40"/>
        <v>107336.3</v>
      </c>
    </row>
    <row r="1139" spans="1:4" x14ac:dyDescent="0.35">
      <c r="A1139" t="s">
        <v>1184</v>
      </c>
      <c r="B1139">
        <v>113329</v>
      </c>
      <c r="C1139">
        <f t="shared" si="41"/>
        <v>442.2</v>
      </c>
      <c r="D1139">
        <f t="shared" si="40"/>
        <v>113771.2</v>
      </c>
    </row>
    <row r="1140" spans="1:4" x14ac:dyDescent="0.35">
      <c r="A1140" t="s">
        <v>1185</v>
      </c>
      <c r="B1140">
        <v>124369</v>
      </c>
      <c r="C1140">
        <f t="shared" si="41"/>
        <v>728.55</v>
      </c>
      <c r="D1140">
        <f t="shared" si="40"/>
        <v>125097.55</v>
      </c>
    </row>
    <row r="1141" spans="1:4" x14ac:dyDescent="0.35">
      <c r="A1141" t="s">
        <v>1186</v>
      </c>
      <c r="B1141">
        <v>108011</v>
      </c>
      <c r="C1141">
        <f t="shared" si="41"/>
        <v>749.1</v>
      </c>
      <c r="D1141">
        <f t="shared" si="40"/>
        <v>108760.1</v>
      </c>
    </row>
    <row r="1142" spans="1:4" x14ac:dyDescent="0.35">
      <c r="A1142" t="s">
        <v>1187</v>
      </c>
      <c r="B1142">
        <v>124836</v>
      </c>
      <c r="C1142">
        <f t="shared" si="41"/>
        <v>571.53</v>
      </c>
      <c r="D1142">
        <f t="shared" si="40"/>
        <v>125407.53</v>
      </c>
    </row>
    <row r="1143" spans="1:4" x14ac:dyDescent="0.35">
      <c r="A1143" t="s">
        <v>1188</v>
      </c>
      <c r="B1143">
        <v>124385</v>
      </c>
      <c r="C1143">
        <f t="shared" si="41"/>
        <v>547.16999999999996</v>
      </c>
      <c r="D1143">
        <f t="shared" si="40"/>
        <v>124932.17</v>
      </c>
    </row>
    <row r="1144" spans="1:4" x14ac:dyDescent="0.35">
      <c r="A1144" t="s">
        <v>1189</v>
      </c>
      <c r="B1144">
        <v>123153</v>
      </c>
      <c r="C1144">
        <f t="shared" si="41"/>
        <v>827.43</v>
      </c>
      <c r="D1144">
        <f t="shared" si="40"/>
        <v>123980.43</v>
      </c>
    </row>
    <row r="1145" spans="1:4" x14ac:dyDescent="0.35">
      <c r="A1145" t="s">
        <v>1190</v>
      </c>
      <c r="B1145">
        <v>107804</v>
      </c>
      <c r="C1145">
        <f t="shared" si="41"/>
        <v>497.88</v>
      </c>
      <c r="D1145">
        <f t="shared" si="40"/>
        <v>108301.88</v>
      </c>
    </row>
    <row r="1146" spans="1:4" x14ac:dyDescent="0.35">
      <c r="A1146" t="s">
        <v>1191</v>
      </c>
      <c r="B1146">
        <v>114636</v>
      </c>
      <c r="C1146">
        <f t="shared" si="41"/>
        <v>612.96</v>
      </c>
      <c r="D1146">
        <f t="shared" si="40"/>
        <v>115248.96000000001</v>
      </c>
    </row>
    <row r="1147" spans="1:4" x14ac:dyDescent="0.35">
      <c r="A1147" t="s">
        <v>1192</v>
      </c>
      <c r="B1147">
        <v>108071</v>
      </c>
      <c r="C1147">
        <f t="shared" si="41"/>
        <v>392.85</v>
      </c>
      <c r="D1147">
        <f t="shared" si="40"/>
        <v>108463.85</v>
      </c>
    </row>
    <row r="1148" spans="1:4" x14ac:dyDescent="0.35">
      <c r="A1148" t="s">
        <v>1193</v>
      </c>
      <c r="B1148">
        <v>107952</v>
      </c>
      <c r="C1148">
        <f t="shared" si="41"/>
        <v>455.85</v>
      </c>
      <c r="D1148">
        <f t="shared" si="40"/>
        <v>108407.85</v>
      </c>
    </row>
    <row r="1149" spans="1:4" x14ac:dyDescent="0.35">
      <c r="A1149" t="s">
        <v>1194</v>
      </c>
      <c r="B1149">
        <v>107789</v>
      </c>
      <c r="C1149">
        <f t="shared" si="41"/>
        <v>761.31</v>
      </c>
      <c r="D1149">
        <f t="shared" si="40"/>
        <v>108550.31</v>
      </c>
    </row>
    <row r="1150" spans="1:4" x14ac:dyDescent="0.35">
      <c r="A1150" t="s">
        <v>1195</v>
      </c>
      <c r="B1150">
        <v>113937</v>
      </c>
      <c r="C1150">
        <f t="shared" si="41"/>
        <v>600.51</v>
      </c>
      <c r="D1150">
        <f t="shared" si="40"/>
        <v>114537.51</v>
      </c>
    </row>
    <row r="1151" spans="1:4" x14ac:dyDescent="0.35">
      <c r="A1151" t="s">
        <v>1196</v>
      </c>
      <c r="B1151">
        <v>124543</v>
      </c>
      <c r="C1151">
        <f t="shared" si="41"/>
        <v>496.11</v>
      </c>
      <c r="D1151">
        <f t="shared" si="40"/>
        <v>125039.11</v>
      </c>
    </row>
    <row r="1152" spans="1:4" x14ac:dyDescent="0.35">
      <c r="A1152" t="s">
        <v>1197</v>
      </c>
      <c r="B1152">
        <v>106628</v>
      </c>
      <c r="C1152">
        <f t="shared" si="41"/>
        <v>562.71</v>
      </c>
      <c r="D1152">
        <f t="shared" si="40"/>
        <v>107190.71</v>
      </c>
    </row>
    <row r="1153" spans="1:4" x14ac:dyDescent="0.35">
      <c r="A1153" t="s">
        <v>1198</v>
      </c>
      <c r="B1153">
        <v>107951</v>
      </c>
      <c r="C1153">
        <f t="shared" si="41"/>
        <v>365.43</v>
      </c>
      <c r="D1153">
        <f t="shared" si="40"/>
        <v>108316.43</v>
      </c>
    </row>
    <row r="1154" spans="1:4" x14ac:dyDescent="0.35">
      <c r="A1154" t="s">
        <v>1199</v>
      </c>
      <c r="B1154">
        <v>125085</v>
      </c>
      <c r="C1154">
        <f t="shared" si="41"/>
        <v>458.22</v>
      </c>
      <c r="D1154">
        <f t="shared" si="40"/>
        <v>125543.22</v>
      </c>
    </row>
    <row r="1155" spans="1:4" x14ac:dyDescent="0.35">
      <c r="A1155" t="s">
        <v>1200</v>
      </c>
      <c r="B1155">
        <v>123474</v>
      </c>
      <c r="C1155">
        <f t="shared" si="41"/>
        <v>461.46</v>
      </c>
      <c r="D1155">
        <f t="shared" ref="D1155:D1218" si="42">B1155+C1155</f>
        <v>123935.46</v>
      </c>
    </row>
    <row r="1156" spans="1:4" x14ac:dyDescent="0.35">
      <c r="A1156" t="s">
        <v>1201</v>
      </c>
      <c r="B1156">
        <v>108356</v>
      </c>
      <c r="C1156">
        <f t="shared" si="41"/>
        <v>429.3</v>
      </c>
      <c r="D1156">
        <f t="shared" si="42"/>
        <v>108785.3</v>
      </c>
    </row>
    <row r="1157" spans="1:4" x14ac:dyDescent="0.35">
      <c r="A1157" t="s">
        <v>1202</v>
      </c>
      <c r="B1157">
        <v>123830</v>
      </c>
      <c r="C1157">
        <f t="shared" si="41"/>
        <v>542.97</v>
      </c>
      <c r="D1157">
        <f t="shared" si="42"/>
        <v>124372.97</v>
      </c>
    </row>
    <row r="1158" spans="1:4" x14ac:dyDescent="0.35">
      <c r="A1158" t="s">
        <v>1203</v>
      </c>
      <c r="B1158">
        <v>116143</v>
      </c>
      <c r="C1158">
        <f t="shared" si="41"/>
        <v>609.36</v>
      </c>
      <c r="D1158">
        <f t="shared" si="42"/>
        <v>116752.36</v>
      </c>
    </row>
    <row r="1159" spans="1:4" x14ac:dyDescent="0.35">
      <c r="A1159" t="s">
        <v>1204</v>
      </c>
      <c r="B1159">
        <v>113626</v>
      </c>
      <c r="C1159">
        <f t="shared" si="41"/>
        <v>539.82000000000005</v>
      </c>
      <c r="D1159">
        <f t="shared" si="42"/>
        <v>114165.82</v>
      </c>
    </row>
    <row r="1160" spans="1:4" x14ac:dyDescent="0.35">
      <c r="A1160" t="s">
        <v>1205</v>
      </c>
      <c r="B1160">
        <v>108974</v>
      </c>
      <c r="C1160">
        <f t="shared" si="41"/>
        <v>455.28</v>
      </c>
      <c r="D1160">
        <f t="shared" si="42"/>
        <v>109429.28</v>
      </c>
    </row>
    <row r="1161" spans="1:4" x14ac:dyDescent="0.35">
      <c r="A1161" t="s">
        <v>1206</v>
      </c>
      <c r="B1161">
        <v>109551</v>
      </c>
      <c r="C1161">
        <f t="shared" si="41"/>
        <v>463.86</v>
      </c>
      <c r="D1161">
        <f t="shared" si="42"/>
        <v>110014.86</v>
      </c>
    </row>
    <row r="1162" spans="1:4" x14ac:dyDescent="0.35">
      <c r="A1162" t="s">
        <v>1207</v>
      </c>
      <c r="B1162">
        <v>124995</v>
      </c>
      <c r="C1162">
        <f t="shared" si="41"/>
        <v>454.95</v>
      </c>
      <c r="D1162">
        <f t="shared" si="42"/>
        <v>125449.95</v>
      </c>
    </row>
    <row r="1163" spans="1:4" x14ac:dyDescent="0.35">
      <c r="A1163" t="s">
        <v>1208</v>
      </c>
      <c r="B1163">
        <v>109005</v>
      </c>
      <c r="C1163">
        <f t="shared" si="41"/>
        <v>501.69</v>
      </c>
      <c r="D1163">
        <f t="shared" si="42"/>
        <v>109506.69</v>
      </c>
    </row>
    <row r="1164" spans="1:4" x14ac:dyDescent="0.35">
      <c r="A1164" t="s">
        <v>1209</v>
      </c>
      <c r="B1164">
        <v>114135</v>
      </c>
      <c r="C1164">
        <f t="shared" si="41"/>
        <v>801.27</v>
      </c>
      <c r="D1164">
        <f t="shared" si="42"/>
        <v>114936.27</v>
      </c>
    </row>
    <row r="1165" spans="1:4" x14ac:dyDescent="0.35">
      <c r="A1165" t="s">
        <v>1210</v>
      </c>
      <c r="B1165">
        <v>114287</v>
      </c>
      <c r="C1165">
        <f t="shared" si="41"/>
        <v>469.71</v>
      </c>
      <c r="D1165">
        <f t="shared" si="42"/>
        <v>114756.71</v>
      </c>
    </row>
    <row r="1166" spans="1:4" x14ac:dyDescent="0.35">
      <c r="A1166" t="s">
        <v>1211</v>
      </c>
      <c r="B1166">
        <v>115828</v>
      </c>
      <c r="C1166">
        <f t="shared" si="41"/>
        <v>588.45000000000005</v>
      </c>
      <c r="D1166">
        <f t="shared" si="42"/>
        <v>116416.45</v>
      </c>
    </row>
    <row r="1167" spans="1:4" x14ac:dyDescent="0.35">
      <c r="A1167" t="s">
        <v>1212</v>
      </c>
      <c r="B1167">
        <v>114993</v>
      </c>
      <c r="C1167">
        <f t="shared" si="41"/>
        <v>502.68</v>
      </c>
      <c r="D1167">
        <f t="shared" si="42"/>
        <v>115495.67999999999</v>
      </c>
    </row>
    <row r="1168" spans="1:4" x14ac:dyDescent="0.35">
      <c r="A1168" t="s">
        <v>1213</v>
      </c>
      <c r="B1168">
        <v>115397</v>
      </c>
      <c r="C1168">
        <f t="shared" si="41"/>
        <v>740.88</v>
      </c>
      <c r="D1168">
        <f t="shared" si="42"/>
        <v>116137.88</v>
      </c>
    </row>
    <row r="1169" spans="1:4" x14ac:dyDescent="0.35">
      <c r="A1169" t="s">
        <v>1214</v>
      </c>
      <c r="B1169">
        <v>124304</v>
      </c>
      <c r="C1169">
        <f t="shared" si="41"/>
        <v>634.98</v>
      </c>
      <c r="D1169">
        <f t="shared" si="42"/>
        <v>124938.98</v>
      </c>
    </row>
    <row r="1170" spans="1:4" x14ac:dyDescent="0.35">
      <c r="A1170" t="s">
        <v>1215</v>
      </c>
      <c r="B1170">
        <v>105293</v>
      </c>
      <c r="C1170">
        <f t="shared" si="41"/>
        <v>529.5</v>
      </c>
      <c r="D1170">
        <f t="shared" si="42"/>
        <v>105822.5</v>
      </c>
    </row>
    <row r="1171" spans="1:4" x14ac:dyDescent="0.35">
      <c r="A1171" t="s">
        <v>1216</v>
      </c>
      <c r="B1171">
        <v>115186</v>
      </c>
      <c r="C1171">
        <f t="shared" si="41"/>
        <v>385.17</v>
      </c>
      <c r="D1171">
        <f t="shared" si="42"/>
        <v>115571.17</v>
      </c>
    </row>
    <row r="1172" spans="1:4" x14ac:dyDescent="0.35">
      <c r="A1172" t="s">
        <v>1217</v>
      </c>
      <c r="B1172">
        <v>114384</v>
      </c>
      <c r="C1172">
        <f t="shared" si="41"/>
        <v>570.12</v>
      </c>
      <c r="D1172">
        <f t="shared" si="42"/>
        <v>114954.12</v>
      </c>
    </row>
    <row r="1173" spans="1:4" x14ac:dyDescent="0.35">
      <c r="A1173" t="s">
        <v>1218</v>
      </c>
      <c r="B1173">
        <v>115333</v>
      </c>
      <c r="C1173">
        <f t="shared" si="41"/>
        <v>582.69000000000005</v>
      </c>
      <c r="D1173">
        <f t="shared" si="42"/>
        <v>115915.69</v>
      </c>
    </row>
    <row r="1174" spans="1:4" x14ac:dyDescent="0.35">
      <c r="A1174" t="s">
        <v>1219</v>
      </c>
      <c r="B1174">
        <v>105437</v>
      </c>
      <c r="C1174">
        <f t="shared" si="41"/>
        <v>647.79</v>
      </c>
      <c r="D1174">
        <f t="shared" si="42"/>
        <v>106084.79</v>
      </c>
    </row>
    <row r="1175" spans="1:4" x14ac:dyDescent="0.35">
      <c r="A1175" t="s">
        <v>1220</v>
      </c>
      <c r="B1175">
        <v>115187</v>
      </c>
      <c r="C1175">
        <f t="shared" ref="C1175:C1219" si="43">B458*3/100</f>
        <v>718.05</v>
      </c>
      <c r="D1175">
        <f t="shared" si="42"/>
        <v>115905.05</v>
      </c>
    </row>
    <row r="1176" spans="1:4" x14ac:dyDescent="0.35">
      <c r="A1176" t="s">
        <v>1221</v>
      </c>
      <c r="B1176">
        <v>114331</v>
      </c>
      <c r="C1176">
        <f t="shared" si="43"/>
        <v>571.35</v>
      </c>
      <c r="D1176">
        <f t="shared" si="42"/>
        <v>114902.35</v>
      </c>
    </row>
    <row r="1177" spans="1:4" x14ac:dyDescent="0.35">
      <c r="A1177" t="s">
        <v>1222</v>
      </c>
      <c r="B1177">
        <v>110302</v>
      </c>
      <c r="C1177">
        <f t="shared" si="43"/>
        <v>696.27</v>
      </c>
      <c r="D1177">
        <f t="shared" si="42"/>
        <v>110998.27</v>
      </c>
    </row>
    <row r="1178" spans="1:4" x14ac:dyDescent="0.35">
      <c r="A1178" t="s">
        <v>1223</v>
      </c>
      <c r="B1178">
        <v>105178</v>
      </c>
      <c r="C1178">
        <f t="shared" si="43"/>
        <v>382.8</v>
      </c>
      <c r="D1178">
        <f t="shared" si="42"/>
        <v>105560.8</v>
      </c>
    </row>
    <row r="1179" spans="1:4" x14ac:dyDescent="0.35">
      <c r="A1179" t="s">
        <v>1224</v>
      </c>
      <c r="B1179">
        <v>107654</v>
      </c>
      <c r="C1179">
        <f t="shared" si="43"/>
        <v>556.67999999999995</v>
      </c>
      <c r="D1179">
        <f t="shared" si="42"/>
        <v>108210.68</v>
      </c>
    </row>
    <row r="1180" spans="1:4" x14ac:dyDescent="0.35">
      <c r="A1180" t="s">
        <v>1225</v>
      </c>
      <c r="B1180">
        <v>114709</v>
      </c>
      <c r="C1180">
        <f t="shared" si="43"/>
        <v>647.13</v>
      </c>
      <c r="D1180">
        <f t="shared" si="42"/>
        <v>115356.13</v>
      </c>
    </row>
    <row r="1181" spans="1:4" x14ac:dyDescent="0.35">
      <c r="A1181" t="s">
        <v>1226</v>
      </c>
      <c r="B1181">
        <v>114048</v>
      </c>
      <c r="C1181">
        <f t="shared" si="43"/>
        <v>432.21</v>
      </c>
      <c r="D1181">
        <f t="shared" si="42"/>
        <v>114480.21</v>
      </c>
    </row>
    <row r="1182" spans="1:4" x14ac:dyDescent="0.35">
      <c r="A1182" t="s">
        <v>1227</v>
      </c>
      <c r="B1182">
        <v>116332</v>
      </c>
      <c r="C1182">
        <f t="shared" si="43"/>
        <v>445.98</v>
      </c>
      <c r="D1182">
        <f t="shared" si="42"/>
        <v>116777.98</v>
      </c>
    </row>
    <row r="1183" spans="1:4" x14ac:dyDescent="0.35">
      <c r="A1183" t="s">
        <v>1228</v>
      </c>
      <c r="B1183">
        <v>125090</v>
      </c>
      <c r="C1183">
        <f t="shared" si="43"/>
        <v>500.85</v>
      </c>
      <c r="D1183">
        <f t="shared" si="42"/>
        <v>125590.85</v>
      </c>
    </row>
    <row r="1184" spans="1:4" x14ac:dyDescent="0.35">
      <c r="A1184" t="s">
        <v>1229</v>
      </c>
      <c r="B1184">
        <v>108603</v>
      </c>
      <c r="C1184">
        <f t="shared" si="43"/>
        <v>450.09</v>
      </c>
      <c r="D1184">
        <f t="shared" si="42"/>
        <v>109053.09</v>
      </c>
    </row>
    <row r="1185" spans="1:4" x14ac:dyDescent="0.35">
      <c r="A1185" t="s">
        <v>1230</v>
      </c>
      <c r="B1185">
        <v>123738</v>
      </c>
      <c r="C1185">
        <f t="shared" si="43"/>
        <v>611.94000000000005</v>
      </c>
      <c r="D1185">
        <f t="shared" si="42"/>
        <v>124349.94</v>
      </c>
    </row>
    <row r="1186" spans="1:4" x14ac:dyDescent="0.35">
      <c r="A1186" t="s">
        <v>1231</v>
      </c>
      <c r="B1186">
        <v>106567</v>
      </c>
      <c r="C1186">
        <f t="shared" si="43"/>
        <v>384.15</v>
      </c>
      <c r="D1186">
        <f t="shared" si="42"/>
        <v>106951.15</v>
      </c>
    </row>
    <row r="1187" spans="1:4" x14ac:dyDescent="0.35">
      <c r="A1187" t="s">
        <v>1232</v>
      </c>
      <c r="B1187">
        <v>125470</v>
      </c>
      <c r="C1187">
        <f t="shared" si="43"/>
        <v>772.14</v>
      </c>
      <c r="D1187">
        <f t="shared" si="42"/>
        <v>126242.14</v>
      </c>
    </row>
    <row r="1188" spans="1:4" x14ac:dyDescent="0.35">
      <c r="A1188" t="s">
        <v>1233</v>
      </c>
      <c r="B1188">
        <v>107732</v>
      </c>
      <c r="C1188">
        <f t="shared" si="43"/>
        <v>436.71</v>
      </c>
      <c r="D1188">
        <f t="shared" si="42"/>
        <v>108168.71</v>
      </c>
    </row>
    <row r="1189" spans="1:4" x14ac:dyDescent="0.35">
      <c r="A1189" t="s">
        <v>1234</v>
      </c>
      <c r="B1189">
        <v>108291</v>
      </c>
      <c r="C1189">
        <f t="shared" si="43"/>
        <v>385.59</v>
      </c>
      <c r="D1189">
        <f t="shared" si="42"/>
        <v>108676.59</v>
      </c>
    </row>
    <row r="1190" spans="1:4" x14ac:dyDescent="0.35">
      <c r="A1190" t="s">
        <v>1235</v>
      </c>
      <c r="B1190">
        <v>114924</v>
      </c>
      <c r="C1190">
        <f t="shared" si="43"/>
        <v>763.02</v>
      </c>
      <c r="D1190">
        <f t="shared" si="42"/>
        <v>115687.02</v>
      </c>
    </row>
    <row r="1191" spans="1:4" x14ac:dyDescent="0.35">
      <c r="A1191" t="s">
        <v>1236</v>
      </c>
      <c r="B1191">
        <v>108458</v>
      </c>
      <c r="C1191">
        <f t="shared" si="43"/>
        <v>371.82</v>
      </c>
      <c r="D1191">
        <f t="shared" si="42"/>
        <v>108829.82</v>
      </c>
    </row>
    <row r="1192" spans="1:4" x14ac:dyDescent="0.35">
      <c r="A1192" t="s">
        <v>1237</v>
      </c>
      <c r="B1192">
        <v>107601</v>
      </c>
      <c r="C1192">
        <f t="shared" si="43"/>
        <v>765.15</v>
      </c>
      <c r="D1192">
        <f t="shared" si="42"/>
        <v>108366.15</v>
      </c>
    </row>
    <row r="1193" spans="1:4" x14ac:dyDescent="0.35">
      <c r="A1193" t="s">
        <v>1238</v>
      </c>
      <c r="B1193">
        <v>125291</v>
      </c>
      <c r="C1193">
        <f t="shared" si="43"/>
        <v>610.62</v>
      </c>
      <c r="D1193">
        <f t="shared" si="42"/>
        <v>125901.62</v>
      </c>
    </row>
    <row r="1194" spans="1:4" x14ac:dyDescent="0.35">
      <c r="A1194" t="s">
        <v>1239</v>
      </c>
      <c r="B1194">
        <v>105193</v>
      </c>
      <c r="C1194">
        <f t="shared" si="43"/>
        <v>474.69</v>
      </c>
      <c r="D1194">
        <f t="shared" si="42"/>
        <v>105667.69</v>
      </c>
    </row>
    <row r="1195" spans="1:4" x14ac:dyDescent="0.35">
      <c r="A1195" t="s">
        <v>1240</v>
      </c>
      <c r="B1195">
        <v>123810</v>
      </c>
      <c r="C1195">
        <f t="shared" si="43"/>
        <v>435.72</v>
      </c>
      <c r="D1195">
        <f t="shared" si="42"/>
        <v>124245.72</v>
      </c>
    </row>
    <row r="1196" spans="1:4" x14ac:dyDescent="0.35">
      <c r="A1196" t="s">
        <v>1241</v>
      </c>
      <c r="B1196">
        <v>124881</v>
      </c>
      <c r="C1196">
        <f t="shared" si="43"/>
        <v>606.45000000000005</v>
      </c>
      <c r="D1196">
        <f t="shared" si="42"/>
        <v>125487.45</v>
      </c>
    </row>
    <row r="1197" spans="1:4" x14ac:dyDescent="0.35">
      <c r="A1197" t="s">
        <v>1242</v>
      </c>
      <c r="B1197">
        <v>108308</v>
      </c>
      <c r="C1197">
        <f t="shared" si="43"/>
        <v>774.27</v>
      </c>
      <c r="D1197">
        <f t="shared" si="42"/>
        <v>109082.27</v>
      </c>
    </row>
    <row r="1198" spans="1:4" x14ac:dyDescent="0.35">
      <c r="A1198" t="s">
        <v>1243</v>
      </c>
      <c r="B1198">
        <v>123506</v>
      </c>
      <c r="C1198">
        <f t="shared" si="43"/>
        <v>569.4</v>
      </c>
      <c r="D1198">
        <f t="shared" si="42"/>
        <v>124075.4</v>
      </c>
    </row>
    <row r="1199" spans="1:4" x14ac:dyDescent="0.35">
      <c r="A1199" t="s">
        <v>1244</v>
      </c>
      <c r="B1199">
        <v>113371</v>
      </c>
      <c r="C1199">
        <f t="shared" si="43"/>
        <v>727.5</v>
      </c>
      <c r="D1199">
        <f t="shared" si="42"/>
        <v>114098.5</v>
      </c>
    </row>
    <row r="1200" spans="1:4" x14ac:dyDescent="0.35">
      <c r="A1200" t="s">
        <v>1245</v>
      </c>
      <c r="B1200">
        <v>105190</v>
      </c>
      <c r="C1200">
        <f t="shared" si="43"/>
        <v>411.27</v>
      </c>
      <c r="D1200">
        <f t="shared" si="42"/>
        <v>105601.27</v>
      </c>
    </row>
    <row r="1201" spans="1:4" x14ac:dyDescent="0.35">
      <c r="A1201" t="s">
        <v>1246</v>
      </c>
      <c r="B1201">
        <v>106621</v>
      </c>
      <c r="C1201">
        <f t="shared" si="43"/>
        <v>481.86</v>
      </c>
      <c r="D1201">
        <f t="shared" si="42"/>
        <v>107102.86</v>
      </c>
    </row>
    <row r="1202" spans="1:4" x14ac:dyDescent="0.35">
      <c r="A1202" t="s">
        <v>1247</v>
      </c>
      <c r="B1202">
        <v>115321</v>
      </c>
      <c r="C1202">
        <f t="shared" si="43"/>
        <v>450.6</v>
      </c>
      <c r="D1202">
        <f t="shared" si="42"/>
        <v>115771.6</v>
      </c>
    </row>
    <row r="1203" spans="1:4" x14ac:dyDescent="0.35">
      <c r="A1203" t="s">
        <v>1248</v>
      </c>
      <c r="B1203">
        <v>123935</v>
      </c>
      <c r="C1203">
        <f t="shared" si="43"/>
        <v>428.4</v>
      </c>
      <c r="D1203">
        <f t="shared" si="42"/>
        <v>124363.4</v>
      </c>
    </row>
    <row r="1204" spans="1:4" x14ac:dyDescent="0.35">
      <c r="A1204" t="s">
        <v>1249</v>
      </c>
      <c r="B1204">
        <v>110035</v>
      </c>
      <c r="C1204">
        <f t="shared" si="43"/>
        <v>414.36</v>
      </c>
      <c r="D1204">
        <f t="shared" si="42"/>
        <v>110449.36</v>
      </c>
    </row>
    <row r="1205" spans="1:4" x14ac:dyDescent="0.35">
      <c r="A1205" t="s">
        <v>1250</v>
      </c>
      <c r="B1205">
        <v>125711</v>
      </c>
      <c r="C1205">
        <f t="shared" si="43"/>
        <v>506.4</v>
      </c>
      <c r="D1205">
        <f t="shared" si="42"/>
        <v>126217.4</v>
      </c>
    </row>
    <row r="1206" spans="1:4" x14ac:dyDescent="0.35">
      <c r="A1206" t="s">
        <v>1251</v>
      </c>
      <c r="B1206">
        <v>108973</v>
      </c>
      <c r="C1206">
        <f t="shared" si="43"/>
        <v>749.19</v>
      </c>
      <c r="D1206">
        <f t="shared" si="42"/>
        <v>109722.19</v>
      </c>
    </row>
    <row r="1207" spans="1:4" x14ac:dyDescent="0.35">
      <c r="A1207" t="s">
        <v>1252</v>
      </c>
      <c r="B1207">
        <v>108440</v>
      </c>
      <c r="C1207">
        <f t="shared" si="43"/>
        <v>400.62</v>
      </c>
      <c r="D1207">
        <f t="shared" si="42"/>
        <v>108840.62</v>
      </c>
    </row>
    <row r="1208" spans="1:4" x14ac:dyDescent="0.35">
      <c r="A1208" t="s">
        <v>1253</v>
      </c>
      <c r="B1208">
        <v>105461</v>
      </c>
      <c r="C1208">
        <f t="shared" si="43"/>
        <v>570.09</v>
      </c>
      <c r="D1208">
        <f t="shared" si="42"/>
        <v>106031.09</v>
      </c>
    </row>
    <row r="1209" spans="1:4" x14ac:dyDescent="0.35">
      <c r="A1209" t="s">
        <v>1254</v>
      </c>
      <c r="B1209">
        <v>106602</v>
      </c>
      <c r="C1209">
        <f t="shared" si="43"/>
        <v>749.49</v>
      </c>
      <c r="D1209">
        <f t="shared" si="42"/>
        <v>107351.49</v>
      </c>
    </row>
    <row r="1210" spans="1:4" x14ac:dyDescent="0.35">
      <c r="A1210" t="s">
        <v>1255</v>
      </c>
      <c r="B1210">
        <v>105050</v>
      </c>
      <c r="C1210">
        <f t="shared" si="43"/>
        <v>777.15</v>
      </c>
      <c r="D1210">
        <f t="shared" si="42"/>
        <v>105827.15</v>
      </c>
    </row>
    <row r="1211" spans="1:4" x14ac:dyDescent="0.35">
      <c r="A1211" t="s">
        <v>1256</v>
      </c>
      <c r="B1211">
        <v>125854</v>
      </c>
      <c r="C1211">
        <f t="shared" si="43"/>
        <v>409.11</v>
      </c>
      <c r="D1211">
        <f t="shared" si="42"/>
        <v>126263.11</v>
      </c>
    </row>
    <row r="1212" spans="1:4" x14ac:dyDescent="0.35">
      <c r="A1212" t="s">
        <v>1257</v>
      </c>
      <c r="B1212">
        <v>108470</v>
      </c>
      <c r="C1212">
        <f t="shared" si="43"/>
        <v>528.09</v>
      </c>
      <c r="D1212">
        <f t="shared" si="42"/>
        <v>108998.09</v>
      </c>
    </row>
    <row r="1213" spans="1:4" x14ac:dyDescent="0.35">
      <c r="A1213" t="s">
        <v>1258</v>
      </c>
      <c r="B1213">
        <v>108130</v>
      </c>
      <c r="C1213">
        <f t="shared" si="43"/>
        <v>703.56</v>
      </c>
      <c r="D1213">
        <f t="shared" si="42"/>
        <v>108833.56</v>
      </c>
    </row>
    <row r="1214" spans="1:4" x14ac:dyDescent="0.35">
      <c r="A1214" t="s">
        <v>1259</v>
      </c>
      <c r="B1214">
        <v>109366</v>
      </c>
      <c r="C1214">
        <f t="shared" si="43"/>
        <v>785.16</v>
      </c>
      <c r="D1214">
        <f t="shared" si="42"/>
        <v>110151.16</v>
      </c>
    </row>
    <row r="1215" spans="1:4" x14ac:dyDescent="0.35">
      <c r="A1215" t="s">
        <v>1260</v>
      </c>
      <c r="B1215">
        <v>125275</v>
      </c>
      <c r="C1215">
        <f t="shared" si="43"/>
        <v>703.98</v>
      </c>
      <c r="D1215">
        <f t="shared" si="42"/>
        <v>125978.98</v>
      </c>
    </row>
    <row r="1216" spans="1:4" x14ac:dyDescent="0.35">
      <c r="A1216" t="s">
        <v>1261</v>
      </c>
      <c r="B1216">
        <v>113275</v>
      </c>
      <c r="C1216">
        <f t="shared" si="43"/>
        <v>792.99</v>
      </c>
      <c r="D1216">
        <f t="shared" si="42"/>
        <v>114067.99</v>
      </c>
    </row>
    <row r="1217" spans="1:4" x14ac:dyDescent="0.35">
      <c r="A1217" t="s">
        <v>1262</v>
      </c>
      <c r="B1217">
        <v>108124</v>
      </c>
      <c r="C1217">
        <f t="shared" si="43"/>
        <v>765.81</v>
      </c>
      <c r="D1217">
        <f t="shared" si="42"/>
        <v>108889.81</v>
      </c>
    </row>
    <row r="1218" spans="1:4" x14ac:dyDescent="0.35">
      <c r="A1218" t="s">
        <v>1263</v>
      </c>
      <c r="B1218">
        <v>105877</v>
      </c>
      <c r="C1218">
        <f t="shared" si="43"/>
        <v>499.23</v>
      </c>
      <c r="D1218">
        <f t="shared" si="42"/>
        <v>106376.23</v>
      </c>
    </row>
    <row r="1219" spans="1:4" x14ac:dyDescent="0.35">
      <c r="A1219" t="s">
        <v>1264</v>
      </c>
      <c r="B1219">
        <v>115527</v>
      </c>
      <c r="C1219">
        <f t="shared" si="43"/>
        <v>535.5</v>
      </c>
      <c r="D1219">
        <f t="shared" ref="D1219:D1282" si="44">B1219+C1219</f>
        <v>116062.5</v>
      </c>
    </row>
    <row r="1220" spans="1:4" x14ac:dyDescent="0.35">
      <c r="A1220" t="s">
        <v>1265</v>
      </c>
      <c r="B1220">
        <v>106302</v>
      </c>
      <c r="C1220">
        <f>B329*6/100</f>
        <v>1185.3599999999999</v>
      </c>
      <c r="D1220">
        <f t="shared" si="44"/>
        <v>107487.36</v>
      </c>
    </row>
    <row r="1221" spans="1:4" x14ac:dyDescent="0.35">
      <c r="A1221" t="s">
        <v>1266</v>
      </c>
      <c r="B1221">
        <v>125552</v>
      </c>
      <c r="C1221">
        <f t="shared" ref="C1221:C1284" si="45">B330*6/100</f>
        <v>843.18</v>
      </c>
      <c r="D1221">
        <f t="shared" si="44"/>
        <v>126395.18</v>
      </c>
    </row>
    <row r="1222" spans="1:4" x14ac:dyDescent="0.35">
      <c r="A1222" t="s">
        <v>1267</v>
      </c>
      <c r="B1222">
        <v>108504</v>
      </c>
      <c r="C1222">
        <f t="shared" si="45"/>
        <v>1219.44</v>
      </c>
      <c r="D1222">
        <f t="shared" si="44"/>
        <v>109723.44</v>
      </c>
    </row>
    <row r="1223" spans="1:4" x14ac:dyDescent="0.35">
      <c r="A1223" t="s">
        <v>1268</v>
      </c>
      <c r="B1223">
        <v>114297</v>
      </c>
      <c r="C1223">
        <f t="shared" si="45"/>
        <v>952.38</v>
      </c>
      <c r="D1223">
        <f t="shared" si="44"/>
        <v>115249.38</v>
      </c>
    </row>
    <row r="1224" spans="1:4" x14ac:dyDescent="0.35">
      <c r="A1224" t="s">
        <v>1269</v>
      </c>
      <c r="B1224">
        <v>109063</v>
      </c>
      <c r="C1224">
        <f t="shared" si="45"/>
        <v>890.16</v>
      </c>
      <c r="D1224">
        <f t="shared" si="44"/>
        <v>109953.16</v>
      </c>
    </row>
    <row r="1225" spans="1:4" x14ac:dyDescent="0.35">
      <c r="A1225" t="s">
        <v>1270</v>
      </c>
      <c r="B1225">
        <v>123735</v>
      </c>
      <c r="C1225">
        <f t="shared" si="45"/>
        <v>1282.02</v>
      </c>
      <c r="D1225">
        <f t="shared" si="44"/>
        <v>125017.02</v>
      </c>
    </row>
    <row r="1226" spans="1:4" x14ac:dyDescent="0.35">
      <c r="A1226" t="s">
        <v>1271</v>
      </c>
      <c r="B1226">
        <v>114504</v>
      </c>
      <c r="C1226">
        <f t="shared" si="45"/>
        <v>934.14</v>
      </c>
      <c r="D1226">
        <f t="shared" si="44"/>
        <v>115438.14</v>
      </c>
    </row>
    <row r="1227" spans="1:4" x14ac:dyDescent="0.35">
      <c r="A1227" t="s">
        <v>1272</v>
      </c>
      <c r="B1227">
        <v>124632</v>
      </c>
      <c r="C1227">
        <f t="shared" si="45"/>
        <v>1089.6600000000001</v>
      </c>
      <c r="D1227">
        <f t="shared" si="44"/>
        <v>125721.66</v>
      </c>
    </row>
    <row r="1228" spans="1:4" x14ac:dyDescent="0.35">
      <c r="A1228" t="s">
        <v>1273</v>
      </c>
      <c r="B1228">
        <v>109451</v>
      </c>
      <c r="C1228">
        <f t="shared" si="45"/>
        <v>1073.7</v>
      </c>
      <c r="D1228">
        <f t="shared" si="44"/>
        <v>110524.7</v>
      </c>
    </row>
    <row r="1229" spans="1:4" x14ac:dyDescent="0.35">
      <c r="A1229" t="s">
        <v>1274</v>
      </c>
      <c r="B1229">
        <v>113911</v>
      </c>
      <c r="C1229">
        <f t="shared" si="45"/>
        <v>1204.44</v>
      </c>
      <c r="D1229">
        <f t="shared" si="44"/>
        <v>115115.44</v>
      </c>
    </row>
    <row r="1230" spans="1:4" x14ac:dyDescent="0.35">
      <c r="A1230" t="s">
        <v>1275</v>
      </c>
      <c r="B1230">
        <v>113949</v>
      </c>
      <c r="C1230">
        <f t="shared" si="45"/>
        <v>1091.22</v>
      </c>
      <c r="D1230">
        <f t="shared" si="44"/>
        <v>115040.22</v>
      </c>
    </row>
    <row r="1231" spans="1:4" x14ac:dyDescent="0.35">
      <c r="A1231" t="s">
        <v>1276</v>
      </c>
      <c r="B1231">
        <v>109743</v>
      </c>
      <c r="C1231">
        <f t="shared" si="45"/>
        <v>801.72</v>
      </c>
      <c r="D1231">
        <f t="shared" si="44"/>
        <v>110544.72</v>
      </c>
    </row>
    <row r="1232" spans="1:4" x14ac:dyDescent="0.35">
      <c r="A1232" t="s">
        <v>1277</v>
      </c>
      <c r="B1232">
        <v>114974</v>
      </c>
      <c r="C1232">
        <f t="shared" si="45"/>
        <v>1571.22</v>
      </c>
      <c r="D1232">
        <f t="shared" si="44"/>
        <v>116545.22</v>
      </c>
    </row>
    <row r="1233" spans="1:4" x14ac:dyDescent="0.35">
      <c r="A1233" t="s">
        <v>1278</v>
      </c>
      <c r="B1233">
        <v>124004</v>
      </c>
      <c r="C1233">
        <f t="shared" si="45"/>
        <v>1114.98</v>
      </c>
      <c r="D1233">
        <f t="shared" si="44"/>
        <v>125118.98</v>
      </c>
    </row>
    <row r="1234" spans="1:4" x14ac:dyDescent="0.35">
      <c r="A1234" t="s">
        <v>1279</v>
      </c>
      <c r="B1234">
        <v>108841</v>
      </c>
      <c r="C1234">
        <f t="shared" si="45"/>
        <v>1461.3</v>
      </c>
      <c r="D1234">
        <f t="shared" si="44"/>
        <v>110302.3</v>
      </c>
    </row>
    <row r="1235" spans="1:4" x14ac:dyDescent="0.35">
      <c r="A1235" t="s">
        <v>1280</v>
      </c>
      <c r="B1235">
        <v>105349</v>
      </c>
      <c r="C1235">
        <f t="shared" si="45"/>
        <v>1073.22</v>
      </c>
      <c r="D1235">
        <f t="shared" si="44"/>
        <v>106422.22</v>
      </c>
    </row>
    <row r="1236" spans="1:4" x14ac:dyDescent="0.35">
      <c r="A1236" t="s">
        <v>1281</v>
      </c>
      <c r="B1236">
        <v>105212</v>
      </c>
      <c r="C1236">
        <f t="shared" si="45"/>
        <v>817.26</v>
      </c>
      <c r="D1236">
        <f t="shared" si="44"/>
        <v>106029.26</v>
      </c>
    </row>
    <row r="1237" spans="1:4" x14ac:dyDescent="0.35">
      <c r="A1237" t="s">
        <v>1282</v>
      </c>
      <c r="B1237">
        <v>108537</v>
      </c>
      <c r="C1237">
        <f t="shared" si="45"/>
        <v>1240.74</v>
      </c>
      <c r="D1237">
        <f t="shared" si="44"/>
        <v>109777.74</v>
      </c>
    </row>
    <row r="1238" spans="1:4" x14ac:dyDescent="0.35">
      <c r="A1238" t="s">
        <v>1283</v>
      </c>
      <c r="B1238">
        <v>125327</v>
      </c>
      <c r="C1238">
        <f t="shared" si="45"/>
        <v>1542.96</v>
      </c>
      <c r="D1238">
        <f t="shared" si="44"/>
        <v>126869.96</v>
      </c>
    </row>
    <row r="1239" spans="1:4" x14ac:dyDescent="0.35">
      <c r="A1239" t="s">
        <v>1284</v>
      </c>
      <c r="B1239">
        <v>123687</v>
      </c>
      <c r="C1239">
        <f t="shared" si="45"/>
        <v>1278</v>
      </c>
      <c r="D1239">
        <f t="shared" si="44"/>
        <v>124965</v>
      </c>
    </row>
    <row r="1240" spans="1:4" x14ac:dyDescent="0.35">
      <c r="A1240" t="s">
        <v>1285</v>
      </c>
      <c r="B1240">
        <v>125235</v>
      </c>
      <c r="C1240">
        <f t="shared" si="45"/>
        <v>1155.1199999999999</v>
      </c>
      <c r="D1240">
        <f t="shared" si="44"/>
        <v>126390.12</v>
      </c>
    </row>
    <row r="1241" spans="1:4" x14ac:dyDescent="0.35">
      <c r="A1241" t="s">
        <v>1286</v>
      </c>
      <c r="B1241">
        <v>110227</v>
      </c>
      <c r="C1241">
        <f t="shared" si="45"/>
        <v>1182.48</v>
      </c>
      <c r="D1241">
        <f t="shared" si="44"/>
        <v>111409.48</v>
      </c>
    </row>
    <row r="1242" spans="1:4" x14ac:dyDescent="0.35">
      <c r="A1242" t="s">
        <v>1287</v>
      </c>
      <c r="B1242">
        <v>115799</v>
      </c>
      <c r="C1242">
        <f t="shared" si="45"/>
        <v>1052.3399999999999</v>
      </c>
      <c r="D1242">
        <f t="shared" si="44"/>
        <v>116851.34</v>
      </c>
    </row>
    <row r="1243" spans="1:4" x14ac:dyDescent="0.35">
      <c r="A1243" t="s">
        <v>1288</v>
      </c>
      <c r="B1243">
        <v>104344</v>
      </c>
      <c r="C1243">
        <f t="shared" si="45"/>
        <v>1218.6600000000001</v>
      </c>
      <c r="D1243">
        <f t="shared" si="44"/>
        <v>105562.66</v>
      </c>
    </row>
    <row r="1244" spans="1:4" x14ac:dyDescent="0.35">
      <c r="A1244" t="s">
        <v>1289</v>
      </c>
      <c r="B1244">
        <v>114322</v>
      </c>
      <c r="C1244">
        <f t="shared" si="45"/>
        <v>1524.96</v>
      </c>
      <c r="D1244">
        <f t="shared" si="44"/>
        <v>115846.96</v>
      </c>
    </row>
    <row r="1245" spans="1:4" x14ac:dyDescent="0.35">
      <c r="A1245" t="s">
        <v>1290</v>
      </c>
      <c r="B1245">
        <v>123923</v>
      </c>
      <c r="C1245">
        <f t="shared" si="45"/>
        <v>1191.6600000000001</v>
      </c>
      <c r="D1245">
        <f t="shared" si="44"/>
        <v>125114.66</v>
      </c>
    </row>
    <row r="1246" spans="1:4" x14ac:dyDescent="0.35">
      <c r="A1246" t="s">
        <v>1291</v>
      </c>
      <c r="B1246">
        <v>104713</v>
      </c>
      <c r="C1246">
        <f t="shared" si="45"/>
        <v>1603.08</v>
      </c>
      <c r="D1246">
        <f t="shared" si="44"/>
        <v>106316.08</v>
      </c>
    </row>
    <row r="1247" spans="1:4" x14ac:dyDescent="0.35">
      <c r="A1247" t="s">
        <v>1292</v>
      </c>
      <c r="B1247">
        <v>106682</v>
      </c>
      <c r="C1247">
        <f t="shared" si="45"/>
        <v>1536.06</v>
      </c>
      <c r="D1247">
        <f t="shared" si="44"/>
        <v>108218.06</v>
      </c>
    </row>
    <row r="1248" spans="1:4" x14ac:dyDescent="0.35">
      <c r="A1248" t="s">
        <v>1293</v>
      </c>
      <c r="B1248">
        <v>108879</v>
      </c>
      <c r="C1248">
        <f t="shared" si="45"/>
        <v>757.74</v>
      </c>
      <c r="D1248">
        <f t="shared" si="44"/>
        <v>109636.74</v>
      </c>
    </row>
    <row r="1249" spans="1:4" x14ac:dyDescent="0.35">
      <c r="A1249" t="s">
        <v>1294</v>
      </c>
      <c r="B1249">
        <v>124490</v>
      </c>
      <c r="C1249">
        <f t="shared" si="45"/>
        <v>1284.54</v>
      </c>
      <c r="D1249">
        <f t="shared" si="44"/>
        <v>125774.54</v>
      </c>
    </row>
    <row r="1250" spans="1:4" x14ac:dyDescent="0.35">
      <c r="A1250" t="s">
        <v>1295</v>
      </c>
      <c r="B1250">
        <v>108546</v>
      </c>
      <c r="C1250">
        <f t="shared" si="45"/>
        <v>895.02</v>
      </c>
      <c r="D1250">
        <f t="shared" si="44"/>
        <v>109441.02</v>
      </c>
    </row>
    <row r="1251" spans="1:4" x14ac:dyDescent="0.35">
      <c r="A1251" t="s">
        <v>1296</v>
      </c>
      <c r="B1251">
        <v>123283</v>
      </c>
      <c r="C1251">
        <f t="shared" si="45"/>
        <v>1487.64</v>
      </c>
      <c r="D1251">
        <f t="shared" si="44"/>
        <v>124770.64</v>
      </c>
    </row>
    <row r="1252" spans="1:4" x14ac:dyDescent="0.35">
      <c r="A1252" t="s">
        <v>1297</v>
      </c>
      <c r="B1252">
        <v>115566</v>
      </c>
      <c r="C1252">
        <f t="shared" si="45"/>
        <v>899.52</v>
      </c>
      <c r="D1252">
        <f t="shared" si="44"/>
        <v>116465.52</v>
      </c>
    </row>
    <row r="1253" spans="1:4" x14ac:dyDescent="0.35">
      <c r="A1253" t="s">
        <v>1298</v>
      </c>
      <c r="B1253">
        <v>124741</v>
      </c>
      <c r="C1253">
        <f t="shared" si="45"/>
        <v>1485.3</v>
      </c>
      <c r="D1253">
        <f t="shared" si="44"/>
        <v>126226.3</v>
      </c>
    </row>
    <row r="1254" spans="1:4" x14ac:dyDescent="0.35">
      <c r="A1254" t="s">
        <v>1299</v>
      </c>
      <c r="B1254">
        <v>113366</v>
      </c>
      <c r="C1254">
        <f t="shared" si="45"/>
        <v>780.36</v>
      </c>
      <c r="D1254">
        <f t="shared" si="44"/>
        <v>114146.36</v>
      </c>
    </row>
    <row r="1255" spans="1:4" x14ac:dyDescent="0.35">
      <c r="A1255" t="s">
        <v>1300</v>
      </c>
      <c r="B1255">
        <v>123420</v>
      </c>
      <c r="C1255">
        <f t="shared" si="45"/>
        <v>927.24</v>
      </c>
      <c r="D1255">
        <f t="shared" si="44"/>
        <v>124347.24</v>
      </c>
    </row>
    <row r="1256" spans="1:4" x14ac:dyDescent="0.35">
      <c r="A1256" t="s">
        <v>1301</v>
      </c>
      <c r="B1256">
        <v>113914</v>
      </c>
      <c r="C1256">
        <f t="shared" si="45"/>
        <v>1586.4</v>
      </c>
      <c r="D1256">
        <f t="shared" si="44"/>
        <v>115500.4</v>
      </c>
    </row>
    <row r="1257" spans="1:4" x14ac:dyDescent="0.35">
      <c r="A1257" t="s">
        <v>1302</v>
      </c>
      <c r="B1257">
        <v>113906</v>
      </c>
      <c r="C1257">
        <f t="shared" si="45"/>
        <v>1595.22</v>
      </c>
      <c r="D1257">
        <f t="shared" si="44"/>
        <v>115501.22</v>
      </c>
    </row>
    <row r="1258" spans="1:4" x14ac:dyDescent="0.35">
      <c r="A1258" t="s">
        <v>1303</v>
      </c>
      <c r="B1258">
        <v>107611</v>
      </c>
      <c r="C1258">
        <f t="shared" si="45"/>
        <v>1034.82</v>
      </c>
      <c r="D1258">
        <f t="shared" si="44"/>
        <v>108645.82</v>
      </c>
    </row>
    <row r="1259" spans="1:4" x14ac:dyDescent="0.35">
      <c r="A1259" t="s">
        <v>1304</v>
      </c>
      <c r="B1259">
        <v>106644</v>
      </c>
      <c r="C1259">
        <f t="shared" si="45"/>
        <v>907.5</v>
      </c>
      <c r="D1259">
        <f t="shared" si="44"/>
        <v>107551.5</v>
      </c>
    </row>
    <row r="1260" spans="1:4" x14ac:dyDescent="0.35">
      <c r="A1260" t="s">
        <v>1305</v>
      </c>
      <c r="B1260">
        <v>123731</v>
      </c>
      <c r="C1260">
        <f t="shared" si="45"/>
        <v>1445.28</v>
      </c>
      <c r="D1260">
        <f t="shared" si="44"/>
        <v>125176.28</v>
      </c>
    </row>
    <row r="1261" spans="1:4" x14ac:dyDescent="0.35">
      <c r="A1261" t="s">
        <v>1306</v>
      </c>
      <c r="B1261">
        <v>108269</v>
      </c>
      <c r="C1261">
        <f t="shared" si="45"/>
        <v>820.02</v>
      </c>
      <c r="D1261">
        <f t="shared" si="44"/>
        <v>109089.02</v>
      </c>
    </row>
    <row r="1262" spans="1:4" x14ac:dyDescent="0.35">
      <c r="A1262" t="s">
        <v>1307</v>
      </c>
      <c r="B1262">
        <v>113408</v>
      </c>
      <c r="C1262">
        <f t="shared" si="45"/>
        <v>807.72</v>
      </c>
      <c r="D1262">
        <f t="shared" si="44"/>
        <v>114215.72</v>
      </c>
    </row>
    <row r="1263" spans="1:4" x14ac:dyDescent="0.35">
      <c r="A1263" t="s">
        <v>1308</v>
      </c>
      <c r="B1263">
        <v>115533</v>
      </c>
      <c r="C1263">
        <f t="shared" si="45"/>
        <v>862.5</v>
      </c>
      <c r="D1263">
        <f t="shared" si="44"/>
        <v>116395.5</v>
      </c>
    </row>
    <row r="1264" spans="1:4" x14ac:dyDescent="0.35">
      <c r="A1264" t="s">
        <v>1309</v>
      </c>
      <c r="B1264">
        <v>104314</v>
      </c>
      <c r="C1264">
        <f t="shared" si="45"/>
        <v>1528.56</v>
      </c>
      <c r="D1264">
        <f t="shared" si="44"/>
        <v>105842.56</v>
      </c>
    </row>
    <row r="1265" spans="1:4" x14ac:dyDescent="0.35">
      <c r="A1265" t="s">
        <v>1310</v>
      </c>
      <c r="B1265">
        <v>123661</v>
      </c>
      <c r="C1265">
        <f t="shared" si="45"/>
        <v>927.54</v>
      </c>
      <c r="D1265">
        <f t="shared" si="44"/>
        <v>124588.54</v>
      </c>
    </row>
    <row r="1266" spans="1:4" x14ac:dyDescent="0.35">
      <c r="A1266" t="s">
        <v>1311</v>
      </c>
      <c r="B1266">
        <v>108241</v>
      </c>
      <c r="C1266">
        <f t="shared" si="45"/>
        <v>815.82</v>
      </c>
      <c r="D1266">
        <f t="shared" si="44"/>
        <v>109056.82</v>
      </c>
    </row>
    <row r="1267" spans="1:4" x14ac:dyDescent="0.35">
      <c r="A1267" t="s">
        <v>1312</v>
      </c>
      <c r="B1267">
        <v>104448</v>
      </c>
      <c r="C1267">
        <f t="shared" si="45"/>
        <v>1057.2</v>
      </c>
      <c r="D1267">
        <f t="shared" si="44"/>
        <v>105505.2</v>
      </c>
    </row>
    <row r="1268" spans="1:4" x14ac:dyDescent="0.35">
      <c r="A1268" t="s">
        <v>1313</v>
      </c>
      <c r="B1268">
        <v>114137</v>
      </c>
      <c r="C1268">
        <f t="shared" si="45"/>
        <v>1048.92</v>
      </c>
      <c r="D1268">
        <f t="shared" si="44"/>
        <v>115185.92</v>
      </c>
    </row>
    <row r="1269" spans="1:4" x14ac:dyDescent="0.35">
      <c r="A1269" t="s">
        <v>1314</v>
      </c>
      <c r="B1269">
        <v>104730</v>
      </c>
      <c r="C1269">
        <f t="shared" si="45"/>
        <v>879</v>
      </c>
      <c r="D1269">
        <f t="shared" si="44"/>
        <v>105609</v>
      </c>
    </row>
    <row r="1270" spans="1:4" x14ac:dyDescent="0.35">
      <c r="A1270" t="s">
        <v>1315</v>
      </c>
      <c r="B1270">
        <v>107743</v>
      </c>
      <c r="C1270">
        <f t="shared" si="45"/>
        <v>1557.12</v>
      </c>
      <c r="D1270">
        <f t="shared" si="44"/>
        <v>109300.12</v>
      </c>
    </row>
    <row r="1271" spans="1:4" x14ac:dyDescent="0.35">
      <c r="A1271" t="s">
        <v>1316</v>
      </c>
      <c r="B1271">
        <v>108334</v>
      </c>
      <c r="C1271">
        <f t="shared" si="45"/>
        <v>1080.1199999999999</v>
      </c>
      <c r="D1271">
        <f t="shared" si="44"/>
        <v>109414.12</v>
      </c>
    </row>
    <row r="1272" spans="1:4" x14ac:dyDescent="0.35">
      <c r="A1272" t="s">
        <v>1317</v>
      </c>
      <c r="B1272">
        <v>115042</v>
      </c>
      <c r="C1272">
        <f t="shared" si="45"/>
        <v>916.02</v>
      </c>
      <c r="D1272">
        <f t="shared" si="44"/>
        <v>115958.02</v>
      </c>
    </row>
    <row r="1273" spans="1:4" x14ac:dyDescent="0.35">
      <c r="A1273" t="s">
        <v>1318</v>
      </c>
      <c r="B1273">
        <v>116076</v>
      </c>
      <c r="C1273">
        <f t="shared" si="45"/>
        <v>1546.62</v>
      </c>
      <c r="D1273">
        <f t="shared" si="44"/>
        <v>117622.62</v>
      </c>
    </row>
    <row r="1274" spans="1:4" x14ac:dyDescent="0.35">
      <c r="A1274" t="s">
        <v>1319</v>
      </c>
      <c r="B1274">
        <v>113191</v>
      </c>
      <c r="C1274">
        <f t="shared" si="45"/>
        <v>1075.08</v>
      </c>
      <c r="D1274">
        <f t="shared" si="44"/>
        <v>114266.08</v>
      </c>
    </row>
    <row r="1275" spans="1:4" x14ac:dyDescent="0.35">
      <c r="A1275" t="s">
        <v>1320</v>
      </c>
      <c r="B1275">
        <v>113124</v>
      </c>
      <c r="C1275">
        <f t="shared" si="45"/>
        <v>1262.1600000000001</v>
      </c>
      <c r="D1275">
        <f t="shared" si="44"/>
        <v>114386.16</v>
      </c>
    </row>
    <row r="1276" spans="1:4" x14ac:dyDescent="0.35">
      <c r="A1276" t="s">
        <v>1321</v>
      </c>
      <c r="B1276">
        <v>123974</v>
      </c>
      <c r="C1276">
        <f t="shared" si="45"/>
        <v>1517.34</v>
      </c>
      <c r="D1276">
        <f t="shared" si="44"/>
        <v>125491.34</v>
      </c>
    </row>
    <row r="1277" spans="1:4" x14ac:dyDescent="0.35">
      <c r="A1277" t="s">
        <v>1322</v>
      </c>
      <c r="B1277">
        <v>114440</v>
      </c>
      <c r="C1277">
        <f t="shared" si="45"/>
        <v>1491.36</v>
      </c>
      <c r="D1277">
        <f t="shared" si="44"/>
        <v>115931.36</v>
      </c>
    </row>
    <row r="1278" spans="1:4" x14ac:dyDescent="0.35">
      <c r="A1278" t="s">
        <v>1323</v>
      </c>
      <c r="B1278">
        <v>106695</v>
      </c>
      <c r="C1278">
        <f t="shared" si="45"/>
        <v>1620.42</v>
      </c>
      <c r="D1278">
        <f t="shared" si="44"/>
        <v>108315.42</v>
      </c>
    </row>
    <row r="1279" spans="1:4" x14ac:dyDescent="0.35">
      <c r="A1279" t="s">
        <v>1324</v>
      </c>
      <c r="B1279">
        <v>106392</v>
      </c>
      <c r="C1279">
        <f t="shared" si="45"/>
        <v>1638.96</v>
      </c>
      <c r="D1279">
        <f t="shared" si="44"/>
        <v>108030.96</v>
      </c>
    </row>
    <row r="1280" spans="1:4" x14ac:dyDescent="0.35">
      <c r="A1280" t="s">
        <v>1325</v>
      </c>
      <c r="B1280">
        <v>108935</v>
      </c>
      <c r="C1280">
        <f t="shared" si="45"/>
        <v>841.44</v>
      </c>
      <c r="D1280">
        <f t="shared" si="44"/>
        <v>109776.44</v>
      </c>
    </row>
    <row r="1281" spans="1:4" x14ac:dyDescent="0.35">
      <c r="A1281" t="s">
        <v>1326</v>
      </c>
      <c r="B1281">
        <v>116362</v>
      </c>
      <c r="C1281">
        <f t="shared" si="45"/>
        <v>1202.0999999999999</v>
      </c>
      <c r="D1281">
        <f t="shared" si="44"/>
        <v>117564.1</v>
      </c>
    </row>
    <row r="1282" spans="1:4" x14ac:dyDescent="0.35">
      <c r="A1282" t="s">
        <v>1327</v>
      </c>
      <c r="B1282">
        <v>125456</v>
      </c>
      <c r="C1282">
        <f t="shared" si="45"/>
        <v>1502.46</v>
      </c>
      <c r="D1282">
        <f t="shared" si="44"/>
        <v>126958.46</v>
      </c>
    </row>
    <row r="1283" spans="1:4" x14ac:dyDescent="0.35">
      <c r="A1283" t="s">
        <v>1328</v>
      </c>
      <c r="B1283">
        <v>108480</v>
      </c>
      <c r="C1283">
        <f t="shared" si="45"/>
        <v>1517.28</v>
      </c>
      <c r="D1283">
        <f t="shared" ref="D1283:D1346" si="46">B1283+C1283</f>
        <v>109997.28</v>
      </c>
    </row>
    <row r="1284" spans="1:4" x14ac:dyDescent="0.35">
      <c r="A1284" t="s">
        <v>1329</v>
      </c>
      <c r="B1284">
        <v>106115</v>
      </c>
      <c r="C1284">
        <f t="shared" si="45"/>
        <v>1010.28</v>
      </c>
      <c r="D1284">
        <f t="shared" si="46"/>
        <v>107125.28</v>
      </c>
    </row>
    <row r="1285" spans="1:4" x14ac:dyDescent="0.35">
      <c r="A1285" t="s">
        <v>1330</v>
      </c>
      <c r="B1285">
        <v>115055</v>
      </c>
      <c r="C1285">
        <f t="shared" ref="C1285:C1348" si="47">B394*6/100</f>
        <v>877.92</v>
      </c>
      <c r="D1285">
        <f t="shared" si="46"/>
        <v>115932.92</v>
      </c>
    </row>
    <row r="1286" spans="1:4" x14ac:dyDescent="0.35">
      <c r="A1286" t="s">
        <v>1331</v>
      </c>
      <c r="B1286">
        <v>108695</v>
      </c>
      <c r="C1286">
        <f t="shared" si="47"/>
        <v>998.94</v>
      </c>
      <c r="D1286">
        <f t="shared" si="46"/>
        <v>109693.94</v>
      </c>
    </row>
    <row r="1287" spans="1:4" x14ac:dyDescent="0.35">
      <c r="A1287" t="s">
        <v>1332</v>
      </c>
      <c r="B1287">
        <v>123427</v>
      </c>
      <c r="C1287">
        <f t="shared" si="47"/>
        <v>1616.16</v>
      </c>
      <c r="D1287">
        <f t="shared" si="46"/>
        <v>125043.16</v>
      </c>
    </row>
    <row r="1288" spans="1:4" x14ac:dyDescent="0.35">
      <c r="A1288" t="s">
        <v>1333</v>
      </c>
      <c r="B1288">
        <v>104336</v>
      </c>
      <c r="C1288">
        <f t="shared" si="47"/>
        <v>1244.4000000000001</v>
      </c>
      <c r="D1288">
        <f t="shared" si="46"/>
        <v>105580.4</v>
      </c>
    </row>
    <row r="1289" spans="1:4" x14ac:dyDescent="0.35">
      <c r="A1289" t="s">
        <v>1334</v>
      </c>
      <c r="B1289">
        <v>114124</v>
      </c>
      <c r="C1289">
        <f t="shared" si="47"/>
        <v>1149.06</v>
      </c>
      <c r="D1289">
        <f t="shared" si="46"/>
        <v>115273.06</v>
      </c>
    </row>
    <row r="1290" spans="1:4" x14ac:dyDescent="0.35">
      <c r="A1290" t="s">
        <v>1335</v>
      </c>
      <c r="B1290">
        <v>125538</v>
      </c>
      <c r="C1290">
        <f t="shared" si="47"/>
        <v>1242.9000000000001</v>
      </c>
      <c r="D1290">
        <f t="shared" si="46"/>
        <v>126780.9</v>
      </c>
    </row>
    <row r="1291" spans="1:4" x14ac:dyDescent="0.35">
      <c r="A1291" t="s">
        <v>1336</v>
      </c>
      <c r="B1291">
        <v>114319</v>
      </c>
      <c r="C1291">
        <f t="shared" si="47"/>
        <v>819</v>
      </c>
      <c r="D1291">
        <f t="shared" si="46"/>
        <v>115138</v>
      </c>
    </row>
    <row r="1292" spans="1:4" x14ac:dyDescent="0.35">
      <c r="A1292" t="s">
        <v>1337</v>
      </c>
      <c r="B1292">
        <v>109645</v>
      </c>
      <c r="C1292">
        <f t="shared" si="47"/>
        <v>1467.78</v>
      </c>
      <c r="D1292">
        <f t="shared" si="46"/>
        <v>111112.78</v>
      </c>
    </row>
    <row r="1293" spans="1:4" x14ac:dyDescent="0.35">
      <c r="A1293" t="s">
        <v>1338</v>
      </c>
      <c r="B1293">
        <v>125109</v>
      </c>
      <c r="C1293">
        <f t="shared" si="47"/>
        <v>1220.6400000000001</v>
      </c>
      <c r="D1293">
        <f t="shared" si="46"/>
        <v>126329.64</v>
      </c>
    </row>
    <row r="1294" spans="1:4" x14ac:dyDescent="0.35">
      <c r="A1294" t="s">
        <v>1339</v>
      </c>
      <c r="B1294">
        <v>104393</v>
      </c>
      <c r="C1294">
        <f t="shared" si="47"/>
        <v>1007.58</v>
      </c>
      <c r="D1294">
        <f t="shared" si="46"/>
        <v>105400.58</v>
      </c>
    </row>
    <row r="1295" spans="1:4" x14ac:dyDescent="0.35">
      <c r="A1295" t="s">
        <v>1340</v>
      </c>
      <c r="B1295">
        <v>113682</v>
      </c>
      <c r="C1295">
        <f t="shared" si="47"/>
        <v>1641.3</v>
      </c>
      <c r="D1295">
        <f t="shared" si="46"/>
        <v>115323.3</v>
      </c>
    </row>
    <row r="1296" spans="1:4" x14ac:dyDescent="0.35">
      <c r="A1296" t="s">
        <v>1341</v>
      </c>
      <c r="B1296">
        <v>124294</v>
      </c>
      <c r="C1296">
        <f t="shared" si="47"/>
        <v>1518.84</v>
      </c>
      <c r="D1296">
        <f t="shared" si="46"/>
        <v>125812.84</v>
      </c>
    </row>
    <row r="1297" spans="1:4" x14ac:dyDescent="0.35">
      <c r="A1297" t="s">
        <v>1342</v>
      </c>
      <c r="B1297">
        <v>124592</v>
      </c>
      <c r="C1297">
        <f t="shared" si="47"/>
        <v>804.12</v>
      </c>
      <c r="D1297">
        <f t="shared" si="46"/>
        <v>125396.12</v>
      </c>
    </row>
    <row r="1298" spans="1:4" x14ac:dyDescent="0.35">
      <c r="A1298" t="s">
        <v>1343</v>
      </c>
      <c r="B1298">
        <v>113339</v>
      </c>
      <c r="C1298">
        <f t="shared" si="47"/>
        <v>964.56</v>
      </c>
      <c r="D1298">
        <f t="shared" si="46"/>
        <v>114303.56</v>
      </c>
    </row>
    <row r="1299" spans="1:4" x14ac:dyDescent="0.35">
      <c r="A1299" t="s">
        <v>1344</v>
      </c>
      <c r="B1299">
        <v>124912</v>
      </c>
      <c r="C1299">
        <f t="shared" si="47"/>
        <v>851.34</v>
      </c>
      <c r="D1299">
        <f t="shared" si="46"/>
        <v>125763.34</v>
      </c>
    </row>
    <row r="1300" spans="1:4" x14ac:dyDescent="0.35">
      <c r="A1300" t="s">
        <v>1345</v>
      </c>
      <c r="B1300">
        <v>109844</v>
      </c>
      <c r="C1300">
        <f t="shared" si="47"/>
        <v>920.82</v>
      </c>
      <c r="D1300">
        <f t="shared" si="46"/>
        <v>110764.82</v>
      </c>
    </row>
    <row r="1301" spans="1:4" x14ac:dyDescent="0.35">
      <c r="A1301" t="s">
        <v>1346</v>
      </c>
      <c r="B1301">
        <v>105336</v>
      </c>
      <c r="C1301">
        <f t="shared" si="47"/>
        <v>851.04</v>
      </c>
      <c r="D1301">
        <f t="shared" si="46"/>
        <v>106187.04</v>
      </c>
    </row>
    <row r="1302" spans="1:4" x14ac:dyDescent="0.35">
      <c r="A1302" t="s">
        <v>1347</v>
      </c>
      <c r="B1302">
        <v>108158</v>
      </c>
      <c r="C1302">
        <f t="shared" si="47"/>
        <v>846.06</v>
      </c>
      <c r="D1302">
        <f t="shared" si="46"/>
        <v>109004.06</v>
      </c>
    </row>
    <row r="1303" spans="1:4" x14ac:dyDescent="0.35">
      <c r="A1303" t="s">
        <v>1348</v>
      </c>
      <c r="B1303">
        <v>114539</v>
      </c>
      <c r="C1303">
        <f t="shared" si="47"/>
        <v>993.78</v>
      </c>
      <c r="D1303">
        <f t="shared" si="46"/>
        <v>115532.78</v>
      </c>
    </row>
    <row r="1304" spans="1:4" x14ac:dyDescent="0.35">
      <c r="A1304" t="s">
        <v>1349</v>
      </c>
      <c r="B1304">
        <v>109477</v>
      </c>
      <c r="C1304">
        <f t="shared" si="47"/>
        <v>1178.1600000000001</v>
      </c>
      <c r="D1304">
        <f t="shared" si="46"/>
        <v>110655.16</v>
      </c>
    </row>
    <row r="1305" spans="1:4" x14ac:dyDescent="0.35">
      <c r="A1305" t="s">
        <v>1350</v>
      </c>
      <c r="B1305">
        <v>125668</v>
      </c>
      <c r="C1305">
        <f t="shared" si="47"/>
        <v>887.34</v>
      </c>
      <c r="D1305">
        <f t="shared" si="46"/>
        <v>126555.34</v>
      </c>
    </row>
    <row r="1306" spans="1:4" x14ac:dyDescent="0.35">
      <c r="A1306" t="s">
        <v>1351</v>
      </c>
      <c r="B1306">
        <v>106175</v>
      </c>
      <c r="C1306">
        <f t="shared" si="47"/>
        <v>1569.48</v>
      </c>
      <c r="D1306">
        <f t="shared" si="46"/>
        <v>107744.48</v>
      </c>
    </row>
    <row r="1307" spans="1:4" x14ac:dyDescent="0.35">
      <c r="A1307" t="s">
        <v>1352</v>
      </c>
      <c r="B1307">
        <v>113744</v>
      </c>
      <c r="C1307">
        <f t="shared" si="47"/>
        <v>1601.64</v>
      </c>
      <c r="D1307">
        <f t="shared" si="46"/>
        <v>115345.64</v>
      </c>
    </row>
    <row r="1308" spans="1:4" x14ac:dyDescent="0.35">
      <c r="A1308" t="s">
        <v>1353</v>
      </c>
      <c r="B1308">
        <v>125096</v>
      </c>
      <c r="C1308">
        <f t="shared" si="47"/>
        <v>1389.12</v>
      </c>
      <c r="D1308">
        <f t="shared" si="46"/>
        <v>126485.12</v>
      </c>
    </row>
    <row r="1309" spans="1:4" x14ac:dyDescent="0.35">
      <c r="A1309" t="s">
        <v>1354</v>
      </c>
      <c r="B1309">
        <v>113919</v>
      </c>
      <c r="C1309">
        <f t="shared" si="47"/>
        <v>1216.26</v>
      </c>
      <c r="D1309">
        <f t="shared" si="46"/>
        <v>115135.26</v>
      </c>
    </row>
    <row r="1310" spans="1:4" x14ac:dyDescent="0.35">
      <c r="A1310" t="s">
        <v>1355</v>
      </c>
      <c r="B1310">
        <v>114356</v>
      </c>
      <c r="C1310">
        <f t="shared" si="47"/>
        <v>988.68</v>
      </c>
      <c r="D1310">
        <f t="shared" si="46"/>
        <v>115344.68</v>
      </c>
    </row>
    <row r="1311" spans="1:4" x14ac:dyDescent="0.35">
      <c r="A1311" t="s">
        <v>1356</v>
      </c>
      <c r="B1311">
        <v>124000</v>
      </c>
      <c r="C1311">
        <f t="shared" si="47"/>
        <v>929.94</v>
      </c>
      <c r="D1311">
        <f t="shared" si="46"/>
        <v>124929.94</v>
      </c>
    </row>
    <row r="1312" spans="1:4" x14ac:dyDescent="0.35">
      <c r="A1312" t="s">
        <v>1357</v>
      </c>
      <c r="B1312">
        <v>115395</v>
      </c>
      <c r="C1312">
        <f t="shared" si="47"/>
        <v>1224.5999999999999</v>
      </c>
      <c r="D1312">
        <f t="shared" si="46"/>
        <v>116619.6</v>
      </c>
    </row>
    <row r="1313" spans="1:4" x14ac:dyDescent="0.35">
      <c r="A1313" t="s">
        <v>1358</v>
      </c>
      <c r="B1313">
        <v>105046</v>
      </c>
      <c r="C1313">
        <f t="shared" si="47"/>
        <v>884.4</v>
      </c>
      <c r="D1313">
        <f t="shared" si="46"/>
        <v>105930.4</v>
      </c>
    </row>
    <row r="1314" spans="1:4" x14ac:dyDescent="0.35">
      <c r="A1314" t="s">
        <v>1359</v>
      </c>
      <c r="B1314">
        <v>105157</v>
      </c>
      <c r="C1314">
        <f t="shared" si="47"/>
        <v>1457.1</v>
      </c>
      <c r="D1314">
        <f t="shared" si="46"/>
        <v>106614.1</v>
      </c>
    </row>
    <row r="1315" spans="1:4" x14ac:dyDescent="0.35">
      <c r="A1315" t="s">
        <v>1360</v>
      </c>
      <c r="B1315">
        <v>123531</v>
      </c>
      <c r="C1315">
        <f t="shared" si="47"/>
        <v>1498.2</v>
      </c>
      <c r="D1315">
        <f t="shared" si="46"/>
        <v>125029.2</v>
      </c>
    </row>
    <row r="1316" spans="1:4" x14ac:dyDescent="0.35">
      <c r="A1316" t="s">
        <v>1361</v>
      </c>
      <c r="B1316">
        <v>123580</v>
      </c>
      <c r="C1316">
        <f t="shared" si="47"/>
        <v>1143.06</v>
      </c>
      <c r="D1316">
        <f t="shared" si="46"/>
        <v>124723.06</v>
      </c>
    </row>
    <row r="1317" spans="1:4" x14ac:dyDescent="0.35">
      <c r="A1317" t="s">
        <v>1362</v>
      </c>
      <c r="B1317">
        <v>105462</v>
      </c>
      <c r="C1317">
        <f t="shared" si="47"/>
        <v>1094.3399999999999</v>
      </c>
      <c r="D1317">
        <f t="shared" si="46"/>
        <v>106556.34</v>
      </c>
    </row>
    <row r="1318" spans="1:4" x14ac:dyDescent="0.35">
      <c r="A1318" t="s">
        <v>1363</v>
      </c>
      <c r="B1318">
        <v>123740</v>
      </c>
      <c r="C1318">
        <f t="shared" si="47"/>
        <v>1654.86</v>
      </c>
      <c r="D1318">
        <f t="shared" si="46"/>
        <v>125394.86</v>
      </c>
    </row>
    <row r="1319" spans="1:4" x14ac:dyDescent="0.35">
      <c r="A1319" t="s">
        <v>1364</v>
      </c>
      <c r="B1319">
        <v>108117</v>
      </c>
      <c r="C1319">
        <f t="shared" si="47"/>
        <v>995.76</v>
      </c>
      <c r="D1319">
        <f t="shared" si="46"/>
        <v>109112.76</v>
      </c>
    </row>
    <row r="1320" spans="1:4" x14ac:dyDescent="0.35">
      <c r="A1320" t="s">
        <v>1365</v>
      </c>
      <c r="B1320">
        <v>108624</v>
      </c>
      <c r="C1320">
        <f t="shared" si="47"/>
        <v>1225.92</v>
      </c>
      <c r="D1320">
        <f t="shared" si="46"/>
        <v>109849.92</v>
      </c>
    </row>
    <row r="1321" spans="1:4" x14ac:dyDescent="0.35">
      <c r="A1321" t="s">
        <v>1366</v>
      </c>
      <c r="B1321">
        <v>124774</v>
      </c>
      <c r="C1321">
        <f t="shared" si="47"/>
        <v>785.7</v>
      </c>
      <c r="D1321">
        <f t="shared" si="46"/>
        <v>125559.7</v>
      </c>
    </row>
    <row r="1322" spans="1:4" x14ac:dyDescent="0.35">
      <c r="A1322" t="s">
        <v>1367</v>
      </c>
      <c r="B1322">
        <v>105587</v>
      </c>
      <c r="C1322">
        <f t="shared" si="47"/>
        <v>911.7</v>
      </c>
      <c r="D1322">
        <f t="shared" si="46"/>
        <v>106498.7</v>
      </c>
    </row>
    <row r="1323" spans="1:4" x14ac:dyDescent="0.35">
      <c r="A1323" t="s">
        <v>1368</v>
      </c>
      <c r="B1323">
        <v>124510</v>
      </c>
      <c r="C1323">
        <f t="shared" si="47"/>
        <v>1522.62</v>
      </c>
      <c r="D1323">
        <f t="shared" si="46"/>
        <v>126032.62</v>
      </c>
    </row>
    <row r="1324" spans="1:4" x14ac:dyDescent="0.35">
      <c r="A1324" t="s">
        <v>1369</v>
      </c>
      <c r="B1324">
        <v>104516</v>
      </c>
      <c r="C1324">
        <f t="shared" si="47"/>
        <v>1201.02</v>
      </c>
      <c r="D1324">
        <f t="shared" si="46"/>
        <v>105717.02</v>
      </c>
    </row>
    <row r="1325" spans="1:4" x14ac:dyDescent="0.35">
      <c r="A1325" t="s">
        <v>1370</v>
      </c>
      <c r="B1325">
        <v>104565</v>
      </c>
      <c r="C1325">
        <f t="shared" si="47"/>
        <v>992.22</v>
      </c>
      <c r="D1325">
        <f t="shared" si="46"/>
        <v>105557.22</v>
      </c>
    </row>
    <row r="1326" spans="1:4" x14ac:dyDescent="0.35">
      <c r="A1326" t="s">
        <v>1371</v>
      </c>
      <c r="B1326">
        <v>108005</v>
      </c>
      <c r="C1326">
        <f t="shared" si="47"/>
        <v>1125.42</v>
      </c>
      <c r="D1326">
        <f t="shared" si="46"/>
        <v>109130.42</v>
      </c>
    </row>
    <row r="1327" spans="1:4" x14ac:dyDescent="0.35">
      <c r="A1327" t="s">
        <v>1372</v>
      </c>
      <c r="B1327">
        <v>125200</v>
      </c>
      <c r="C1327">
        <f t="shared" si="47"/>
        <v>730.86</v>
      </c>
      <c r="D1327">
        <f t="shared" si="46"/>
        <v>125930.86</v>
      </c>
    </row>
    <row r="1328" spans="1:4" x14ac:dyDescent="0.35">
      <c r="A1328" t="s">
        <v>1373</v>
      </c>
      <c r="B1328">
        <v>123263</v>
      </c>
      <c r="C1328">
        <f t="shared" si="47"/>
        <v>916.44</v>
      </c>
      <c r="D1328">
        <f t="shared" si="46"/>
        <v>124179.44</v>
      </c>
    </row>
    <row r="1329" spans="1:4" x14ac:dyDescent="0.35">
      <c r="A1329" t="s">
        <v>1374</v>
      </c>
      <c r="B1329">
        <v>116090</v>
      </c>
      <c r="C1329">
        <f t="shared" si="47"/>
        <v>922.92</v>
      </c>
      <c r="D1329">
        <f t="shared" si="46"/>
        <v>117012.92</v>
      </c>
    </row>
    <row r="1330" spans="1:4" x14ac:dyDescent="0.35">
      <c r="A1330" t="s">
        <v>1375</v>
      </c>
      <c r="B1330">
        <v>109682</v>
      </c>
      <c r="C1330">
        <f t="shared" si="47"/>
        <v>858.6</v>
      </c>
      <c r="D1330">
        <f t="shared" si="46"/>
        <v>110540.6</v>
      </c>
    </row>
    <row r="1331" spans="1:4" x14ac:dyDescent="0.35">
      <c r="A1331" t="s">
        <v>1376</v>
      </c>
      <c r="B1331">
        <v>124208</v>
      </c>
      <c r="C1331">
        <f t="shared" si="47"/>
        <v>1085.94</v>
      </c>
      <c r="D1331">
        <f t="shared" si="46"/>
        <v>125293.94</v>
      </c>
    </row>
    <row r="1332" spans="1:4" x14ac:dyDescent="0.35">
      <c r="A1332" t="s">
        <v>1377</v>
      </c>
      <c r="B1332">
        <v>115174</v>
      </c>
      <c r="C1332">
        <f t="shared" si="47"/>
        <v>1218.72</v>
      </c>
      <c r="D1332">
        <f t="shared" si="46"/>
        <v>116392.72</v>
      </c>
    </row>
    <row r="1333" spans="1:4" x14ac:dyDescent="0.35">
      <c r="A1333" t="s">
        <v>1378</v>
      </c>
      <c r="B1333">
        <v>116241</v>
      </c>
      <c r="C1333">
        <f t="shared" si="47"/>
        <v>1079.6400000000001</v>
      </c>
      <c r="D1333">
        <f t="shared" si="46"/>
        <v>117320.64</v>
      </c>
    </row>
    <row r="1334" spans="1:4" x14ac:dyDescent="0.35">
      <c r="A1334" t="s">
        <v>1379</v>
      </c>
      <c r="B1334">
        <v>109374</v>
      </c>
      <c r="C1334">
        <f t="shared" si="47"/>
        <v>910.56</v>
      </c>
      <c r="D1334">
        <f t="shared" si="46"/>
        <v>110284.56</v>
      </c>
    </row>
    <row r="1335" spans="1:4" x14ac:dyDescent="0.35">
      <c r="A1335" t="s">
        <v>1380</v>
      </c>
      <c r="B1335">
        <v>107830</v>
      </c>
      <c r="C1335">
        <f t="shared" si="47"/>
        <v>927.72</v>
      </c>
      <c r="D1335">
        <f t="shared" si="46"/>
        <v>108757.72</v>
      </c>
    </row>
    <row r="1336" spans="1:4" x14ac:dyDescent="0.35">
      <c r="A1336" t="s">
        <v>1381</v>
      </c>
      <c r="B1336">
        <v>116132</v>
      </c>
      <c r="C1336">
        <f t="shared" si="47"/>
        <v>909.9</v>
      </c>
      <c r="D1336">
        <f t="shared" si="46"/>
        <v>117041.9</v>
      </c>
    </row>
    <row r="1337" spans="1:4" x14ac:dyDescent="0.35">
      <c r="A1337" t="s">
        <v>1382</v>
      </c>
      <c r="B1337">
        <v>105230</v>
      </c>
      <c r="C1337">
        <f t="shared" si="47"/>
        <v>1003.38</v>
      </c>
      <c r="D1337">
        <f t="shared" si="46"/>
        <v>106233.38</v>
      </c>
    </row>
    <row r="1338" spans="1:4" x14ac:dyDescent="0.35">
      <c r="A1338" t="s">
        <v>1383</v>
      </c>
      <c r="B1338">
        <v>114808</v>
      </c>
      <c r="C1338">
        <f t="shared" si="47"/>
        <v>1602.54</v>
      </c>
      <c r="D1338">
        <f t="shared" si="46"/>
        <v>116410.54</v>
      </c>
    </row>
    <row r="1339" spans="1:4" x14ac:dyDescent="0.35">
      <c r="A1339" t="s">
        <v>1384</v>
      </c>
      <c r="B1339">
        <v>105892</v>
      </c>
      <c r="C1339">
        <f t="shared" si="47"/>
        <v>939.42</v>
      </c>
      <c r="D1339">
        <f t="shared" si="46"/>
        <v>106831.42</v>
      </c>
    </row>
    <row r="1340" spans="1:4" x14ac:dyDescent="0.35">
      <c r="A1340" t="s">
        <v>1385</v>
      </c>
      <c r="B1340">
        <v>105143</v>
      </c>
      <c r="C1340">
        <f t="shared" si="47"/>
        <v>1176.9000000000001</v>
      </c>
      <c r="D1340">
        <f t="shared" si="46"/>
        <v>106319.9</v>
      </c>
    </row>
    <row r="1341" spans="1:4" x14ac:dyDescent="0.35">
      <c r="A1341" t="s">
        <v>1386</v>
      </c>
      <c r="B1341">
        <v>104823</v>
      </c>
      <c r="C1341">
        <f t="shared" si="47"/>
        <v>1005.36</v>
      </c>
      <c r="D1341">
        <f t="shared" si="46"/>
        <v>105828.36</v>
      </c>
    </row>
    <row r="1342" spans="1:4" x14ac:dyDescent="0.35">
      <c r="A1342" t="s">
        <v>1387</v>
      </c>
      <c r="B1342">
        <v>105918</v>
      </c>
      <c r="C1342">
        <f t="shared" si="47"/>
        <v>1481.76</v>
      </c>
      <c r="D1342">
        <f t="shared" si="46"/>
        <v>107399.76</v>
      </c>
    </row>
    <row r="1343" spans="1:4" x14ac:dyDescent="0.35">
      <c r="A1343" t="s">
        <v>1388</v>
      </c>
      <c r="B1343">
        <v>125384</v>
      </c>
      <c r="C1343">
        <f t="shared" si="47"/>
        <v>1269.96</v>
      </c>
      <c r="D1343">
        <f t="shared" si="46"/>
        <v>126653.96</v>
      </c>
    </row>
    <row r="1344" spans="1:4" x14ac:dyDescent="0.35">
      <c r="A1344" t="s">
        <v>1389</v>
      </c>
      <c r="B1344">
        <v>123671</v>
      </c>
      <c r="C1344">
        <f t="shared" si="47"/>
        <v>1059</v>
      </c>
      <c r="D1344">
        <f t="shared" si="46"/>
        <v>124730</v>
      </c>
    </row>
    <row r="1345" spans="1:4" x14ac:dyDescent="0.35">
      <c r="A1345" t="s">
        <v>1390</v>
      </c>
      <c r="B1345">
        <v>125351</v>
      </c>
      <c r="C1345">
        <f t="shared" si="47"/>
        <v>770.34</v>
      </c>
      <c r="D1345">
        <f t="shared" si="46"/>
        <v>126121.34</v>
      </c>
    </row>
    <row r="1346" spans="1:4" x14ac:dyDescent="0.35">
      <c r="A1346" t="s">
        <v>1391</v>
      </c>
      <c r="B1346">
        <v>124718</v>
      </c>
      <c r="C1346">
        <f t="shared" si="47"/>
        <v>1140.24</v>
      </c>
      <c r="D1346">
        <f t="shared" si="46"/>
        <v>125858.24000000001</v>
      </c>
    </row>
    <row r="1347" spans="1:4" x14ac:dyDescent="0.35">
      <c r="A1347" t="s">
        <v>1392</v>
      </c>
      <c r="B1347">
        <v>109947</v>
      </c>
      <c r="C1347">
        <f t="shared" si="47"/>
        <v>1165.3800000000001</v>
      </c>
      <c r="D1347">
        <f t="shared" ref="D1347:D1410" si="48">B1347+C1347</f>
        <v>111112.38</v>
      </c>
    </row>
    <row r="1348" spans="1:4" x14ac:dyDescent="0.35">
      <c r="A1348" t="s">
        <v>1393</v>
      </c>
      <c r="B1348">
        <v>124443</v>
      </c>
      <c r="C1348">
        <f t="shared" si="47"/>
        <v>1295.58</v>
      </c>
      <c r="D1348">
        <f t="shared" si="48"/>
        <v>125738.58</v>
      </c>
    </row>
    <row r="1349" spans="1:4" x14ac:dyDescent="0.35">
      <c r="A1349" t="s">
        <v>1394</v>
      </c>
      <c r="B1349">
        <v>125155</v>
      </c>
      <c r="C1349">
        <f t="shared" ref="C1349:C1412" si="49">B458*6/100</f>
        <v>1436.1</v>
      </c>
      <c r="D1349">
        <f t="shared" si="48"/>
        <v>126591.1</v>
      </c>
    </row>
    <row r="1350" spans="1:4" x14ac:dyDescent="0.35">
      <c r="A1350" t="s">
        <v>1395</v>
      </c>
      <c r="B1350">
        <v>124483</v>
      </c>
      <c r="C1350">
        <f t="shared" si="49"/>
        <v>1142.7</v>
      </c>
      <c r="D1350">
        <f t="shared" si="48"/>
        <v>125625.7</v>
      </c>
    </row>
    <row r="1351" spans="1:4" x14ac:dyDescent="0.35">
      <c r="A1351" t="s">
        <v>1396</v>
      </c>
      <c r="B1351">
        <v>105515</v>
      </c>
      <c r="C1351">
        <f t="shared" si="49"/>
        <v>1392.54</v>
      </c>
      <c r="D1351">
        <f t="shared" si="48"/>
        <v>106907.54</v>
      </c>
    </row>
    <row r="1352" spans="1:4" x14ac:dyDescent="0.35">
      <c r="A1352" t="s">
        <v>1397</v>
      </c>
      <c r="B1352">
        <v>123147</v>
      </c>
      <c r="C1352">
        <f t="shared" si="49"/>
        <v>765.6</v>
      </c>
      <c r="D1352">
        <f t="shared" si="48"/>
        <v>123912.6</v>
      </c>
    </row>
    <row r="1353" spans="1:4" x14ac:dyDescent="0.35">
      <c r="A1353" t="s">
        <v>1398</v>
      </c>
      <c r="B1353">
        <v>124005</v>
      </c>
      <c r="C1353">
        <f t="shared" si="49"/>
        <v>1113.3599999999999</v>
      </c>
      <c r="D1353">
        <f t="shared" si="48"/>
        <v>125118.36</v>
      </c>
    </row>
    <row r="1354" spans="1:4" x14ac:dyDescent="0.35">
      <c r="A1354" t="s">
        <v>1399</v>
      </c>
      <c r="B1354">
        <v>123995</v>
      </c>
      <c r="C1354">
        <f t="shared" si="49"/>
        <v>1294.26</v>
      </c>
      <c r="D1354">
        <f t="shared" si="48"/>
        <v>125289.26</v>
      </c>
    </row>
    <row r="1355" spans="1:4" x14ac:dyDescent="0.35">
      <c r="A1355" t="s">
        <v>1400</v>
      </c>
      <c r="B1355">
        <v>113707</v>
      </c>
      <c r="C1355">
        <f t="shared" si="49"/>
        <v>864.42</v>
      </c>
      <c r="D1355">
        <f t="shared" si="48"/>
        <v>114571.42</v>
      </c>
    </row>
    <row r="1356" spans="1:4" x14ac:dyDescent="0.35">
      <c r="A1356" t="s">
        <v>1401</v>
      </c>
      <c r="B1356">
        <v>114513</v>
      </c>
      <c r="C1356">
        <f t="shared" si="49"/>
        <v>891.96</v>
      </c>
      <c r="D1356">
        <f t="shared" si="48"/>
        <v>115404.96</v>
      </c>
    </row>
    <row r="1357" spans="1:4" x14ac:dyDescent="0.35">
      <c r="A1357" t="s">
        <v>1402</v>
      </c>
      <c r="B1357">
        <v>123852</v>
      </c>
      <c r="C1357">
        <f t="shared" si="49"/>
        <v>1001.7</v>
      </c>
      <c r="D1357">
        <f t="shared" si="48"/>
        <v>124853.7</v>
      </c>
    </row>
    <row r="1358" spans="1:4" x14ac:dyDescent="0.35">
      <c r="A1358" t="s">
        <v>1403</v>
      </c>
      <c r="B1358">
        <v>105500</v>
      </c>
      <c r="C1358">
        <f t="shared" si="49"/>
        <v>900.18</v>
      </c>
      <c r="D1358">
        <f t="shared" si="48"/>
        <v>106400.18</v>
      </c>
    </row>
    <row r="1359" spans="1:4" x14ac:dyDescent="0.35">
      <c r="A1359" t="s">
        <v>1404</v>
      </c>
      <c r="B1359">
        <v>124903</v>
      </c>
      <c r="C1359">
        <f t="shared" si="49"/>
        <v>1223.8800000000001</v>
      </c>
      <c r="D1359">
        <f t="shared" si="48"/>
        <v>126126.88</v>
      </c>
    </row>
    <row r="1360" spans="1:4" x14ac:dyDescent="0.35">
      <c r="A1360" t="s">
        <v>1405</v>
      </c>
      <c r="B1360">
        <v>108266</v>
      </c>
      <c r="C1360">
        <f t="shared" si="49"/>
        <v>768.3</v>
      </c>
      <c r="D1360">
        <f t="shared" si="48"/>
        <v>109034.3</v>
      </c>
    </row>
    <row r="1361" spans="1:4" x14ac:dyDescent="0.35">
      <c r="A1361" t="s">
        <v>1406</v>
      </c>
      <c r="B1361">
        <v>114676</v>
      </c>
      <c r="C1361">
        <f t="shared" si="49"/>
        <v>1544.28</v>
      </c>
      <c r="D1361">
        <f t="shared" si="48"/>
        <v>116220.28</v>
      </c>
    </row>
    <row r="1362" spans="1:4" x14ac:dyDescent="0.35">
      <c r="A1362" t="s">
        <v>1407</v>
      </c>
      <c r="B1362">
        <v>114844</v>
      </c>
      <c r="C1362">
        <f t="shared" si="49"/>
        <v>873.42</v>
      </c>
      <c r="D1362">
        <f t="shared" si="48"/>
        <v>115717.42</v>
      </c>
    </row>
    <row r="1363" spans="1:4" x14ac:dyDescent="0.35">
      <c r="A1363" t="s">
        <v>1408</v>
      </c>
      <c r="B1363">
        <v>124316</v>
      </c>
      <c r="C1363">
        <f t="shared" si="49"/>
        <v>771.18</v>
      </c>
      <c r="D1363">
        <f t="shared" si="48"/>
        <v>125087.18</v>
      </c>
    </row>
    <row r="1364" spans="1:4" x14ac:dyDescent="0.35">
      <c r="A1364" t="s">
        <v>1409</v>
      </c>
      <c r="B1364">
        <v>108752</v>
      </c>
      <c r="C1364">
        <f t="shared" si="49"/>
        <v>1526.04</v>
      </c>
      <c r="D1364">
        <f t="shared" si="48"/>
        <v>110278.04</v>
      </c>
    </row>
    <row r="1365" spans="1:4" x14ac:dyDescent="0.35">
      <c r="A1365" t="s">
        <v>1410</v>
      </c>
      <c r="B1365">
        <v>104457</v>
      </c>
      <c r="C1365">
        <f t="shared" si="49"/>
        <v>743.64</v>
      </c>
      <c r="D1365">
        <f t="shared" si="48"/>
        <v>105200.64</v>
      </c>
    </row>
    <row r="1366" spans="1:4" x14ac:dyDescent="0.35">
      <c r="A1366" t="s">
        <v>1411</v>
      </c>
      <c r="B1366">
        <v>105755</v>
      </c>
      <c r="C1366">
        <f t="shared" si="49"/>
        <v>1530.3</v>
      </c>
      <c r="D1366">
        <f t="shared" si="48"/>
        <v>107285.3</v>
      </c>
    </row>
    <row r="1367" spans="1:4" x14ac:dyDescent="0.35">
      <c r="A1367" t="s">
        <v>1412</v>
      </c>
      <c r="B1367">
        <v>109738</v>
      </c>
      <c r="C1367">
        <f t="shared" si="49"/>
        <v>1221.24</v>
      </c>
      <c r="D1367">
        <f t="shared" si="48"/>
        <v>110959.24</v>
      </c>
    </row>
    <row r="1368" spans="1:4" x14ac:dyDescent="0.35">
      <c r="A1368" t="s">
        <v>1413</v>
      </c>
      <c r="B1368">
        <v>124483</v>
      </c>
      <c r="C1368">
        <f t="shared" si="49"/>
        <v>949.38</v>
      </c>
      <c r="D1368">
        <f t="shared" si="48"/>
        <v>125432.38</v>
      </c>
    </row>
    <row r="1369" spans="1:4" x14ac:dyDescent="0.35">
      <c r="A1369" t="s">
        <v>1414</v>
      </c>
      <c r="B1369">
        <v>108887</v>
      </c>
      <c r="C1369">
        <f t="shared" si="49"/>
        <v>871.44</v>
      </c>
      <c r="D1369">
        <f t="shared" si="48"/>
        <v>109758.44</v>
      </c>
    </row>
    <row r="1370" spans="1:4" x14ac:dyDescent="0.35">
      <c r="A1370" t="s">
        <v>1415</v>
      </c>
      <c r="B1370">
        <v>107793</v>
      </c>
      <c r="C1370">
        <f t="shared" si="49"/>
        <v>1212.9000000000001</v>
      </c>
      <c r="D1370">
        <f t="shared" si="48"/>
        <v>109005.9</v>
      </c>
    </row>
    <row r="1371" spans="1:4" x14ac:dyDescent="0.35">
      <c r="A1371" t="s">
        <v>1416</v>
      </c>
      <c r="B1371">
        <v>125607</v>
      </c>
      <c r="C1371">
        <f t="shared" si="49"/>
        <v>1548.54</v>
      </c>
      <c r="D1371">
        <f t="shared" si="48"/>
        <v>127155.54</v>
      </c>
    </row>
    <row r="1372" spans="1:4" x14ac:dyDescent="0.35">
      <c r="A1372" t="s">
        <v>1417</v>
      </c>
      <c r="B1372">
        <v>125334</v>
      </c>
      <c r="C1372">
        <f t="shared" si="49"/>
        <v>1138.8</v>
      </c>
      <c r="D1372">
        <f t="shared" si="48"/>
        <v>126472.8</v>
      </c>
    </row>
    <row r="1373" spans="1:4" x14ac:dyDescent="0.35">
      <c r="A1373" t="s">
        <v>1418</v>
      </c>
      <c r="B1373">
        <v>114600</v>
      </c>
      <c r="C1373">
        <f t="shared" si="49"/>
        <v>1455</v>
      </c>
      <c r="D1373">
        <f t="shared" si="48"/>
        <v>116055</v>
      </c>
    </row>
    <row r="1374" spans="1:4" x14ac:dyDescent="0.35">
      <c r="A1374" t="s">
        <v>1419</v>
      </c>
      <c r="B1374">
        <v>114507</v>
      </c>
      <c r="C1374">
        <f t="shared" si="49"/>
        <v>822.54</v>
      </c>
      <c r="D1374">
        <f t="shared" si="48"/>
        <v>115329.54</v>
      </c>
    </row>
    <row r="1375" spans="1:4" x14ac:dyDescent="0.35">
      <c r="A1375" t="s">
        <v>1420</v>
      </c>
      <c r="B1375">
        <v>109270</v>
      </c>
      <c r="C1375">
        <f t="shared" si="49"/>
        <v>963.72</v>
      </c>
      <c r="D1375">
        <f t="shared" si="48"/>
        <v>110233.72</v>
      </c>
    </row>
    <row r="1376" spans="1:4" x14ac:dyDescent="0.35">
      <c r="A1376" t="s">
        <v>1421</v>
      </c>
      <c r="B1376">
        <v>123354</v>
      </c>
      <c r="C1376">
        <f t="shared" si="49"/>
        <v>901.2</v>
      </c>
      <c r="D1376">
        <f t="shared" si="48"/>
        <v>124255.2</v>
      </c>
    </row>
    <row r="1377" spans="1:4" x14ac:dyDescent="0.35">
      <c r="A1377" t="s">
        <v>1422</v>
      </c>
      <c r="B1377">
        <v>114978</v>
      </c>
      <c r="C1377">
        <f t="shared" si="49"/>
        <v>856.8</v>
      </c>
      <c r="D1377">
        <f t="shared" si="48"/>
        <v>115834.8</v>
      </c>
    </row>
    <row r="1378" spans="1:4" x14ac:dyDescent="0.35">
      <c r="A1378" t="s">
        <v>1423</v>
      </c>
      <c r="B1378">
        <v>125377</v>
      </c>
      <c r="C1378">
        <f t="shared" si="49"/>
        <v>828.72</v>
      </c>
      <c r="D1378">
        <f t="shared" si="48"/>
        <v>126205.72</v>
      </c>
    </row>
    <row r="1379" spans="1:4" x14ac:dyDescent="0.35">
      <c r="A1379" t="s">
        <v>1424</v>
      </c>
      <c r="B1379">
        <v>123795</v>
      </c>
      <c r="C1379">
        <f t="shared" si="49"/>
        <v>1012.8</v>
      </c>
      <c r="D1379">
        <f t="shared" si="48"/>
        <v>124807.8</v>
      </c>
    </row>
    <row r="1380" spans="1:4" x14ac:dyDescent="0.35">
      <c r="A1380" t="s">
        <v>1425</v>
      </c>
      <c r="B1380">
        <v>125463</v>
      </c>
      <c r="C1380">
        <f t="shared" si="49"/>
        <v>1498.38</v>
      </c>
      <c r="D1380">
        <f t="shared" si="48"/>
        <v>126961.38</v>
      </c>
    </row>
    <row r="1381" spans="1:4" x14ac:dyDescent="0.35">
      <c r="A1381" t="s">
        <v>1426</v>
      </c>
      <c r="B1381">
        <v>106130</v>
      </c>
      <c r="C1381">
        <f t="shared" si="49"/>
        <v>801.24</v>
      </c>
      <c r="D1381">
        <f t="shared" si="48"/>
        <v>106931.24</v>
      </c>
    </row>
    <row r="1382" spans="1:4" x14ac:dyDescent="0.35">
      <c r="A1382" t="s">
        <v>1427</v>
      </c>
      <c r="B1382">
        <v>123549</v>
      </c>
      <c r="C1382">
        <f t="shared" si="49"/>
        <v>1140.18</v>
      </c>
      <c r="D1382">
        <f t="shared" si="48"/>
        <v>124689.18</v>
      </c>
    </row>
    <row r="1383" spans="1:4" x14ac:dyDescent="0.35">
      <c r="A1383" t="s">
        <v>1428</v>
      </c>
      <c r="B1383">
        <v>106021</v>
      </c>
      <c r="C1383">
        <f t="shared" si="49"/>
        <v>1498.98</v>
      </c>
      <c r="D1383">
        <f t="shared" si="48"/>
        <v>107519.98</v>
      </c>
    </row>
    <row r="1384" spans="1:4" x14ac:dyDescent="0.35">
      <c r="A1384" t="s">
        <v>1429</v>
      </c>
      <c r="B1384">
        <v>110243</v>
      </c>
      <c r="C1384">
        <f t="shared" si="49"/>
        <v>1554.3</v>
      </c>
      <c r="D1384">
        <f t="shared" si="48"/>
        <v>111797.3</v>
      </c>
    </row>
    <row r="1385" spans="1:4" x14ac:dyDescent="0.35">
      <c r="A1385" t="s">
        <v>1430</v>
      </c>
      <c r="B1385">
        <v>104988</v>
      </c>
      <c r="C1385">
        <f t="shared" si="49"/>
        <v>818.22</v>
      </c>
      <c r="D1385">
        <f t="shared" si="48"/>
        <v>105806.22</v>
      </c>
    </row>
    <row r="1386" spans="1:4" x14ac:dyDescent="0.35">
      <c r="A1386" t="s">
        <v>1431</v>
      </c>
      <c r="B1386">
        <v>124146</v>
      </c>
      <c r="C1386">
        <f t="shared" si="49"/>
        <v>1056.18</v>
      </c>
      <c r="D1386">
        <f t="shared" si="48"/>
        <v>125202.18</v>
      </c>
    </row>
    <row r="1387" spans="1:4" x14ac:dyDescent="0.35">
      <c r="A1387" t="s">
        <v>1432</v>
      </c>
      <c r="B1387">
        <v>124545</v>
      </c>
      <c r="C1387">
        <f t="shared" si="49"/>
        <v>1407.12</v>
      </c>
      <c r="D1387">
        <f t="shared" si="48"/>
        <v>125952.12</v>
      </c>
    </row>
    <row r="1388" spans="1:4" x14ac:dyDescent="0.35">
      <c r="A1388" t="s">
        <v>1433</v>
      </c>
      <c r="B1388">
        <v>109692</v>
      </c>
      <c r="C1388">
        <f t="shared" si="49"/>
        <v>1570.32</v>
      </c>
      <c r="D1388">
        <f t="shared" si="48"/>
        <v>111262.32</v>
      </c>
    </row>
    <row r="1389" spans="1:4" x14ac:dyDescent="0.35">
      <c r="A1389" t="s">
        <v>1434</v>
      </c>
      <c r="B1389">
        <v>113739</v>
      </c>
      <c r="C1389">
        <f t="shared" si="49"/>
        <v>1407.96</v>
      </c>
      <c r="D1389">
        <f t="shared" si="48"/>
        <v>115146.96</v>
      </c>
    </row>
    <row r="1390" spans="1:4" x14ac:dyDescent="0.35">
      <c r="A1390" t="s">
        <v>1435</v>
      </c>
      <c r="B1390">
        <v>106566</v>
      </c>
      <c r="C1390">
        <f t="shared" si="49"/>
        <v>1585.98</v>
      </c>
      <c r="D1390">
        <f t="shared" si="48"/>
        <v>108151.98</v>
      </c>
    </row>
    <row r="1391" spans="1:4" x14ac:dyDescent="0.35">
      <c r="A1391" t="s">
        <v>1436</v>
      </c>
      <c r="B1391">
        <v>113710</v>
      </c>
      <c r="C1391">
        <f t="shared" si="49"/>
        <v>1531.62</v>
      </c>
      <c r="D1391">
        <f t="shared" si="48"/>
        <v>115241.62</v>
      </c>
    </row>
    <row r="1392" spans="1:4" x14ac:dyDescent="0.35">
      <c r="A1392" t="s">
        <v>1437</v>
      </c>
      <c r="B1392">
        <v>108473</v>
      </c>
      <c r="C1392">
        <f t="shared" si="49"/>
        <v>998.46</v>
      </c>
      <c r="D1392">
        <f t="shared" si="48"/>
        <v>109471.46</v>
      </c>
    </row>
    <row r="1393" spans="1:4" x14ac:dyDescent="0.35">
      <c r="A1393" t="s">
        <v>1438</v>
      </c>
      <c r="B1393">
        <v>105095</v>
      </c>
      <c r="C1393">
        <f t="shared" si="49"/>
        <v>1071</v>
      </c>
      <c r="D1393">
        <f t="shared" si="48"/>
        <v>106166</v>
      </c>
    </row>
    <row r="1394" spans="1:4" x14ac:dyDescent="0.35">
      <c r="A1394" t="s">
        <v>1439</v>
      </c>
      <c r="B1394">
        <v>105447</v>
      </c>
      <c r="C1394">
        <f t="shared" si="49"/>
        <v>727.62</v>
      </c>
      <c r="D1394">
        <f t="shared" si="48"/>
        <v>106174.62</v>
      </c>
    </row>
    <row r="1395" spans="1:4" x14ac:dyDescent="0.35">
      <c r="A1395" t="s">
        <v>1440</v>
      </c>
      <c r="B1395">
        <v>123655</v>
      </c>
      <c r="C1395">
        <f t="shared" si="49"/>
        <v>931.8</v>
      </c>
      <c r="D1395">
        <f t="shared" si="48"/>
        <v>124586.8</v>
      </c>
    </row>
    <row r="1396" spans="1:4" x14ac:dyDescent="0.35">
      <c r="A1396" t="s">
        <v>1441</v>
      </c>
      <c r="B1396">
        <v>125123</v>
      </c>
      <c r="C1396">
        <f t="shared" si="49"/>
        <v>898.56</v>
      </c>
      <c r="D1396">
        <f t="shared" si="48"/>
        <v>126021.56</v>
      </c>
    </row>
    <row r="1397" spans="1:4" x14ac:dyDescent="0.35">
      <c r="A1397" t="s">
        <v>1442</v>
      </c>
      <c r="B1397">
        <v>108661</v>
      </c>
      <c r="C1397">
        <f t="shared" si="49"/>
        <v>1140.42</v>
      </c>
      <c r="D1397">
        <f t="shared" si="48"/>
        <v>109801.42</v>
      </c>
    </row>
    <row r="1398" spans="1:4" x14ac:dyDescent="0.35">
      <c r="A1398" t="s">
        <v>1443</v>
      </c>
      <c r="B1398">
        <v>114112</v>
      </c>
      <c r="C1398">
        <f t="shared" si="49"/>
        <v>1391.58</v>
      </c>
      <c r="D1398">
        <f t="shared" si="48"/>
        <v>115503.58</v>
      </c>
    </row>
    <row r="1399" spans="1:4" x14ac:dyDescent="0.35">
      <c r="A1399" t="s">
        <v>1444</v>
      </c>
      <c r="B1399">
        <v>115613</v>
      </c>
      <c r="C1399">
        <f t="shared" si="49"/>
        <v>903.9</v>
      </c>
      <c r="D1399">
        <f t="shared" si="48"/>
        <v>116516.9</v>
      </c>
    </row>
    <row r="1400" spans="1:4" x14ac:dyDescent="0.35">
      <c r="A1400" t="s">
        <v>1445</v>
      </c>
      <c r="B1400">
        <v>105719</v>
      </c>
      <c r="C1400">
        <f t="shared" si="49"/>
        <v>1138.74</v>
      </c>
      <c r="D1400">
        <f t="shared" si="48"/>
        <v>106857.74</v>
      </c>
    </row>
    <row r="1401" spans="1:4" x14ac:dyDescent="0.35">
      <c r="A1401" t="s">
        <v>1446</v>
      </c>
      <c r="B1401">
        <v>109108</v>
      </c>
      <c r="C1401">
        <f t="shared" si="49"/>
        <v>1533.6</v>
      </c>
      <c r="D1401">
        <f t="shared" si="48"/>
        <v>110641.60000000001</v>
      </c>
    </row>
    <row r="1402" spans="1:4" x14ac:dyDescent="0.35">
      <c r="A1402" t="s">
        <v>1447</v>
      </c>
      <c r="B1402">
        <v>108760</v>
      </c>
      <c r="C1402">
        <f t="shared" si="49"/>
        <v>1477.2</v>
      </c>
      <c r="D1402">
        <f t="shared" si="48"/>
        <v>110237.2</v>
      </c>
    </row>
    <row r="1403" spans="1:4" x14ac:dyDescent="0.35">
      <c r="A1403" t="s">
        <v>1448</v>
      </c>
      <c r="B1403">
        <v>113758</v>
      </c>
      <c r="C1403">
        <f t="shared" si="49"/>
        <v>1052.8800000000001</v>
      </c>
      <c r="D1403">
        <f t="shared" si="48"/>
        <v>114810.88</v>
      </c>
    </row>
    <row r="1404" spans="1:4" x14ac:dyDescent="0.35">
      <c r="A1404" t="s">
        <v>1449</v>
      </c>
      <c r="B1404">
        <v>123653</v>
      </c>
      <c r="C1404">
        <f t="shared" si="49"/>
        <v>943.74</v>
      </c>
      <c r="D1404">
        <f t="shared" si="48"/>
        <v>124596.74</v>
      </c>
    </row>
    <row r="1405" spans="1:4" x14ac:dyDescent="0.35">
      <c r="A1405" t="s">
        <v>1450</v>
      </c>
      <c r="B1405">
        <v>123133</v>
      </c>
      <c r="C1405">
        <f t="shared" si="49"/>
        <v>932.94</v>
      </c>
      <c r="D1405">
        <f t="shared" si="48"/>
        <v>124065.94</v>
      </c>
    </row>
    <row r="1406" spans="1:4" x14ac:dyDescent="0.35">
      <c r="A1406" t="s">
        <v>1451</v>
      </c>
      <c r="B1406">
        <v>115150</v>
      </c>
      <c r="C1406">
        <f t="shared" si="49"/>
        <v>835.92</v>
      </c>
      <c r="D1406">
        <f t="shared" si="48"/>
        <v>115985.92</v>
      </c>
    </row>
    <row r="1407" spans="1:4" x14ac:dyDescent="0.35">
      <c r="A1407" t="s">
        <v>1452</v>
      </c>
      <c r="B1407">
        <v>109341</v>
      </c>
      <c r="C1407">
        <f t="shared" si="49"/>
        <v>1436.22</v>
      </c>
      <c r="D1407">
        <f t="shared" si="48"/>
        <v>110777.22</v>
      </c>
    </row>
    <row r="1408" spans="1:4" x14ac:dyDescent="0.35">
      <c r="A1408" t="s">
        <v>1453</v>
      </c>
      <c r="B1408">
        <v>108993</v>
      </c>
      <c r="C1408">
        <f t="shared" si="49"/>
        <v>771.06</v>
      </c>
      <c r="D1408">
        <f t="shared" si="48"/>
        <v>109764.06</v>
      </c>
    </row>
    <row r="1409" spans="1:4" x14ac:dyDescent="0.35">
      <c r="A1409" t="s">
        <v>1454</v>
      </c>
      <c r="B1409">
        <v>113105</v>
      </c>
      <c r="C1409">
        <f t="shared" si="49"/>
        <v>1164.42</v>
      </c>
      <c r="D1409">
        <f t="shared" si="48"/>
        <v>114269.42</v>
      </c>
    </row>
    <row r="1410" spans="1:4" x14ac:dyDescent="0.35">
      <c r="A1410" t="s">
        <v>1455</v>
      </c>
      <c r="B1410">
        <v>124329</v>
      </c>
      <c r="C1410">
        <f t="shared" si="49"/>
        <v>1054.2</v>
      </c>
      <c r="D1410">
        <f t="shared" si="48"/>
        <v>125383.2</v>
      </c>
    </row>
    <row r="1411" spans="1:4" x14ac:dyDescent="0.35">
      <c r="A1411" t="s">
        <v>1456</v>
      </c>
      <c r="B1411">
        <v>114597</v>
      </c>
      <c r="C1411">
        <f t="shared" si="49"/>
        <v>1491.12</v>
      </c>
      <c r="D1411">
        <f t="shared" ref="D1411:D1474" si="50">B1411+C1411</f>
        <v>116088.12</v>
      </c>
    </row>
    <row r="1412" spans="1:4" x14ac:dyDescent="0.35">
      <c r="A1412" t="s">
        <v>1457</v>
      </c>
      <c r="B1412">
        <v>116073</v>
      </c>
      <c r="C1412">
        <f t="shared" si="49"/>
        <v>786.66</v>
      </c>
      <c r="D1412">
        <f t="shared" si="50"/>
        <v>116859.66</v>
      </c>
    </row>
    <row r="1413" spans="1:4" x14ac:dyDescent="0.35">
      <c r="A1413" t="s">
        <v>1458</v>
      </c>
      <c r="B1413">
        <v>113560</v>
      </c>
      <c r="C1413">
        <f t="shared" ref="C1413:C1476" si="51">B522*6/100</f>
        <v>1495.8</v>
      </c>
      <c r="D1413">
        <f t="shared" si="50"/>
        <v>115055.8</v>
      </c>
    </row>
    <row r="1414" spans="1:4" x14ac:dyDescent="0.35">
      <c r="A1414" t="s">
        <v>1459</v>
      </c>
      <c r="B1414">
        <v>108720</v>
      </c>
      <c r="C1414">
        <f t="shared" si="51"/>
        <v>1042.08</v>
      </c>
      <c r="D1414">
        <f t="shared" si="50"/>
        <v>109762.08</v>
      </c>
    </row>
    <row r="1415" spans="1:4" x14ac:dyDescent="0.35">
      <c r="A1415" t="s">
        <v>1460</v>
      </c>
      <c r="B1415">
        <v>108917</v>
      </c>
      <c r="C1415">
        <f t="shared" si="51"/>
        <v>1533.9</v>
      </c>
      <c r="D1415">
        <f t="shared" si="50"/>
        <v>110450.9</v>
      </c>
    </row>
    <row r="1416" spans="1:4" x14ac:dyDescent="0.35">
      <c r="A1416" t="s">
        <v>1461</v>
      </c>
      <c r="B1416">
        <v>107974</v>
      </c>
      <c r="C1416">
        <f t="shared" si="51"/>
        <v>930.54</v>
      </c>
      <c r="D1416">
        <f t="shared" si="50"/>
        <v>108904.54</v>
      </c>
    </row>
    <row r="1417" spans="1:4" x14ac:dyDescent="0.35">
      <c r="A1417" t="s">
        <v>1462</v>
      </c>
      <c r="B1417">
        <v>123914</v>
      </c>
      <c r="C1417">
        <f t="shared" si="51"/>
        <v>929.34</v>
      </c>
      <c r="D1417">
        <f t="shared" si="50"/>
        <v>124843.34</v>
      </c>
    </row>
    <row r="1418" spans="1:4" x14ac:dyDescent="0.35">
      <c r="A1418" t="s">
        <v>1463</v>
      </c>
      <c r="B1418">
        <v>124351</v>
      </c>
      <c r="C1418">
        <f t="shared" si="51"/>
        <v>1257.06</v>
      </c>
      <c r="D1418">
        <f t="shared" si="50"/>
        <v>125608.06</v>
      </c>
    </row>
    <row r="1419" spans="1:4" x14ac:dyDescent="0.35">
      <c r="A1419" t="s">
        <v>1464</v>
      </c>
      <c r="B1419">
        <v>108126</v>
      </c>
      <c r="C1419">
        <f t="shared" si="51"/>
        <v>1578</v>
      </c>
      <c r="D1419">
        <f t="shared" si="50"/>
        <v>109704</v>
      </c>
    </row>
    <row r="1420" spans="1:4" x14ac:dyDescent="0.35">
      <c r="A1420" t="s">
        <v>1465</v>
      </c>
      <c r="B1420">
        <v>114333</v>
      </c>
      <c r="C1420">
        <f t="shared" si="51"/>
        <v>932.52</v>
      </c>
      <c r="D1420">
        <f t="shared" si="50"/>
        <v>115265.52</v>
      </c>
    </row>
    <row r="1421" spans="1:4" x14ac:dyDescent="0.35">
      <c r="A1421" t="s">
        <v>1466</v>
      </c>
      <c r="B1421">
        <v>125751</v>
      </c>
      <c r="C1421">
        <f t="shared" si="51"/>
        <v>1060.02</v>
      </c>
      <c r="D1421">
        <f t="shared" si="50"/>
        <v>126811.02</v>
      </c>
    </row>
    <row r="1422" spans="1:4" x14ac:dyDescent="0.35">
      <c r="A1422" t="s">
        <v>1467</v>
      </c>
      <c r="B1422">
        <v>109373</v>
      </c>
      <c r="C1422">
        <f t="shared" si="51"/>
        <v>933.78</v>
      </c>
      <c r="D1422">
        <f t="shared" si="50"/>
        <v>110306.78</v>
      </c>
    </row>
    <row r="1423" spans="1:4" x14ac:dyDescent="0.35">
      <c r="A1423" t="s">
        <v>1468</v>
      </c>
      <c r="B1423">
        <v>113794</v>
      </c>
      <c r="C1423">
        <f t="shared" si="51"/>
        <v>1161.18</v>
      </c>
      <c r="D1423">
        <f t="shared" si="50"/>
        <v>114955.18</v>
      </c>
    </row>
    <row r="1424" spans="1:4" x14ac:dyDescent="0.35">
      <c r="A1424" t="s">
        <v>1469</v>
      </c>
      <c r="B1424">
        <v>113674</v>
      </c>
      <c r="C1424">
        <f t="shared" si="51"/>
        <v>999.9</v>
      </c>
      <c r="D1424">
        <f t="shared" si="50"/>
        <v>114673.9</v>
      </c>
    </row>
    <row r="1425" spans="1:4" x14ac:dyDescent="0.35">
      <c r="A1425" t="s">
        <v>1470</v>
      </c>
      <c r="B1425">
        <v>106651</v>
      </c>
      <c r="C1425">
        <f t="shared" si="51"/>
        <v>840.72</v>
      </c>
      <c r="D1425">
        <f t="shared" si="50"/>
        <v>107491.72</v>
      </c>
    </row>
    <row r="1426" spans="1:4" x14ac:dyDescent="0.35">
      <c r="A1426" t="s">
        <v>1471</v>
      </c>
      <c r="B1426">
        <v>110183</v>
      </c>
      <c r="C1426">
        <f t="shared" si="51"/>
        <v>827.4</v>
      </c>
      <c r="D1426">
        <f t="shared" si="50"/>
        <v>111010.4</v>
      </c>
    </row>
    <row r="1427" spans="1:4" x14ac:dyDescent="0.35">
      <c r="A1427" t="s">
        <v>1472</v>
      </c>
      <c r="B1427">
        <v>105031</v>
      </c>
      <c r="C1427">
        <f t="shared" si="51"/>
        <v>1633.08</v>
      </c>
      <c r="D1427">
        <f t="shared" si="50"/>
        <v>106664.08</v>
      </c>
    </row>
    <row r="1428" spans="1:4" x14ac:dyDescent="0.35">
      <c r="A1428" t="s">
        <v>1473</v>
      </c>
      <c r="B1428">
        <v>106440</v>
      </c>
      <c r="C1428">
        <f t="shared" si="51"/>
        <v>934.74</v>
      </c>
      <c r="D1428">
        <f t="shared" si="50"/>
        <v>107374.74</v>
      </c>
    </row>
    <row r="1429" spans="1:4" x14ac:dyDescent="0.35">
      <c r="A1429" t="s">
        <v>1474</v>
      </c>
      <c r="B1429">
        <v>106691</v>
      </c>
      <c r="C1429">
        <f t="shared" si="51"/>
        <v>1219.68</v>
      </c>
      <c r="D1429">
        <f t="shared" si="50"/>
        <v>107910.68</v>
      </c>
    </row>
    <row r="1430" spans="1:4" x14ac:dyDescent="0.35">
      <c r="A1430" t="s">
        <v>1475</v>
      </c>
      <c r="B1430">
        <v>113236</v>
      </c>
      <c r="C1430">
        <f t="shared" si="51"/>
        <v>1522.02</v>
      </c>
      <c r="D1430">
        <f t="shared" si="50"/>
        <v>114758.02</v>
      </c>
    </row>
    <row r="1431" spans="1:4" x14ac:dyDescent="0.35">
      <c r="A1431" t="s">
        <v>1476</v>
      </c>
      <c r="B1431">
        <v>114041</v>
      </c>
      <c r="C1431">
        <f t="shared" si="51"/>
        <v>1027.32</v>
      </c>
      <c r="D1431">
        <f t="shared" si="50"/>
        <v>115068.32</v>
      </c>
    </row>
    <row r="1432" spans="1:4" x14ac:dyDescent="0.35">
      <c r="A1432" t="s">
        <v>1477</v>
      </c>
      <c r="B1432">
        <v>104973</v>
      </c>
      <c r="C1432">
        <f t="shared" si="51"/>
        <v>1149.24</v>
      </c>
      <c r="D1432">
        <f t="shared" si="50"/>
        <v>106122.24000000001</v>
      </c>
    </row>
    <row r="1433" spans="1:4" x14ac:dyDescent="0.35">
      <c r="A1433" t="s">
        <v>1478</v>
      </c>
      <c r="B1433">
        <v>125577</v>
      </c>
      <c r="C1433">
        <f t="shared" si="51"/>
        <v>1411.08</v>
      </c>
      <c r="D1433">
        <f t="shared" si="50"/>
        <v>126988.08</v>
      </c>
    </row>
    <row r="1434" spans="1:4" x14ac:dyDescent="0.35">
      <c r="A1434" t="s">
        <v>1479</v>
      </c>
      <c r="B1434">
        <v>124708</v>
      </c>
      <c r="C1434">
        <f t="shared" si="51"/>
        <v>880.26</v>
      </c>
      <c r="D1434">
        <f t="shared" si="50"/>
        <v>125588.26</v>
      </c>
    </row>
    <row r="1435" spans="1:4" x14ac:dyDescent="0.35">
      <c r="A1435" t="s">
        <v>1480</v>
      </c>
      <c r="B1435">
        <v>104360</v>
      </c>
      <c r="C1435">
        <f t="shared" si="51"/>
        <v>1513.98</v>
      </c>
      <c r="D1435">
        <f t="shared" si="50"/>
        <v>105873.98</v>
      </c>
    </row>
    <row r="1436" spans="1:4" x14ac:dyDescent="0.35">
      <c r="A1436" t="s">
        <v>1481</v>
      </c>
      <c r="B1436">
        <v>108632</v>
      </c>
      <c r="C1436">
        <f t="shared" si="51"/>
        <v>932.76</v>
      </c>
      <c r="D1436">
        <f t="shared" si="50"/>
        <v>109564.76</v>
      </c>
    </row>
    <row r="1437" spans="1:4" x14ac:dyDescent="0.35">
      <c r="A1437" t="s">
        <v>1482</v>
      </c>
      <c r="B1437">
        <v>114467</v>
      </c>
      <c r="C1437">
        <f t="shared" si="51"/>
        <v>1584.06</v>
      </c>
      <c r="D1437">
        <f t="shared" si="50"/>
        <v>116051.06</v>
      </c>
    </row>
    <row r="1438" spans="1:4" x14ac:dyDescent="0.35">
      <c r="A1438" t="s">
        <v>1483</v>
      </c>
      <c r="B1438">
        <v>107690</v>
      </c>
      <c r="C1438">
        <f t="shared" si="51"/>
        <v>953.16</v>
      </c>
      <c r="D1438">
        <f t="shared" si="50"/>
        <v>108643.16</v>
      </c>
    </row>
    <row r="1439" spans="1:4" x14ac:dyDescent="0.35">
      <c r="A1439" t="s">
        <v>1484</v>
      </c>
      <c r="B1439">
        <v>104725</v>
      </c>
      <c r="C1439">
        <f t="shared" si="51"/>
        <v>1642.38</v>
      </c>
      <c r="D1439">
        <f t="shared" si="50"/>
        <v>106367.38</v>
      </c>
    </row>
    <row r="1440" spans="1:4" x14ac:dyDescent="0.35">
      <c r="A1440" t="s">
        <v>1485</v>
      </c>
      <c r="B1440">
        <v>123064</v>
      </c>
      <c r="C1440">
        <f t="shared" si="51"/>
        <v>1476.78</v>
      </c>
      <c r="D1440">
        <f t="shared" si="50"/>
        <v>124540.78</v>
      </c>
    </row>
    <row r="1441" spans="1:4" x14ac:dyDescent="0.35">
      <c r="A1441" t="s">
        <v>1486</v>
      </c>
      <c r="B1441">
        <v>104572</v>
      </c>
      <c r="C1441">
        <f t="shared" si="51"/>
        <v>1142.3399999999999</v>
      </c>
      <c r="D1441">
        <f t="shared" si="50"/>
        <v>105714.34</v>
      </c>
    </row>
    <row r="1442" spans="1:4" x14ac:dyDescent="0.35">
      <c r="A1442" t="s">
        <v>1487</v>
      </c>
      <c r="B1442">
        <v>105539</v>
      </c>
      <c r="C1442">
        <f t="shared" si="51"/>
        <v>1539.72</v>
      </c>
      <c r="D1442">
        <f t="shared" si="50"/>
        <v>107078.72</v>
      </c>
    </row>
    <row r="1443" spans="1:4" x14ac:dyDescent="0.35">
      <c r="A1443" t="s">
        <v>1488</v>
      </c>
      <c r="B1443">
        <v>125293</v>
      </c>
      <c r="C1443">
        <f t="shared" si="51"/>
        <v>972.12</v>
      </c>
      <c r="D1443">
        <f t="shared" si="50"/>
        <v>126265.12</v>
      </c>
    </row>
    <row r="1444" spans="1:4" x14ac:dyDescent="0.35">
      <c r="A1444" t="s">
        <v>1489</v>
      </c>
      <c r="B1444">
        <v>108700</v>
      </c>
      <c r="C1444">
        <f t="shared" si="51"/>
        <v>1030.02</v>
      </c>
      <c r="D1444">
        <f t="shared" si="50"/>
        <v>109730.02</v>
      </c>
    </row>
    <row r="1445" spans="1:4" x14ac:dyDescent="0.35">
      <c r="A1445" t="s">
        <v>1490</v>
      </c>
      <c r="B1445">
        <v>113248</v>
      </c>
      <c r="C1445">
        <f t="shared" si="51"/>
        <v>931.8</v>
      </c>
      <c r="D1445">
        <f t="shared" si="50"/>
        <v>114179.8</v>
      </c>
    </row>
    <row r="1446" spans="1:4" x14ac:dyDescent="0.35">
      <c r="A1446" t="s">
        <v>1491</v>
      </c>
      <c r="B1446">
        <v>106660</v>
      </c>
      <c r="C1446">
        <f t="shared" si="51"/>
        <v>908.16</v>
      </c>
      <c r="D1446">
        <f t="shared" si="50"/>
        <v>107568.16</v>
      </c>
    </row>
    <row r="1447" spans="1:4" x14ac:dyDescent="0.35">
      <c r="A1447" t="s">
        <v>1492</v>
      </c>
      <c r="B1447">
        <v>113168</v>
      </c>
      <c r="C1447">
        <f t="shared" si="51"/>
        <v>859.02</v>
      </c>
      <c r="D1447">
        <f t="shared" si="50"/>
        <v>114027.02</v>
      </c>
    </row>
    <row r="1448" spans="1:4" x14ac:dyDescent="0.35">
      <c r="A1448" t="s">
        <v>1493</v>
      </c>
      <c r="B1448">
        <v>109677</v>
      </c>
      <c r="C1448">
        <f t="shared" si="51"/>
        <v>1195.44</v>
      </c>
      <c r="D1448">
        <f t="shared" si="50"/>
        <v>110872.44</v>
      </c>
    </row>
    <row r="1449" spans="1:4" x14ac:dyDescent="0.35">
      <c r="A1449" t="s">
        <v>1494</v>
      </c>
      <c r="B1449">
        <v>124786</v>
      </c>
      <c r="C1449">
        <f t="shared" si="51"/>
        <v>922.92</v>
      </c>
      <c r="D1449">
        <f t="shared" si="50"/>
        <v>125708.92</v>
      </c>
    </row>
    <row r="1450" spans="1:4" x14ac:dyDescent="0.35">
      <c r="A1450" t="s">
        <v>1495</v>
      </c>
      <c r="B1450">
        <v>105493</v>
      </c>
      <c r="C1450">
        <f t="shared" si="51"/>
        <v>1266</v>
      </c>
      <c r="D1450">
        <f t="shared" si="50"/>
        <v>106759</v>
      </c>
    </row>
    <row r="1451" spans="1:4" x14ac:dyDescent="0.35">
      <c r="A1451" t="s">
        <v>1496</v>
      </c>
      <c r="B1451">
        <v>114730</v>
      </c>
      <c r="C1451">
        <f t="shared" si="51"/>
        <v>808.56</v>
      </c>
      <c r="D1451">
        <f t="shared" si="50"/>
        <v>115538.56</v>
      </c>
    </row>
    <row r="1452" spans="1:4" x14ac:dyDescent="0.35">
      <c r="A1452" t="s">
        <v>1497</v>
      </c>
      <c r="B1452">
        <v>108347</v>
      </c>
      <c r="C1452">
        <f t="shared" si="51"/>
        <v>1414.2</v>
      </c>
      <c r="D1452">
        <f t="shared" si="50"/>
        <v>109761.2</v>
      </c>
    </row>
    <row r="1453" spans="1:4" x14ac:dyDescent="0.35">
      <c r="A1453" t="s">
        <v>1498</v>
      </c>
      <c r="B1453">
        <v>124982</v>
      </c>
      <c r="C1453">
        <f t="shared" si="51"/>
        <v>1439.94</v>
      </c>
      <c r="D1453">
        <f t="shared" si="50"/>
        <v>126421.94</v>
      </c>
    </row>
    <row r="1454" spans="1:4" x14ac:dyDescent="0.35">
      <c r="A1454" t="s">
        <v>1499</v>
      </c>
      <c r="B1454">
        <v>115310</v>
      </c>
      <c r="C1454">
        <f t="shared" si="51"/>
        <v>1551.48</v>
      </c>
      <c r="D1454">
        <f t="shared" si="50"/>
        <v>116861.48</v>
      </c>
    </row>
    <row r="1455" spans="1:4" x14ac:dyDescent="0.35">
      <c r="A1455" t="s">
        <v>1500</v>
      </c>
      <c r="B1455">
        <v>113480</v>
      </c>
      <c r="C1455">
        <f t="shared" si="51"/>
        <v>1104.06</v>
      </c>
      <c r="D1455">
        <f t="shared" si="50"/>
        <v>114584.06</v>
      </c>
    </row>
    <row r="1456" spans="1:4" x14ac:dyDescent="0.35">
      <c r="A1456" t="s">
        <v>1501</v>
      </c>
      <c r="B1456">
        <v>123409</v>
      </c>
      <c r="C1456">
        <f t="shared" si="51"/>
        <v>1180.5</v>
      </c>
      <c r="D1456">
        <f t="shared" si="50"/>
        <v>124589.5</v>
      </c>
    </row>
    <row r="1457" spans="1:4" x14ac:dyDescent="0.35">
      <c r="A1457" t="s">
        <v>1502</v>
      </c>
      <c r="B1457">
        <v>104924</v>
      </c>
      <c r="C1457">
        <f t="shared" si="51"/>
        <v>1105.1400000000001</v>
      </c>
      <c r="D1457">
        <f t="shared" si="50"/>
        <v>106029.14</v>
      </c>
    </row>
    <row r="1458" spans="1:4" x14ac:dyDescent="0.35">
      <c r="A1458" t="s">
        <v>1503</v>
      </c>
      <c r="B1458">
        <v>109480</v>
      </c>
      <c r="C1458">
        <f t="shared" si="51"/>
        <v>825</v>
      </c>
      <c r="D1458">
        <f t="shared" si="50"/>
        <v>110305</v>
      </c>
    </row>
    <row r="1459" spans="1:4" x14ac:dyDescent="0.35">
      <c r="A1459" t="s">
        <v>1504</v>
      </c>
      <c r="B1459">
        <v>113153</v>
      </c>
      <c r="C1459">
        <f t="shared" si="51"/>
        <v>1006.92</v>
      </c>
      <c r="D1459">
        <f t="shared" si="50"/>
        <v>114159.92</v>
      </c>
    </row>
    <row r="1460" spans="1:4" x14ac:dyDescent="0.35">
      <c r="A1460" t="s">
        <v>1505</v>
      </c>
      <c r="B1460">
        <v>109666</v>
      </c>
      <c r="C1460">
        <f t="shared" si="51"/>
        <v>1005.84</v>
      </c>
      <c r="D1460">
        <f t="shared" si="50"/>
        <v>110671.84</v>
      </c>
    </row>
    <row r="1461" spans="1:4" x14ac:dyDescent="0.35">
      <c r="A1461" t="s">
        <v>1506</v>
      </c>
      <c r="B1461">
        <v>105135</v>
      </c>
      <c r="C1461">
        <f t="shared" si="51"/>
        <v>943.56</v>
      </c>
      <c r="D1461">
        <f t="shared" si="50"/>
        <v>106078.56</v>
      </c>
    </row>
    <row r="1462" spans="1:4" x14ac:dyDescent="0.35">
      <c r="A1462" t="s">
        <v>1507</v>
      </c>
      <c r="B1462">
        <v>107864</v>
      </c>
      <c r="C1462">
        <f t="shared" si="51"/>
        <v>1488.48</v>
      </c>
      <c r="D1462">
        <f t="shared" si="50"/>
        <v>109352.48</v>
      </c>
    </row>
    <row r="1463" spans="1:4" x14ac:dyDescent="0.35">
      <c r="A1463" t="s">
        <v>1508</v>
      </c>
      <c r="B1463">
        <v>114288</v>
      </c>
      <c r="C1463">
        <f t="shared" si="51"/>
        <v>1115.6400000000001</v>
      </c>
      <c r="D1463">
        <f t="shared" si="50"/>
        <v>115403.64</v>
      </c>
    </row>
    <row r="1464" spans="1:4" x14ac:dyDescent="0.35">
      <c r="A1464" t="s">
        <v>1509</v>
      </c>
      <c r="B1464">
        <v>125414</v>
      </c>
      <c r="C1464">
        <f t="shared" si="51"/>
        <v>868.62</v>
      </c>
      <c r="D1464">
        <f t="shared" si="50"/>
        <v>126282.62</v>
      </c>
    </row>
    <row r="1465" spans="1:4" x14ac:dyDescent="0.35">
      <c r="A1465" t="s">
        <v>1510</v>
      </c>
      <c r="B1465">
        <v>125144</v>
      </c>
      <c r="C1465">
        <f t="shared" si="51"/>
        <v>1208.8800000000001</v>
      </c>
      <c r="D1465">
        <f t="shared" si="50"/>
        <v>126352.88</v>
      </c>
    </row>
    <row r="1466" spans="1:4" x14ac:dyDescent="0.35">
      <c r="A1466" t="s">
        <v>1511</v>
      </c>
      <c r="B1466">
        <v>115178</v>
      </c>
      <c r="C1466">
        <f t="shared" si="51"/>
        <v>898.44</v>
      </c>
      <c r="D1466">
        <f t="shared" si="50"/>
        <v>116076.44</v>
      </c>
    </row>
    <row r="1467" spans="1:4" x14ac:dyDescent="0.35">
      <c r="A1467" t="s">
        <v>1512</v>
      </c>
      <c r="B1467">
        <v>123409</v>
      </c>
      <c r="C1467">
        <f t="shared" si="51"/>
        <v>837.84</v>
      </c>
      <c r="D1467">
        <f t="shared" si="50"/>
        <v>124246.84</v>
      </c>
    </row>
    <row r="1468" spans="1:4" x14ac:dyDescent="0.35">
      <c r="A1468" t="s">
        <v>1513</v>
      </c>
      <c r="B1468">
        <v>124039</v>
      </c>
      <c r="C1468">
        <f t="shared" si="51"/>
        <v>863.1</v>
      </c>
      <c r="D1468">
        <f t="shared" si="50"/>
        <v>124902.1</v>
      </c>
    </row>
    <row r="1469" spans="1:4" x14ac:dyDescent="0.35">
      <c r="A1469" t="s">
        <v>1514</v>
      </c>
      <c r="B1469">
        <v>113183</v>
      </c>
      <c r="C1469">
        <f t="shared" si="51"/>
        <v>822.42</v>
      </c>
      <c r="D1469">
        <f t="shared" si="50"/>
        <v>114005.42</v>
      </c>
    </row>
    <row r="1470" spans="1:4" x14ac:dyDescent="0.35">
      <c r="A1470" t="s">
        <v>1515</v>
      </c>
      <c r="B1470">
        <v>105562</v>
      </c>
      <c r="C1470">
        <f t="shared" si="51"/>
        <v>904.5</v>
      </c>
      <c r="D1470">
        <f t="shared" si="50"/>
        <v>106466.5</v>
      </c>
    </row>
    <row r="1471" spans="1:4" x14ac:dyDescent="0.35">
      <c r="A1471" t="s">
        <v>1516</v>
      </c>
      <c r="B1471">
        <v>113582</v>
      </c>
      <c r="C1471">
        <f t="shared" si="51"/>
        <v>1519.02</v>
      </c>
      <c r="D1471">
        <f t="shared" si="50"/>
        <v>115101.02</v>
      </c>
    </row>
    <row r="1472" spans="1:4" x14ac:dyDescent="0.35">
      <c r="A1472" t="s">
        <v>1517</v>
      </c>
      <c r="B1472">
        <v>106409</v>
      </c>
      <c r="C1472">
        <f t="shared" si="51"/>
        <v>1650.3</v>
      </c>
      <c r="D1472">
        <f t="shared" si="50"/>
        <v>108059.3</v>
      </c>
    </row>
    <row r="1473" spans="1:4" x14ac:dyDescent="0.35">
      <c r="A1473" t="s">
        <v>1518</v>
      </c>
      <c r="B1473">
        <v>109154</v>
      </c>
      <c r="C1473">
        <f t="shared" si="51"/>
        <v>844.26</v>
      </c>
      <c r="D1473">
        <f t="shared" si="50"/>
        <v>109998.26</v>
      </c>
    </row>
    <row r="1474" spans="1:4" x14ac:dyDescent="0.35">
      <c r="A1474" t="s">
        <v>1519</v>
      </c>
      <c r="B1474">
        <v>125782</v>
      </c>
      <c r="C1474">
        <f t="shared" si="51"/>
        <v>855.96</v>
      </c>
      <c r="D1474">
        <f t="shared" si="50"/>
        <v>126637.96</v>
      </c>
    </row>
    <row r="1475" spans="1:4" x14ac:dyDescent="0.35">
      <c r="A1475" t="s">
        <v>1520</v>
      </c>
      <c r="B1475">
        <v>123181</v>
      </c>
      <c r="C1475">
        <f t="shared" si="51"/>
        <v>1259.1600000000001</v>
      </c>
      <c r="D1475">
        <f t="shared" ref="D1475:D1538" si="52">B1475+C1475</f>
        <v>124440.16</v>
      </c>
    </row>
    <row r="1476" spans="1:4" x14ac:dyDescent="0.35">
      <c r="A1476" t="s">
        <v>1521</v>
      </c>
      <c r="B1476">
        <v>108233</v>
      </c>
      <c r="C1476">
        <f t="shared" si="51"/>
        <v>1124.7</v>
      </c>
      <c r="D1476">
        <f t="shared" si="52"/>
        <v>109357.7</v>
      </c>
    </row>
    <row r="1477" spans="1:4" x14ac:dyDescent="0.35">
      <c r="A1477" t="s">
        <v>1522</v>
      </c>
      <c r="B1477">
        <v>124582</v>
      </c>
      <c r="C1477">
        <f t="shared" ref="C1477:C1540" si="53">B586*6/100</f>
        <v>1194.72</v>
      </c>
      <c r="D1477">
        <f t="shared" si="52"/>
        <v>125776.72</v>
      </c>
    </row>
    <row r="1478" spans="1:4" x14ac:dyDescent="0.35">
      <c r="A1478" t="s">
        <v>1523</v>
      </c>
      <c r="B1478">
        <v>109406</v>
      </c>
      <c r="C1478">
        <f t="shared" si="53"/>
        <v>1235.58</v>
      </c>
      <c r="D1478">
        <f t="shared" si="52"/>
        <v>110641.58</v>
      </c>
    </row>
    <row r="1479" spans="1:4" x14ac:dyDescent="0.35">
      <c r="A1479" t="s">
        <v>1524</v>
      </c>
      <c r="B1479">
        <v>113746</v>
      </c>
      <c r="C1479">
        <f t="shared" si="53"/>
        <v>1270.44</v>
      </c>
      <c r="D1479">
        <f t="shared" si="52"/>
        <v>115016.44</v>
      </c>
    </row>
    <row r="1480" spans="1:4" x14ac:dyDescent="0.35">
      <c r="A1480" t="s">
        <v>1525</v>
      </c>
      <c r="B1480">
        <v>125476</v>
      </c>
      <c r="C1480">
        <f t="shared" si="53"/>
        <v>991.74</v>
      </c>
      <c r="D1480">
        <f t="shared" si="52"/>
        <v>126467.74</v>
      </c>
    </row>
    <row r="1481" spans="1:4" x14ac:dyDescent="0.35">
      <c r="A1481" t="s">
        <v>1526</v>
      </c>
      <c r="B1481">
        <v>104302</v>
      </c>
      <c r="C1481">
        <f t="shared" si="53"/>
        <v>827.28</v>
      </c>
      <c r="D1481">
        <f t="shared" si="52"/>
        <v>105129.28</v>
      </c>
    </row>
    <row r="1482" spans="1:4" x14ac:dyDescent="0.35">
      <c r="A1482" t="s">
        <v>1527</v>
      </c>
      <c r="B1482">
        <v>124583</v>
      </c>
      <c r="C1482">
        <f t="shared" si="53"/>
        <v>1579.38</v>
      </c>
      <c r="D1482">
        <f t="shared" si="52"/>
        <v>126162.38</v>
      </c>
    </row>
    <row r="1483" spans="1:4" x14ac:dyDescent="0.35">
      <c r="A1483" t="s">
        <v>1528</v>
      </c>
      <c r="B1483">
        <v>106316</v>
      </c>
      <c r="C1483">
        <f t="shared" si="53"/>
        <v>1132.68</v>
      </c>
      <c r="D1483">
        <f t="shared" si="52"/>
        <v>107448.68</v>
      </c>
    </row>
    <row r="1484" spans="1:4" x14ac:dyDescent="0.35">
      <c r="A1484" t="s">
        <v>1529</v>
      </c>
      <c r="B1484">
        <v>115225</v>
      </c>
      <c r="C1484">
        <f t="shared" si="53"/>
        <v>1006.92</v>
      </c>
      <c r="D1484">
        <f t="shared" si="52"/>
        <v>116231.92</v>
      </c>
    </row>
    <row r="1485" spans="1:4" x14ac:dyDescent="0.35">
      <c r="A1485" t="s">
        <v>1530</v>
      </c>
      <c r="B1485">
        <v>124433</v>
      </c>
      <c r="C1485">
        <f t="shared" si="53"/>
        <v>975.36</v>
      </c>
      <c r="D1485">
        <f t="shared" si="52"/>
        <v>125408.36</v>
      </c>
    </row>
    <row r="1486" spans="1:4" x14ac:dyDescent="0.35">
      <c r="A1486" t="s">
        <v>1531</v>
      </c>
      <c r="B1486">
        <v>108448</v>
      </c>
      <c r="C1486">
        <f t="shared" si="53"/>
        <v>739.14</v>
      </c>
      <c r="D1486">
        <f t="shared" si="52"/>
        <v>109187.14</v>
      </c>
    </row>
    <row r="1487" spans="1:4" x14ac:dyDescent="0.35">
      <c r="A1487" t="s">
        <v>1532</v>
      </c>
      <c r="B1487">
        <v>105586</v>
      </c>
      <c r="C1487">
        <f t="shared" si="53"/>
        <v>931.2</v>
      </c>
      <c r="D1487">
        <f t="shared" si="52"/>
        <v>106517.2</v>
      </c>
    </row>
    <row r="1488" spans="1:4" x14ac:dyDescent="0.35">
      <c r="A1488" t="s">
        <v>1533</v>
      </c>
      <c r="B1488">
        <v>109746</v>
      </c>
      <c r="C1488">
        <f t="shared" si="53"/>
        <v>1199.1600000000001</v>
      </c>
      <c r="D1488">
        <f t="shared" si="52"/>
        <v>110945.16</v>
      </c>
    </row>
    <row r="1489" spans="1:4" x14ac:dyDescent="0.35">
      <c r="A1489" t="s">
        <v>1534</v>
      </c>
      <c r="B1489">
        <v>108368</v>
      </c>
      <c r="C1489">
        <f t="shared" si="53"/>
        <v>1614.66</v>
      </c>
      <c r="D1489">
        <f t="shared" si="52"/>
        <v>109982.66</v>
      </c>
    </row>
    <row r="1490" spans="1:4" x14ac:dyDescent="0.35">
      <c r="A1490" t="s">
        <v>1535</v>
      </c>
      <c r="B1490">
        <v>125275</v>
      </c>
      <c r="C1490">
        <f t="shared" si="53"/>
        <v>974.94</v>
      </c>
      <c r="D1490">
        <f t="shared" si="52"/>
        <v>126249.94</v>
      </c>
    </row>
    <row r="1491" spans="1:4" x14ac:dyDescent="0.35">
      <c r="A1491" t="s">
        <v>1536</v>
      </c>
      <c r="B1491">
        <v>116145</v>
      </c>
      <c r="C1491">
        <f t="shared" si="53"/>
        <v>1621.92</v>
      </c>
      <c r="D1491">
        <f t="shared" si="52"/>
        <v>117766.92</v>
      </c>
    </row>
    <row r="1492" spans="1:4" x14ac:dyDescent="0.35">
      <c r="A1492" t="s">
        <v>1537</v>
      </c>
      <c r="B1492">
        <v>125818</v>
      </c>
      <c r="C1492">
        <f t="shared" si="53"/>
        <v>840.84</v>
      </c>
      <c r="D1492">
        <f t="shared" si="52"/>
        <v>126658.84</v>
      </c>
    </row>
    <row r="1493" spans="1:4" x14ac:dyDescent="0.35">
      <c r="A1493" t="s">
        <v>1538</v>
      </c>
      <c r="B1493">
        <v>113322</v>
      </c>
      <c r="C1493">
        <f t="shared" si="53"/>
        <v>915.54</v>
      </c>
      <c r="D1493">
        <f t="shared" si="52"/>
        <v>114237.54</v>
      </c>
    </row>
    <row r="1494" spans="1:4" x14ac:dyDescent="0.35">
      <c r="A1494" t="s">
        <v>1539</v>
      </c>
      <c r="B1494">
        <v>108774</v>
      </c>
      <c r="C1494">
        <f t="shared" si="53"/>
        <v>768.24</v>
      </c>
      <c r="D1494">
        <f t="shared" si="52"/>
        <v>109542.24</v>
      </c>
    </row>
    <row r="1495" spans="1:4" x14ac:dyDescent="0.35">
      <c r="A1495" t="s">
        <v>1540</v>
      </c>
      <c r="B1495">
        <v>113208</v>
      </c>
      <c r="C1495">
        <f t="shared" si="53"/>
        <v>1477.92</v>
      </c>
      <c r="D1495">
        <f t="shared" si="52"/>
        <v>114685.92</v>
      </c>
    </row>
    <row r="1496" spans="1:4" x14ac:dyDescent="0.35">
      <c r="A1496" t="s">
        <v>1541</v>
      </c>
      <c r="B1496">
        <v>123852</v>
      </c>
      <c r="C1496">
        <f t="shared" si="53"/>
        <v>1058.94</v>
      </c>
      <c r="D1496">
        <f t="shared" si="52"/>
        <v>124910.94</v>
      </c>
    </row>
    <row r="1497" spans="1:4" x14ac:dyDescent="0.35">
      <c r="A1497" t="s">
        <v>1542</v>
      </c>
      <c r="B1497">
        <v>106097</v>
      </c>
      <c r="C1497">
        <f t="shared" si="53"/>
        <v>1136.1600000000001</v>
      </c>
      <c r="D1497">
        <f t="shared" si="52"/>
        <v>107233.16</v>
      </c>
    </row>
    <row r="1498" spans="1:4" x14ac:dyDescent="0.35">
      <c r="A1498" t="s">
        <v>1543</v>
      </c>
      <c r="B1498">
        <v>105378</v>
      </c>
      <c r="C1498">
        <f t="shared" si="53"/>
        <v>1073.3399999999999</v>
      </c>
      <c r="D1498">
        <f t="shared" si="52"/>
        <v>106451.34</v>
      </c>
    </row>
    <row r="1499" spans="1:4" x14ac:dyDescent="0.35">
      <c r="A1499" t="s">
        <v>1544</v>
      </c>
      <c r="B1499">
        <v>105600</v>
      </c>
      <c r="C1499">
        <f t="shared" si="53"/>
        <v>1536.18</v>
      </c>
      <c r="D1499">
        <f t="shared" si="52"/>
        <v>107136.18</v>
      </c>
    </row>
    <row r="1500" spans="1:4" x14ac:dyDescent="0.35">
      <c r="A1500" t="s">
        <v>1545</v>
      </c>
      <c r="B1500">
        <v>125096</v>
      </c>
      <c r="C1500">
        <f t="shared" si="53"/>
        <v>1445.04</v>
      </c>
      <c r="D1500">
        <f t="shared" si="52"/>
        <v>126541.04</v>
      </c>
    </row>
    <row r="1501" spans="1:4" x14ac:dyDescent="0.35">
      <c r="A1501" t="s">
        <v>1546</v>
      </c>
      <c r="B1501">
        <v>123712</v>
      </c>
      <c r="C1501">
        <f t="shared" si="53"/>
        <v>1282.68</v>
      </c>
      <c r="D1501">
        <f t="shared" si="52"/>
        <v>124994.68</v>
      </c>
    </row>
    <row r="1502" spans="1:4" x14ac:dyDescent="0.35">
      <c r="A1502" t="s">
        <v>1547</v>
      </c>
      <c r="B1502">
        <v>106763</v>
      </c>
      <c r="C1502">
        <f t="shared" si="53"/>
        <v>1215.9000000000001</v>
      </c>
      <c r="D1502">
        <f t="shared" si="52"/>
        <v>107978.9</v>
      </c>
    </row>
    <row r="1503" spans="1:4" x14ac:dyDescent="0.35">
      <c r="A1503" t="s">
        <v>1548</v>
      </c>
      <c r="B1503">
        <v>105452</v>
      </c>
      <c r="C1503">
        <f t="shared" si="53"/>
        <v>729.18</v>
      </c>
      <c r="D1503">
        <f t="shared" si="52"/>
        <v>106181.18</v>
      </c>
    </row>
    <row r="1504" spans="1:4" x14ac:dyDescent="0.35">
      <c r="A1504" t="s">
        <v>1549</v>
      </c>
      <c r="B1504">
        <v>108005</v>
      </c>
      <c r="C1504">
        <f t="shared" si="53"/>
        <v>1139.0999999999999</v>
      </c>
      <c r="D1504">
        <f t="shared" si="52"/>
        <v>109144.1</v>
      </c>
    </row>
    <row r="1505" spans="1:4" x14ac:dyDescent="0.35">
      <c r="A1505" t="s">
        <v>1550</v>
      </c>
      <c r="B1505">
        <v>109492</v>
      </c>
      <c r="C1505">
        <f t="shared" si="53"/>
        <v>849.3</v>
      </c>
      <c r="D1505">
        <f t="shared" si="52"/>
        <v>110341.3</v>
      </c>
    </row>
    <row r="1506" spans="1:4" x14ac:dyDescent="0.35">
      <c r="A1506" t="s">
        <v>1551</v>
      </c>
      <c r="B1506">
        <v>104794</v>
      </c>
      <c r="C1506">
        <f t="shared" si="53"/>
        <v>1646.7</v>
      </c>
      <c r="D1506">
        <f t="shared" si="52"/>
        <v>106440.7</v>
      </c>
    </row>
    <row r="1507" spans="1:4" x14ac:dyDescent="0.35">
      <c r="A1507" t="s">
        <v>1552</v>
      </c>
      <c r="B1507">
        <v>106165</v>
      </c>
      <c r="C1507">
        <f t="shared" si="53"/>
        <v>1498.98</v>
      </c>
      <c r="D1507">
        <f t="shared" si="52"/>
        <v>107663.98</v>
      </c>
    </row>
    <row r="1508" spans="1:4" x14ac:dyDescent="0.35">
      <c r="A1508" t="s">
        <v>1553</v>
      </c>
      <c r="B1508">
        <v>106357</v>
      </c>
      <c r="C1508">
        <f t="shared" si="53"/>
        <v>1117.92</v>
      </c>
      <c r="D1508">
        <f t="shared" si="52"/>
        <v>107474.92</v>
      </c>
    </row>
    <row r="1509" spans="1:4" x14ac:dyDescent="0.35">
      <c r="A1509" t="s">
        <v>1554</v>
      </c>
      <c r="B1509">
        <v>108311</v>
      </c>
      <c r="C1509">
        <f t="shared" si="53"/>
        <v>1530.78</v>
      </c>
      <c r="D1509">
        <f t="shared" si="52"/>
        <v>109841.78</v>
      </c>
    </row>
    <row r="1510" spans="1:4" x14ac:dyDescent="0.35">
      <c r="A1510" t="s">
        <v>1555</v>
      </c>
      <c r="B1510">
        <v>105275</v>
      </c>
      <c r="C1510">
        <f t="shared" si="53"/>
        <v>859.38</v>
      </c>
      <c r="D1510">
        <f t="shared" si="52"/>
        <v>106134.38</v>
      </c>
    </row>
    <row r="1511" spans="1:4" x14ac:dyDescent="0.35">
      <c r="A1511" t="s">
        <v>1556</v>
      </c>
      <c r="B1511">
        <v>105090</v>
      </c>
      <c r="C1511">
        <f t="shared" si="53"/>
        <v>867.48</v>
      </c>
      <c r="D1511">
        <f t="shared" si="52"/>
        <v>105957.48</v>
      </c>
    </row>
    <row r="1512" spans="1:4" x14ac:dyDescent="0.35">
      <c r="A1512" t="s">
        <v>1557</v>
      </c>
      <c r="B1512">
        <v>105429</v>
      </c>
      <c r="C1512">
        <f t="shared" si="53"/>
        <v>814.8</v>
      </c>
      <c r="D1512">
        <f t="shared" si="52"/>
        <v>106243.8</v>
      </c>
    </row>
    <row r="1513" spans="1:4" x14ac:dyDescent="0.35">
      <c r="A1513" t="s">
        <v>1558</v>
      </c>
      <c r="B1513">
        <v>115719</v>
      </c>
      <c r="C1513">
        <f t="shared" si="53"/>
        <v>1614.96</v>
      </c>
      <c r="D1513">
        <f t="shared" si="52"/>
        <v>117333.96</v>
      </c>
    </row>
    <row r="1514" spans="1:4" x14ac:dyDescent="0.35">
      <c r="A1514" t="s">
        <v>1559</v>
      </c>
      <c r="B1514">
        <v>114354</v>
      </c>
      <c r="C1514">
        <f t="shared" si="53"/>
        <v>1185.48</v>
      </c>
      <c r="D1514">
        <f t="shared" si="52"/>
        <v>115539.48</v>
      </c>
    </row>
    <row r="1515" spans="1:4" x14ac:dyDescent="0.35">
      <c r="A1515" t="s">
        <v>1560</v>
      </c>
      <c r="B1515">
        <v>124120</v>
      </c>
      <c r="C1515">
        <f t="shared" si="53"/>
        <v>1568.16</v>
      </c>
      <c r="D1515">
        <f t="shared" si="52"/>
        <v>125688.16</v>
      </c>
    </row>
    <row r="1516" spans="1:4" x14ac:dyDescent="0.35">
      <c r="A1516" t="s">
        <v>1561</v>
      </c>
      <c r="B1516">
        <v>108385</v>
      </c>
      <c r="C1516">
        <f t="shared" si="53"/>
        <v>902.1</v>
      </c>
      <c r="D1516">
        <f t="shared" si="52"/>
        <v>109287.1</v>
      </c>
    </row>
    <row r="1517" spans="1:4" x14ac:dyDescent="0.35">
      <c r="A1517" t="s">
        <v>1562</v>
      </c>
      <c r="B1517">
        <v>115441</v>
      </c>
      <c r="C1517">
        <f t="shared" si="53"/>
        <v>1006.26</v>
      </c>
      <c r="D1517">
        <f t="shared" si="52"/>
        <v>116447.26</v>
      </c>
    </row>
    <row r="1518" spans="1:4" x14ac:dyDescent="0.35">
      <c r="A1518" t="s">
        <v>1563</v>
      </c>
      <c r="B1518">
        <v>124097</v>
      </c>
      <c r="C1518">
        <f t="shared" si="53"/>
        <v>934.32</v>
      </c>
      <c r="D1518">
        <f t="shared" si="52"/>
        <v>125031.32</v>
      </c>
    </row>
    <row r="1519" spans="1:4" x14ac:dyDescent="0.35">
      <c r="A1519" t="s">
        <v>1564</v>
      </c>
      <c r="B1519">
        <v>123529</v>
      </c>
      <c r="C1519">
        <f t="shared" si="53"/>
        <v>1126.56</v>
      </c>
      <c r="D1519">
        <f t="shared" si="52"/>
        <v>124655.56</v>
      </c>
    </row>
    <row r="1520" spans="1:4" x14ac:dyDescent="0.35">
      <c r="A1520" t="s">
        <v>1565</v>
      </c>
      <c r="B1520">
        <v>114254</v>
      </c>
      <c r="C1520">
        <f t="shared" si="53"/>
        <v>942.66</v>
      </c>
      <c r="D1520">
        <f t="shared" si="52"/>
        <v>115196.66</v>
      </c>
    </row>
    <row r="1521" spans="1:4" x14ac:dyDescent="0.35">
      <c r="A1521" t="s">
        <v>1566</v>
      </c>
      <c r="B1521">
        <v>113402</v>
      </c>
      <c r="C1521">
        <f t="shared" si="53"/>
        <v>1198.74</v>
      </c>
      <c r="D1521">
        <f t="shared" si="52"/>
        <v>114600.74</v>
      </c>
    </row>
    <row r="1522" spans="1:4" x14ac:dyDescent="0.35">
      <c r="A1522" t="s">
        <v>1567</v>
      </c>
      <c r="B1522">
        <v>105892</v>
      </c>
      <c r="C1522">
        <f t="shared" si="53"/>
        <v>878.22</v>
      </c>
      <c r="D1522">
        <f t="shared" si="52"/>
        <v>106770.22</v>
      </c>
    </row>
    <row r="1523" spans="1:4" x14ac:dyDescent="0.35">
      <c r="A1523" t="s">
        <v>1568</v>
      </c>
      <c r="B1523">
        <v>114981</v>
      </c>
      <c r="C1523">
        <f t="shared" si="53"/>
        <v>899.7</v>
      </c>
      <c r="D1523">
        <f t="shared" si="52"/>
        <v>115880.7</v>
      </c>
    </row>
    <row r="1524" spans="1:4" x14ac:dyDescent="0.35">
      <c r="A1524" t="s">
        <v>1569</v>
      </c>
      <c r="B1524">
        <v>115157</v>
      </c>
      <c r="C1524">
        <f t="shared" si="53"/>
        <v>886.86</v>
      </c>
      <c r="D1524">
        <f t="shared" si="52"/>
        <v>116043.86</v>
      </c>
    </row>
    <row r="1525" spans="1:4" x14ac:dyDescent="0.35">
      <c r="A1525" t="s">
        <v>1570</v>
      </c>
      <c r="B1525">
        <v>105367</v>
      </c>
      <c r="C1525">
        <f t="shared" si="53"/>
        <v>952.14</v>
      </c>
      <c r="D1525">
        <f t="shared" si="52"/>
        <v>106319.14</v>
      </c>
    </row>
    <row r="1526" spans="1:4" x14ac:dyDescent="0.35">
      <c r="A1526" t="s">
        <v>1571</v>
      </c>
      <c r="B1526">
        <v>108102</v>
      </c>
      <c r="C1526">
        <f t="shared" si="53"/>
        <v>887.82</v>
      </c>
      <c r="D1526">
        <f t="shared" si="52"/>
        <v>108989.82</v>
      </c>
    </row>
    <row r="1527" spans="1:4" x14ac:dyDescent="0.35">
      <c r="A1527" t="s">
        <v>1572</v>
      </c>
      <c r="B1527">
        <v>113837</v>
      </c>
      <c r="C1527">
        <f t="shared" si="53"/>
        <v>861.72</v>
      </c>
      <c r="D1527">
        <f t="shared" si="52"/>
        <v>114698.72</v>
      </c>
    </row>
    <row r="1528" spans="1:4" x14ac:dyDescent="0.35">
      <c r="A1528" t="s">
        <v>1573</v>
      </c>
      <c r="B1528">
        <v>104823</v>
      </c>
      <c r="C1528">
        <f t="shared" si="53"/>
        <v>1076.0999999999999</v>
      </c>
      <c r="D1528">
        <f t="shared" si="52"/>
        <v>105899.1</v>
      </c>
    </row>
    <row r="1529" spans="1:4" x14ac:dyDescent="0.35">
      <c r="A1529" t="s">
        <v>1574</v>
      </c>
      <c r="B1529">
        <v>105425</v>
      </c>
      <c r="C1529">
        <f t="shared" si="53"/>
        <v>1057.68</v>
      </c>
      <c r="D1529">
        <f t="shared" si="52"/>
        <v>106482.68</v>
      </c>
    </row>
    <row r="1530" spans="1:4" x14ac:dyDescent="0.35">
      <c r="A1530" t="s">
        <v>1575</v>
      </c>
      <c r="B1530">
        <v>113796</v>
      </c>
      <c r="C1530">
        <f t="shared" si="53"/>
        <v>1131.6600000000001</v>
      </c>
      <c r="D1530">
        <f t="shared" si="52"/>
        <v>114927.66</v>
      </c>
    </row>
    <row r="1531" spans="1:4" x14ac:dyDescent="0.35">
      <c r="A1531" t="s">
        <v>1576</v>
      </c>
      <c r="B1531">
        <v>105454</v>
      </c>
      <c r="C1531">
        <f t="shared" si="53"/>
        <v>1414.26</v>
      </c>
      <c r="D1531">
        <f t="shared" si="52"/>
        <v>106868.26</v>
      </c>
    </row>
    <row r="1532" spans="1:4" x14ac:dyDescent="0.35">
      <c r="A1532" t="s">
        <v>1577</v>
      </c>
      <c r="B1532">
        <v>105145</v>
      </c>
      <c r="C1532">
        <f t="shared" si="53"/>
        <v>1448.04</v>
      </c>
      <c r="D1532">
        <f t="shared" si="52"/>
        <v>106593.04</v>
      </c>
    </row>
    <row r="1533" spans="1:4" x14ac:dyDescent="0.35">
      <c r="A1533" t="s">
        <v>1578</v>
      </c>
      <c r="B1533">
        <v>115112</v>
      </c>
      <c r="C1533">
        <f t="shared" si="53"/>
        <v>1502.82</v>
      </c>
      <c r="D1533">
        <f t="shared" si="52"/>
        <v>116614.82</v>
      </c>
    </row>
    <row r="1534" spans="1:4" x14ac:dyDescent="0.35">
      <c r="A1534" t="s">
        <v>1579</v>
      </c>
      <c r="B1534">
        <v>105203</v>
      </c>
      <c r="C1534">
        <f t="shared" si="53"/>
        <v>1033.56</v>
      </c>
      <c r="D1534">
        <f t="shared" si="52"/>
        <v>106236.56</v>
      </c>
    </row>
    <row r="1535" spans="1:4" x14ac:dyDescent="0.35">
      <c r="A1535" t="s">
        <v>1580</v>
      </c>
      <c r="B1535">
        <v>107747</v>
      </c>
      <c r="C1535">
        <f t="shared" si="53"/>
        <v>1417.74</v>
      </c>
      <c r="D1535">
        <f t="shared" si="52"/>
        <v>109164.74</v>
      </c>
    </row>
    <row r="1536" spans="1:4" x14ac:dyDescent="0.35">
      <c r="A1536" t="s">
        <v>1581</v>
      </c>
      <c r="B1536">
        <v>105920</v>
      </c>
      <c r="C1536">
        <f t="shared" si="53"/>
        <v>1142.82</v>
      </c>
      <c r="D1536">
        <f t="shared" si="52"/>
        <v>107062.82</v>
      </c>
    </row>
    <row r="1537" spans="1:4" x14ac:dyDescent="0.35">
      <c r="A1537" t="s">
        <v>1582</v>
      </c>
      <c r="B1537">
        <v>123146</v>
      </c>
      <c r="C1537">
        <f t="shared" si="53"/>
        <v>1479</v>
      </c>
      <c r="D1537">
        <f t="shared" si="52"/>
        <v>124625</v>
      </c>
    </row>
    <row r="1538" spans="1:4" x14ac:dyDescent="0.35">
      <c r="A1538" t="s">
        <v>1583</v>
      </c>
      <c r="B1538">
        <v>124378</v>
      </c>
      <c r="C1538">
        <f t="shared" si="53"/>
        <v>1508.1</v>
      </c>
      <c r="D1538">
        <f t="shared" si="52"/>
        <v>125886.1</v>
      </c>
    </row>
    <row r="1539" spans="1:4" x14ac:dyDescent="0.35">
      <c r="A1539" t="s">
        <v>1584</v>
      </c>
      <c r="B1539">
        <v>123203</v>
      </c>
      <c r="C1539">
        <f t="shared" si="53"/>
        <v>994.44</v>
      </c>
      <c r="D1539">
        <f t="shared" ref="D1539:D1602" si="54">B1539+C1539</f>
        <v>124197.44</v>
      </c>
    </row>
    <row r="1540" spans="1:4" x14ac:dyDescent="0.35">
      <c r="A1540" t="s">
        <v>1585</v>
      </c>
      <c r="B1540">
        <v>108078</v>
      </c>
      <c r="C1540">
        <f t="shared" si="53"/>
        <v>986.76</v>
      </c>
      <c r="D1540">
        <f t="shared" si="54"/>
        <v>109064.76</v>
      </c>
    </row>
    <row r="1541" spans="1:4" x14ac:dyDescent="0.35">
      <c r="A1541" t="s">
        <v>1586</v>
      </c>
      <c r="B1541">
        <v>109783</v>
      </c>
      <c r="C1541">
        <f t="shared" ref="C1541:C1603" si="55">B650*6/100</f>
        <v>1092.18</v>
      </c>
      <c r="D1541">
        <f t="shared" si="54"/>
        <v>110875.18</v>
      </c>
    </row>
    <row r="1542" spans="1:4" x14ac:dyDescent="0.35">
      <c r="A1542" t="s">
        <v>1587</v>
      </c>
      <c r="B1542">
        <v>125080</v>
      </c>
      <c r="C1542">
        <f t="shared" si="55"/>
        <v>892.44</v>
      </c>
      <c r="D1542">
        <f t="shared" si="54"/>
        <v>125972.44</v>
      </c>
    </row>
    <row r="1543" spans="1:4" x14ac:dyDescent="0.35">
      <c r="A1543" t="s">
        <v>1588</v>
      </c>
      <c r="B1543">
        <v>124293</v>
      </c>
      <c r="C1543">
        <f t="shared" si="55"/>
        <v>881.1</v>
      </c>
      <c r="D1543">
        <f t="shared" si="54"/>
        <v>125174.1</v>
      </c>
    </row>
    <row r="1544" spans="1:4" x14ac:dyDescent="0.35">
      <c r="A1544" t="s">
        <v>1589</v>
      </c>
      <c r="B1544">
        <v>108811</v>
      </c>
      <c r="C1544">
        <f t="shared" si="55"/>
        <v>781.14</v>
      </c>
      <c r="D1544">
        <f t="shared" si="54"/>
        <v>109592.14</v>
      </c>
    </row>
    <row r="1545" spans="1:4" x14ac:dyDescent="0.35">
      <c r="A1545" t="s">
        <v>1590</v>
      </c>
      <c r="B1545">
        <v>108335</v>
      </c>
      <c r="C1545">
        <f t="shared" si="55"/>
        <v>862.92</v>
      </c>
      <c r="D1545">
        <f t="shared" si="54"/>
        <v>109197.92</v>
      </c>
    </row>
    <row r="1546" spans="1:4" x14ac:dyDescent="0.35">
      <c r="A1546" t="s">
        <v>1591</v>
      </c>
      <c r="B1546">
        <v>109434</v>
      </c>
      <c r="C1546">
        <f t="shared" si="55"/>
        <v>1449.54</v>
      </c>
      <c r="D1546">
        <f t="shared" si="54"/>
        <v>110883.54</v>
      </c>
    </row>
    <row r="1547" spans="1:4" x14ac:dyDescent="0.35">
      <c r="A1547" t="s">
        <v>1592</v>
      </c>
      <c r="B1547">
        <v>113559</v>
      </c>
      <c r="C1547">
        <f t="shared" si="55"/>
        <v>1541.1</v>
      </c>
      <c r="D1547">
        <f t="shared" si="54"/>
        <v>115100.1</v>
      </c>
    </row>
    <row r="1548" spans="1:4" x14ac:dyDescent="0.35">
      <c r="A1548" t="s">
        <v>1593</v>
      </c>
      <c r="B1548">
        <v>124061</v>
      </c>
      <c r="C1548">
        <f t="shared" si="55"/>
        <v>1131.6600000000001</v>
      </c>
      <c r="D1548">
        <f t="shared" si="54"/>
        <v>125192.66</v>
      </c>
    </row>
    <row r="1549" spans="1:4" x14ac:dyDescent="0.35">
      <c r="A1549" t="s">
        <v>1594</v>
      </c>
      <c r="B1549">
        <v>115676</v>
      </c>
      <c r="C1549">
        <f t="shared" si="55"/>
        <v>1410.06</v>
      </c>
      <c r="D1549">
        <f t="shared" si="54"/>
        <v>117086.06</v>
      </c>
    </row>
    <row r="1550" spans="1:4" x14ac:dyDescent="0.35">
      <c r="A1550" t="s">
        <v>1595</v>
      </c>
      <c r="B1550">
        <v>106679</v>
      </c>
      <c r="C1550">
        <f t="shared" si="55"/>
        <v>1021.44</v>
      </c>
      <c r="D1550">
        <f t="shared" si="54"/>
        <v>107700.44</v>
      </c>
    </row>
    <row r="1551" spans="1:4" x14ac:dyDescent="0.35">
      <c r="A1551" t="s">
        <v>1596</v>
      </c>
      <c r="B1551">
        <v>125316</v>
      </c>
      <c r="C1551">
        <f t="shared" si="55"/>
        <v>793.32</v>
      </c>
      <c r="D1551">
        <f t="shared" si="54"/>
        <v>126109.32</v>
      </c>
    </row>
    <row r="1552" spans="1:4" x14ac:dyDescent="0.35">
      <c r="A1552" t="s">
        <v>1597</v>
      </c>
      <c r="B1552">
        <v>115254</v>
      </c>
      <c r="C1552">
        <f t="shared" si="55"/>
        <v>1423.74</v>
      </c>
      <c r="D1552">
        <f t="shared" si="54"/>
        <v>116677.74</v>
      </c>
    </row>
    <row r="1553" spans="1:4" x14ac:dyDescent="0.35">
      <c r="A1553" t="s">
        <v>1598</v>
      </c>
      <c r="B1553">
        <v>105088</v>
      </c>
      <c r="C1553">
        <f t="shared" si="55"/>
        <v>1524.96</v>
      </c>
      <c r="D1553">
        <f t="shared" si="54"/>
        <v>106612.96</v>
      </c>
    </row>
    <row r="1554" spans="1:4" x14ac:dyDescent="0.35">
      <c r="A1554" t="s">
        <v>1599</v>
      </c>
      <c r="B1554">
        <v>110227</v>
      </c>
      <c r="C1554">
        <f t="shared" si="55"/>
        <v>1467.72</v>
      </c>
      <c r="D1554">
        <f t="shared" si="54"/>
        <v>111694.72</v>
      </c>
    </row>
    <row r="1555" spans="1:4" x14ac:dyDescent="0.35">
      <c r="A1555" t="s">
        <v>1600</v>
      </c>
      <c r="B1555">
        <v>124926</v>
      </c>
      <c r="C1555">
        <f t="shared" si="55"/>
        <v>1172.1600000000001</v>
      </c>
      <c r="D1555">
        <f t="shared" si="54"/>
        <v>126098.16</v>
      </c>
    </row>
    <row r="1556" spans="1:4" x14ac:dyDescent="0.35">
      <c r="A1556" t="s">
        <v>1601</v>
      </c>
      <c r="B1556">
        <v>106706</v>
      </c>
      <c r="C1556">
        <f t="shared" si="55"/>
        <v>1137.48</v>
      </c>
      <c r="D1556">
        <f t="shared" si="54"/>
        <v>107843.48</v>
      </c>
    </row>
    <row r="1557" spans="1:4" x14ac:dyDescent="0.35">
      <c r="A1557" t="s">
        <v>1602</v>
      </c>
      <c r="B1557">
        <v>114765</v>
      </c>
      <c r="C1557">
        <f t="shared" si="55"/>
        <v>1211.76</v>
      </c>
      <c r="D1557">
        <f t="shared" si="54"/>
        <v>115976.76</v>
      </c>
    </row>
    <row r="1558" spans="1:4" x14ac:dyDescent="0.35">
      <c r="A1558" t="s">
        <v>1603</v>
      </c>
      <c r="B1558">
        <v>116393</v>
      </c>
      <c r="C1558">
        <f t="shared" si="55"/>
        <v>1156.8599999999999</v>
      </c>
      <c r="D1558">
        <f t="shared" si="54"/>
        <v>117549.86</v>
      </c>
    </row>
    <row r="1559" spans="1:4" x14ac:dyDescent="0.35">
      <c r="A1559" t="s">
        <v>1604</v>
      </c>
      <c r="B1559">
        <v>114266</v>
      </c>
      <c r="C1559">
        <f t="shared" si="55"/>
        <v>1532.46</v>
      </c>
      <c r="D1559">
        <f t="shared" si="54"/>
        <v>115798.46</v>
      </c>
    </row>
    <row r="1560" spans="1:4" x14ac:dyDescent="0.35">
      <c r="A1560" t="s">
        <v>1605</v>
      </c>
      <c r="B1560">
        <v>113893</v>
      </c>
      <c r="C1560">
        <f t="shared" si="55"/>
        <v>1629.06</v>
      </c>
      <c r="D1560">
        <f t="shared" si="54"/>
        <v>115522.06</v>
      </c>
    </row>
    <row r="1561" spans="1:4" x14ac:dyDescent="0.35">
      <c r="A1561" t="s">
        <v>1606</v>
      </c>
      <c r="B1561">
        <v>105542</v>
      </c>
      <c r="C1561">
        <f t="shared" si="55"/>
        <v>1481.46</v>
      </c>
      <c r="D1561">
        <f t="shared" si="54"/>
        <v>107023.46</v>
      </c>
    </row>
    <row r="1562" spans="1:4" x14ac:dyDescent="0.35">
      <c r="A1562" t="s">
        <v>1607</v>
      </c>
      <c r="B1562">
        <v>124713</v>
      </c>
      <c r="C1562">
        <f t="shared" si="55"/>
        <v>1073.94</v>
      </c>
      <c r="D1562">
        <f t="shared" si="54"/>
        <v>125786.94</v>
      </c>
    </row>
    <row r="1563" spans="1:4" x14ac:dyDescent="0.35">
      <c r="A1563" t="s">
        <v>1608</v>
      </c>
      <c r="B1563">
        <v>114727</v>
      </c>
      <c r="C1563">
        <f t="shared" si="55"/>
        <v>936</v>
      </c>
      <c r="D1563">
        <f t="shared" si="54"/>
        <v>115663</v>
      </c>
    </row>
    <row r="1564" spans="1:4" x14ac:dyDescent="0.35">
      <c r="A1564" t="s">
        <v>1609</v>
      </c>
      <c r="B1564">
        <v>114750</v>
      </c>
      <c r="C1564">
        <f t="shared" si="55"/>
        <v>909.96</v>
      </c>
      <c r="D1564">
        <f t="shared" si="54"/>
        <v>115659.96</v>
      </c>
    </row>
    <row r="1565" spans="1:4" x14ac:dyDescent="0.35">
      <c r="A1565" t="s">
        <v>1610</v>
      </c>
      <c r="B1565">
        <v>109522</v>
      </c>
      <c r="C1565">
        <f t="shared" si="55"/>
        <v>1212</v>
      </c>
      <c r="D1565">
        <f t="shared" si="54"/>
        <v>110734</v>
      </c>
    </row>
    <row r="1566" spans="1:4" x14ac:dyDescent="0.35">
      <c r="A1566" t="s">
        <v>1611</v>
      </c>
      <c r="B1566">
        <v>108821</v>
      </c>
      <c r="C1566">
        <f t="shared" si="55"/>
        <v>1530.36</v>
      </c>
      <c r="D1566">
        <f t="shared" si="54"/>
        <v>110351.36</v>
      </c>
    </row>
    <row r="1567" spans="1:4" x14ac:dyDescent="0.35">
      <c r="A1567" t="s">
        <v>1612</v>
      </c>
      <c r="B1567">
        <v>109701</v>
      </c>
      <c r="C1567">
        <f t="shared" si="55"/>
        <v>1204.8599999999999</v>
      </c>
      <c r="D1567">
        <f t="shared" si="54"/>
        <v>110905.86</v>
      </c>
    </row>
    <row r="1568" spans="1:4" x14ac:dyDescent="0.35">
      <c r="A1568" t="s">
        <v>1613</v>
      </c>
      <c r="B1568">
        <v>104401</v>
      </c>
      <c r="C1568">
        <f t="shared" si="55"/>
        <v>1177.08</v>
      </c>
      <c r="D1568">
        <f t="shared" si="54"/>
        <v>105578.08</v>
      </c>
    </row>
    <row r="1569" spans="1:4" x14ac:dyDescent="0.35">
      <c r="A1569" t="s">
        <v>1614</v>
      </c>
      <c r="B1569">
        <v>104892</v>
      </c>
      <c r="C1569">
        <f t="shared" si="55"/>
        <v>1131.9000000000001</v>
      </c>
      <c r="D1569">
        <f t="shared" si="54"/>
        <v>106023.9</v>
      </c>
    </row>
    <row r="1570" spans="1:4" x14ac:dyDescent="0.35">
      <c r="A1570" t="s">
        <v>1615</v>
      </c>
      <c r="B1570">
        <v>110238</v>
      </c>
      <c r="C1570">
        <f t="shared" si="55"/>
        <v>1158.78</v>
      </c>
      <c r="D1570">
        <f t="shared" si="54"/>
        <v>111396.78</v>
      </c>
    </row>
    <row r="1571" spans="1:4" x14ac:dyDescent="0.35">
      <c r="A1571" t="s">
        <v>1616</v>
      </c>
      <c r="B1571">
        <v>108836</v>
      </c>
      <c r="C1571">
        <f t="shared" si="55"/>
        <v>747.96</v>
      </c>
      <c r="D1571">
        <f t="shared" si="54"/>
        <v>109583.96</v>
      </c>
    </row>
    <row r="1572" spans="1:4" x14ac:dyDescent="0.35">
      <c r="A1572" t="s">
        <v>1617</v>
      </c>
      <c r="B1572">
        <v>108920</v>
      </c>
      <c r="C1572">
        <f t="shared" si="55"/>
        <v>1176.8399999999999</v>
      </c>
      <c r="D1572">
        <f t="shared" si="54"/>
        <v>110096.84</v>
      </c>
    </row>
    <row r="1573" spans="1:4" x14ac:dyDescent="0.35">
      <c r="A1573" t="s">
        <v>1618</v>
      </c>
      <c r="B1573">
        <v>125506</v>
      </c>
      <c r="C1573">
        <f t="shared" si="55"/>
        <v>881.4</v>
      </c>
      <c r="D1573">
        <f t="shared" si="54"/>
        <v>126387.4</v>
      </c>
    </row>
    <row r="1574" spans="1:4" x14ac:dyDescent="0.35">
      <c r="A1574" t="s">
        <v>1619</v>
      </c>
      <c r="B1574">
        <v>104545</v>
      </c>
      <c r="C1574">
        <f t="shared" si="55"/>
        <v>931.5</v>
      </c>
      <c r="D1574">
        <f t="shared" si="54"/>
        <v>105476.5</v>
      </c>
    </row>
    <row r="1575" spans="1:4" x14ac:dyDescent="0.35">
      <c r="A1575" t="s">
        <v>1620</v>
      </c>
      <c r="B1575">
        <v>107752</v>
      </c>
      <c r="C1575">
        <f t="shared" si="55"/>
        <v>1289.8800000000001</v>
      </c>
      <c r="D1575">
        <f t="shared" si="54"/>
        <v>109041.88</v>
      </c>
    </row>
    <row r="1576" spans="1:4" x14ac:dyDescent="0.35">
      <c r="A1576" t="s">
        <v>1621</v>
      </c>
      <c r="B1576">
        <v>125926</v>
      </c>
      <c r="C1576">
        <f t="shared" si="55"/>
        <v>1492.74</v>
      </c>
      <c r="D1576">
        <f t="shared" si="54"/>
        <v>127418.74</v>
      </c>
    </row>
    <row r="1577" spans="1:4" x14ac:dyDescent="0.35">
      <c r="A1577" t="s">
        <v>1622</v>
      </c>
      <c r="B1577">
        <v>104510</v>
      </c>
      <c r="C1577">
        <f t="shared" si="55"/>
        <v>1528.62</v>
      </c>
      <c r="D1577">
        <f t="shared" si="54"/>
        <v>106038.62</v>
      </c>
    </row>
    <row r="1578" spans="1:4" x14ac:dyDescent="0.35">
      <c r="A1578" t="s">
        <v>1623</v>
      </c>
      <c r="B1578">
        <v>108482</v>
      </c>
      <c r="C1578">
        <f t="shared" si="55"/>
        <v>858.24</v>
      </c>
      <c r="D1578">
        <f t="shared" si="54"/>
        <v>109340.24</v>
      </c>
    </row>
    <row r="1579" spans="1:4" x14ac:dyDescent="0.35">
      <c r="A1579" t="s">
        <v>1624</v>
      </c>
      <c r="B1579">
        <v>109220</v>
      </c>
      <c r="C1579">
        <f t="shared" si="55"/>
        <v>1058.28</v>
      </c>
      <c r="D1579">
        <f t="shared" si="54"/>
        <v>110278.28</v>
      </c>
    </row>
    <row r="1580" spans="1:4" x14ac:dyDescent="0.35">
      <c r="A1580" t="s">
        <v>1625</v>
      </c>
      <c r="B1580">
        <v>107770</v>
      </c>
      <c r="C1580">
        <f t="shared" si="55"/>
        <v>977.04</v>
      </c>
      <c r="D1580">
        <f t="shared" si="54"/>
        <v>108747.04</v>
      </c>
    </row>
    <row r="1581" spans="1:4" x14ac:dyDescent="0.35">
      <c r="A1581" t="s">
        <v>1626</v>
      </c>
      <c r="B1581">
        <v>106539</v>
      </c>
      <c r="C1581">
        <f t="shared" si="55"/>
        <v>1606.08</v>
      </c>
      <c r="D1581">
        <f t="shared" si="54"/>
        <v>108145.08</v>
      </c>
    </row>
    <row r="1582" spans="1:4" x14ac:dyDescent="0.35">
      <c r="A1582" t="s">
        <v>1627</v>
      </c>
      <c r="B1582">
        <v>113112</v>
      </c>
      <c r="C1582">
        <f t="shared" si="55"/>
        <v>869.52</v>
      </c>
      <c r="D1582">
        <f t="shared" si="54"/>
        <v>113981.52</v>
      </c>
    </row>
    <row r="1583" spans="1:4" x14ac:dyDescent="0.35">
      <c r="A1583" t="s">
        <v>1628</v>
      </c>
      <c r="B1583">
        <v>125934</v>
      </c>
      <c r="C1583">
        <f t="shared" si="55"/>
        <v>991.02</v>
      </c>
      <c r="D1583">
        <f t="shared" si="54"/>
        <v>126925.02</v>
      </c>
    </row>
    <row r="1584" spans="1:4" x14ac:dyDescent="0.35">
      <c r="A1584" t="s">
        <v>1629</v>
      </c>
      <c r="B1584">
        <v>106222</v>
      </c>
      <c r="C1584">
        <f t="shared" si="55"/>
        <v>1417.02</v>
      </c>
      <c r="D1584">
        <f t="shared" si="54"/>
        <v>107639.02</v>
      </c>
    </row>
    <row r="1585" spans="1:4" x14ac:dyDescent="0.35">
      <c r="A1585" t="s">
        <v>1630</v>
      </c>
      <c r="B1585">
        <v>104890</v>
      </c>
      <c r="C1585">
        <f t="shared" si="55"/>
        <v>1145.22</v>
      </c>
      <c r="D1585">
        <f t="shared" si="54"/>
        <v>106035.22</v>
      </c>
    </row>
    <row r="1586" spans="1:4" x14ac:dyDescent="0.35">
      <c r="A1586" t="s">
        <v>1631</v>
      </c>
      <c r="B1586">
        <v>106290</v>
      </c>
      <c r="C1586">
        <f t="shared" si="55"/>
        <v>1457.46</v>
      </c>
      <c r="D1586">
        <f t="shared" si="54"/>
        <v>107747.46</v>
      </c>
    </row>
    <row r="1587" spans="1:4" x14ac:dyDescent="0.35">
      <c r="A1587" t="s">
        <v>1632</v>
      </c>
      <c r="B1587">
        <v>108715</v>
      </c>
      <c r="C1587">
        <f t="shared" si="55"/>
        <v>1455.96</v>
      </c>
      <c r="D1587">
        <f t="shared" si="54"/>
        <v>110170.96</v>
      </c>
    </row>
    <row r="1588" spans="1:4" x14ac:dyDescent="0.35">
      <c r="A1588" t="s">
        <v>1633</v>
      </c>
      <c r="B1588">
        <v>105401</v>
      </c>
      <c r="C1588">
        <f t="shared" si="55"/>
        <v>1538.58</v>
      </c>
      <c r="D1588">
        <f t="shared" si="54"/>
        <v>106939.58</v>
      </c>
    </row>
    <row r="1589" spans="1:4" x14ac:dyDescent="0.35">
      <c r="A1589" t="s">
        <v>1634</v>
      </c>
      <c r="B1589">
        <v>104398</v>
      </c>
      <c r="C1589">
        <f t="shared" si="55"/>
        <v>1085.94</v>
      </c>
      <c r="D1589">
        <f t="shared" si="54"/>
        <v>105483.94</v>
      </c>
    </row>
    <row r="1590" spans="1:4" x14ac:dyDescent="0.35">
      <c r="A1590" t="s">
        <v>1635</v>
      </c>
      <c r="B1590">
        <v>114241</v>
      </c>
      <c r="C1590">
        <f t="shared" si="55"/>
        <v>1551.6</v>
      </c>
      <c r="D1590">
        <f t="shared" si="54"/>
        <v>115792.6</v>
      </c>
    </row>
    <row r="1591" spans="1:4" x14ac:dyDescent="0.35">
      <c r="A1591" t="s">
        <v>1636</v>
      </c>
      <c r="B1591">
        <v>104557</v>
      </c>
      <c r="C1591">
        <f t="shared" si="55"/>
        <v>1164.54</v>
      </c>
      <c r="D1591">
        <f t="shared" si="54"/>
        <v>105721.54</v>
      </c>
    </row>
    <row r="1592" spans="1:4" x14ac:dyDescent="0.35">
      <c r="A1592" t="s">
        <v>1637</v>
      </c>
      <c r="B1592">
        <v>109735</v>
      </c>
      <c r="C1592">
        <f t="shared" si="55"/>
        <v>1515.96</v>
      </c>
      <c r="D1592">
        <f t="shared" si="54"/>
        <v>111250.96</v>
      </c>
    </row>
    <row r="1593" spans="1:4" x14ac:dyDescent="0.35">
      <c r="A1593" t="s">
        <v>1638</v>
      </c>
      <c r="B1593">
        <v>107720</v>
      </c>
      <c r="C1593">
        <f t="shared" si="55"/>
        <v>907.02</v>
      </c>
      <c r="D1593">
        <f t="shared" si="54"/>
        <v>108627.02</v>
      </c>
    </row>
    <row r="1594" spans="1:4" x14ac:dyDescent="0.35">
      <c r="A1594" t="s">
        <v>1639</v>
      </c>
      <c r="B1594">
        <v>106010</v>
      </c>
      <c r="C1594">
        <f t="shared" si="55"/>
        <v>1219.02</v>
      </c>
      <c r="D1594">
        <f t="shared" si="54"/>
        <v>107229.02</v>
      </c>
    </row>
    <row r="1595" spans="1:4" x14ac:dyDescent="0.35">
      <c r="A1595" t="s">
        <v>1640</v>
      </c>
      <c r="B1595">
        <v>105585</v>
      </c>
      <c r="C1595">
        <f t="shared" si="55"/>
        <v>884.82</v>
      </c>
      <c r="D1595">
        <f t="shared" si="54"/>
        <v>106469.82</v>
      </c>
    </row>
    <row r="1596" spans="1:4" x14ac:dyDescent="0.35">
      <c r="A1596" t="s">
        <v>1641</v>
      </c>
      <c r="B1596">
        <v>114866</v>
      </c>
      <c r="C1596">
        <f t="shared" si="55"/>
        <v>839.88</v>
      </c>
      <c r="D1596">
        <f t="shared" si="54"/>
        <v>115705.88</v>
      </c>
    </row>
    <row r="1597" spans="1:4" x14ac:dyDescent="0.35">
      <c r="A1597" t="s">
        <v>1642</v>
      </c>
      <c r="B1597">
        <v>109098</v>
      </c>
      <c r="C1597">
        <f t="shared" si="55"/>
        <v>1000.5</v>
      </c>
      <c r="D1597">
        <f t="shared" si="54"/>
        <v>110098.5</v>
      </c>
    </row>
    <row r="1598" spans="1:4" x14ac:dyDescent="0.35">
      <c r="A1598" t="s">
        <v>1643</v>
      </c>
      <c r="B1598">
        <v>125882</v>
      </c>
      <c r="C1598">
        <f t="shared" si="55"/>
        <v>1293.78</v>
      </c>
      <c r="D1598">
        <f t="shared" si="54"/>
        <v>127175.78</v>
      </c>
    </row>
    <row r="1599" spans="1:4" x14ac:dyDescent="0.35">
      <c r="A1599" t="s">
        <v>1644</v>
      </c>
      <c r="B1599">
        <v>109002</v>
      </c>
      <c r="C1599">
        <f t="shared" si="55"/>
        <v>1506.06</v>
      </c>
      <c r="D1599">
        <f t="shared" si="54"/>
        <v>110508.06</v>
      </c>
    </row>
    <row r="1600" spans="1:4" x14ac:dyDescent="0.35">
      <c r="A1600" t="s">
        <v>1645</v>
      </c>
      <c r="B1600">
        <v>106750</v>
      </c>
      <c r="C1600">
        <f t="shared" si="55"/>
        <v>1161.5999999999999</v>
      </c>
      <c r="D1600">
        <f t="shared" si="54"/>
        <v>107911.6</v>
      </c>
    </row>
    <row r="1601" spans="1:4" x14ac:dyDescent="0.35">
      <c r="A1601" t="s">
        <v>1646</v>
      </c>
      <c r="B1601">
        <v>108778</v>
      </c>
      <c r="C1601">
        <f t="shared" si="55"/>
        <v>1048.5</v>
      </c>
      <c r="D1601">
        <f t="shared" si="54"/>
        <v>109826.5</v>
      </c>
    </row>
    <row r="1602" spans="1:4" x14ac:dyDescent="0.35">
      <c r="A1602" t="s">
        <v>1647</v>
      </c>
      <c r="B1602">
        <v>124770</v>
      </c>
      <c r="C1602">
        <f t="shared" si="55"/>
        <v>739.2</v>
      </c>
      <c r="D1602">
        <f t="shared" si="54"/>
        <v>125509.2</v>
      </c>
    </row>
    <row r="1603" spans="1:4" x14ac:dyDescent="0.35">
      <c r="A1603" t="s">
        <v>1648</v>
      </c>
      <c r="B1603">
        <v>125745</v>
      </c>
      <c r="C1603">
        <f t="shared" si="55"/>
        <v>1408.14</v>
      </c>
      <c r="D1603">
        <f t="shared" ref="D1603:D1666" si="56">B1603+C1603</f>
        <v>127153.14</v>
      </c>
    </row>
    <row r="1604" spans="1:4" x14ac:dyDescent="0.35">
      <c r="A1604" t="s">
        <v>1649</v>
      </c>
      <c r="B1604">
        <v>114864</v>
      </c>
      <c r="C1604">
        <f>B713*6/100</f>
        <v>901.56</v>
      </c>
      <c r="D1604">
        <f t="shared" si="56"/>
        <v>115765.56</v>
      </c>
    </row>
    <row r="1605" spans="1:4" x14ac:dyDescent="0.35">
      <c r="A1605" t="s">
        <v>1650</v>
      </c>
      <c r="B1605">
        <v>108840</v>
      </c>
      <c r="C1605">
        <f>B713*8/100</f>
        <v>1202.08</v>
      </c>
      <c r="D1605">
        <f t="shared" si="56"/>
        <v>110042.08</v>
      </c>
    </row>
    <row r="1606" spans="1:4" x14ac:dyDescent="0.35">
      <c r="A1606" t="s">
        <v>1651</v>
      </c>
      <c r="B1606">
        <v>105894</v>
      </c>
      <c r="C1606">
        <f t="shared" ref="C1606:C1640" si="57">B714*8/100</f>
        <v>1247.2</v>
      </c>
      <c r="D1606">
        <f t="shared" si="56"/>
        <v>107141.2</v>
      </c>
    </row>
    <row r="1607" spans="1:4" x14ac:dyDescent="0.35">
      <c r="A1607" t="s">
        <v>1652</v>
      </c>
      <c r="B1607">
        <v>116248</v>
      </c>
      <c r="C1607">
        <f t="shared" si="57"/>
        <v>1236.08</v>
      </c>
      <c r="D1607">
        <f t="shared" si="56"/>
        <v>117484.08</v>
      </c>
    </row>
    <row r="1608" spans="1:4" x14ac:dyDescent="0.35">
      <c r="A1608" t="s">
        <v>1653</v>
      </c>
      <c r="B1608">
        <v>114600</v>
      </c>
      <c r="C1608">
        <f t="shared" si="57"/>
        <v>2043.76</v>
      </c>
      <c r="D1608">
        <f t="shared" si="56"/>
        <v>116643.76</v>
      </c>
    </row>
    <row r="1609" spans="1:4" x14ac:dyDescent="0.35">
      <c r="A1609" t="s">
        <v>1654</v>
      </c>
      <c r="B1609">
        <v>124062</v>
      </c>
      <c r="C1609">
        <f t="shared" si="57"/>
        <v>1220.4000000000001</v>
      </c>
      <c r="D1609">
        <f t="shared" si="56"/>
        <v>125282.4</v>
      </c>
    </row>
    <row r="1610" spans="1:4" x14ac:dyDescent="0.35">
      <c r="A1610" t="s">
        <v>1655</v>
      </c>
      <c r="B1610">
        <v>114148</v>
      </c>
      <c r="C1610">
        <f t="shared" si="57"/>
        <v>968.8</v>
      </c>
      <c r="D1610">
        <f t="shared" si="56"/>
        <v>115116.8</v>
      </c>
    </row>
    <row r="1611" spans="1:4" x14ac:dyDescent="0.35">
      <c r="A1611" t="s">
        <v>1656</v>
      </c>
      <c r="B1611">
        <v>124811</v>
      </c>
      <c r="C1611">
        <f t="shared" si="57"/>
        <v>1977.68</v>
      </c>
      <c r="D1611">
        <f t="shared" si="56"/>
        <v>126788.68</v>
      </c>
    </row>
    <row r="1612" spans="1:4" x14ac:dyDescent="0.35">
      <c r="A1612" t="s">
        <v>1657</v>
      </c>
      <c r="B1612">
        <v>107785</v>
      </c>
      <c r="C1612">
        <f t="shared" si="57"/>
        <v>1869.28</v>
      </c>
      <c r="D1612">
        <f t="shared" si="56"/>
        <v>109654.28</v>
      </c>
    </row>
    <row r="1613" spans="1:4" x14ac:dyDescent="0.35">
      <c r="A1613" t="s">
        <v>1658</v>
      </c>
      <c r="B1613">
        <v>116002</v>
      </c>
      <c r="C1613">
        <f t="shared" si="57"/>
        <v>1965.52</v>
      </c>
      <c r="D1613">
        <f t="shared" si="56"/>
        <v>117967.52</v>
      </c>
    </row>
    <row r="1614" spans="1:4" x14ac:dyDescent="0.35">
      <c r="A1614" t="s">
        <v>1659</v>
      </c>
      <c r="B1614">
        <v>114439</v>
      </c>
      <c r="C1614">
        <f t="shared" si="57"/>
        <v>989.52</v>
      </c>
      <c r="D1614">
        <f t="shared" si="56"/>
        <v>115428.52</v>
      </c>
    </row>
    <row r="1615" spans="1:4" x14ac:dyDescent="0.35">
      <c r="A1615" t="s">
        <v>1660</v>
      </c>
      <c r="B1615">
        <v>114466</v>
      </c>
      <c r="C1615">
        <f t="shared" si="57"/>
        <v>2008.16</v>
      </c>
      <c r="D1615">
        <f t="shared" si="56"/>
        <v>116474.16</v>
      </c>
    </row>
    <row r="1616" spans="1:4" x14ac:dyDescent="0.35">
      <c r="A1616" t="s">
        <v>1661</v>
      </c>
      <c r="B1616">
        <v>105422</v>
      </c>
      <c r="C1616">
        <f t="shared" si="57"/>
        <v>1435.2</v>
      </c>
      <c r="D1616">
        <f t="shared" si="56"/>
        <v>106857.2</v>
      </c>
    </row>
    <row r="1617" spans="1:4" x14ac:dyDescent="0.35">
      <c r="A1617" t="s">
        <v>1662</v>
      </c>
      <c r="B1617">
        <v>108473</v>
      </c>
      <c r="C1617">
        <f t="shared" si="57"/>
        <v>2041.6</v>
      </c>
      <c r="D1617">
        <f t="shared" si="56"/>
        <v>110514.6</v>
      </c>
    </row>
    <row r="1618" spans="1:4" x14ac:dyDescent="0.35">
      <c r="A1618" t="s">
        <v>1663</v>
      </c>
      <c r="B1618">
        <v>108169</v>
      </c>
      <c r="C1618">
        <f t="shared" si="57"/>
        <v>1037.68</v>
      </c>
      <c r="D1618">
        <f t="shared" si="56"/>
        <v>109206.68</v>
      </c>
    </row>
    <row r="1619" spans="1:4" x14ac:dyDescent="0.35">
      <c r="A1619" t="s">
        <v>1664</v>
      </c>
      <c r="B1619">
        <v>109803</v>
      </c>
      <c r="C1619">
        <f t="shared" si="57"/>
        <v>1379.92</v>
      </c>
      <c r="D1619">
        <f t="shared" si="56"/>
        <v>111182.92</v>
      </c>
    </row>
    <row r="1620" spans="1:4" x14ac:dyDescent="0.35">
      <c r="A1620" t="s">
        <v>1665</v>
      </c>
      <c r="B1620">
        <v>108278</v>
      </c>
      <c r="C1620">
        <f t="shared" si="57"/>
        <v>1058.6400000000001</v>
      </c>
      <c r="D1620">
        <f t="shared" si="56"/>
        <v>109336.64</v>
      </c>
    </row>
    <row r="1621" spans="1:4" x14ac:dyDescent="0.35">
      <c r="A1621" t="s">
        <v>1666</v>
      </c>
      <c r="B1621">
        <v>108898</v>
      </c>
      <c r="C1621">
        <f t="shared" si="57"/>
        <v>1267.8399999999999</v>
      </c>
      <c r="D1621">
        <f t="shared" si="56"/>
        <v>110165.84</v>
      </c>
    </row>
    <row r="1622" spans="1:4" x14ac:dyDescent="0.35">
      <c r="A1622" t="s">
        <v>1667</v>
      </c>
      <c r="B1622">
        <v>108804</v>
      </c>
      <c r="C1622">
        <f t="shared" si="57"/>
        <v>1918.16</v>
      </c>
      <c r="D1622">
        <f t="shared" si="56"/>
        <v>110722.16</v>
      </c>
    </row>
    <row r="1623" spans="1:4" x14ac:dyDescent="0.35">
      <c r="A1623" t="s">
        <v>1668</v>
      </c>
      <c r="B1623">
        <v>109698</v>
      </c>
      <c r="C1623">
        <f t="shared" si="57"/>
        <v>1594.72</v>
      </c>
      <c r="D1623">
        <f t="shared" si="56"/>
        <v>111292.72</v>
      </c>
    </row>
    <row r="1624" spans="1:4" x14ac:dyDescent="0.35">
      <c r="A1624" t="s">
        <v>1669</v>
      </c>
      <c r="B1624">
        <v>104343</v>
      </c>
      <c r="C1624">
        <f t="shared" si="57"/>
        <v>1416.56</v>
      </c>
      <c r="D1624">
        <f t="shared" si="56"/>
        <v>105759.56</v>
      </c>
    </row>
    <row r="1625" spans="1:4" x14ac:dyDescent="0.35">
      <c r="A1625" t="s">
        <v>1670</v>
      </c>
      <c r="B1625">
        <v>105172</v>
      </c>
      <c r="C1625">
        <f t="shared" si="57"/>
        <v>1247.5999999999999</v>
      </c>
      <c r="D1625">
        <f t="shared" si="56"/>
        <v>106419.6</v>
      </c>
    </row>
    <row r="1626" spans="1:4" x14ac:dyDescent="0.35">
      <c r="A1626" t="s">
        <v>1671</v>
      </c>
      <c r="B1626">
        <v>113694</v>
      </c>
      <c r="C1626">
        <f t="shared" si="57"/>
        <v>1387.44</v>
      </c>
      <c r="D1626">
        <f t="shared" si="56"/>
        <v>115081.44</v>
      </c>
    </row>
    <row r="1627" spans="1:4" x14ac:dyDescent="0.35">
      <c r="A1627" t="s">
        <v>1672</v>
      </c>
      <c r="B1627">
        <v>106438</v>
      </c>
      <c r="C1627">
        <f t="shared" si="57"/>
        <v>1076.32</v>
      </c>
      <c r="D1627">
        <f t="shared" si="56"/>
        <v>107514.32</v>
      </c>
    </row>
    <row r="1628" spans="1:4" x14ac:dyDescent="0.35">
      <c r="A1628" t="s">
        <v>1673</v>
      </c>
      <c r="B1628">
        <v>114086</v>
      </c>
      <c r="C1628">
        <f t="shared" si="57"/>
        <v>1436.88</v>
      </c>
      <c r="D1628">
        <f t="shared" si="56"/>
        <v>115522.88</v>
      </c>
    </row>
    <row r="1629" spans="1:4" x14ac:dyDescent="0.35">
      <c r="A1629" t="s">
        <v>1674</v>
      </c>
      <c r="B1629">
        <v>110067</v>
      </c>
      <c r="C1629">
        <f t="shared" si="57"/>
        <v>2099.44</v>
      </c>
      <c r="D1629">
        <f t="shared" si="56"/>
        <v>112166.44</v>
      </c>
    </row>
    <row r="1630" spans="1:4" x14ac:dyDescent="0.35">
      <c r="A1630" t="s">
        <v>1675</v>
      </c>
      <c r="B1630">
        <v>124266</v>
      </c>
      <c r="C1630">
        <f t="shared" si="57"/>
        <v>1930.32</v>
      </c>
      <c r="D1630">
        <f t="shared" si="56"/>
        <v>126196.32</v>
      </c>
    </row>
    <row r="1631" spans="1:4" x14ac:dyDescent="0.35">
      <c r="A1631" t="s">
        <v>1676</v>
      </c>
      <c r="B1631">
        <v>124338</v>
      </c>
      <c r="C1631">
        <f t="shared" si="57"/>
        <v>1191.28</v>
      </c>
      <c r="D1631">
        <f t="shared" si="56"/>
        <v>125529.28</v>
      </c>
    </row>
    <row r="1632" spans="1:4" x14ac:dyDescent="0.35">
      <c r="A1632" t="s">
        <v>1677</v>
      </c>
      <c r="B1632">
        <v>107957</v>
      </c>
      <c r="C1632">
        <f t="shared" si="57"/>
        <v>1936.16</v>
      </c>
      <c r="D1632">
        <f t="shared" si="56"/>
        <v>109893.16</v>
      </c>
    </row>
    <row r="1633" spans="1:4" x14ac:dyDescent="0.35">
      <c r="A1633" t="s">
        <v>1678</v>
      </c>
      <c r="B1633">
        <v>113547</v>
      </c>
      <c r="C1633">
        <f t="shared" si="57"/>
        <v>1465.52</v>
      </c>
      <c r="D1633">
        <f t="shared" si="56"/>
        <v>115012.52</v>
      </c>
    </row>
    <row r="1634" spans="1:4" x14ac:dyDescent="0.35">
      <c r="A1634" t="s">
        <v>1679</v>
      </c>
      <c r="B1634">
        <v>115411</v>
      </c>
      <c r="C1634">
        <f t="shared" si="57"/>
        <v>1486.56</v>
      </c>
      <c r="D1634">
        <f t="shared" si="56"/>
        <v>116897.56</v>
      </c>
    </row>
    <row r="1635" spans="1:4" x14ac:dyDescent="0.35">
      <c r="A1635" t="s">
        <v>1680</v>
      </c>
      <c r="B1635">
        <v>125162</v>
      </c>
      <c r="C1635">
        <f t="shared" si="57"/>
        <v>1631.04</v>
      </c>
      <c r="D1635">
        <f t="shared" si="56"/>
        <v>126793.04</v>
      </c>
    </row>
    <row r="1636" spans="1:4" x14ac:dyDescent="0.35">
      <c r="A1636" t="s">
        <v>1681</v>
      </c>
      <c r="B1636">
        <v>125241</v>
      </c>
      <c r="C1636">
        <f t="shared" si="57"/>
        <v>1881.52</v>
      </c>
      <c r="D1636">
        <f t="shared" si="56"/>
        <v>127122.52</v>
      </c>
    </row>
    <row r="1637" spans="1:4" x14ac:dyDescent="0.35">
      <c r="A1637" t="s">
        <v>1682</v>
      </c>
      <c r="B1637">
        <v>124690</v>
      </c>
      <c r="C1637">
        <f t="shared" si="57"/>
        <v>1718.72</v>
      </c>
      <c r="D1637">
        <f t="shared" si="56"/>
        <v>126408.72</v>
      </c>
    </row>
    <row r="1638" spans="1:4" x14ac:dyDescent="0.35">
      <c r="A1638" t="s">
        <v>1683</v>
      </c>
      <c r="B1638">
        <v>106720</v>
      </c>
      <c r="C1638">
        <f t="shared" si="57"/>
        <v>1232.08</v>
      </c>
      <c r="D1638">
        <f t="shared" si="56"/>
        <v>107952.08</v>
      </c>
    </row>
    <row r="1639" spans="1:4" x14ac:dyDescent="0.35">
      <c r="A1639" t="s">
        <v>1684</v>
      </c>
      <c r="B1639">
        <v>104600</v>
      </c>
      <c r="C1639">
        <f t="shared" si="57"/>
        <v>1963.68</v>
      </c>
      <c r="D1639">
        <f t="shared" si="56"/>
        <v>106563.68</v>
      </c>
    </row>
    <row r="1640" spans="1:4" x14ac:dyDescent="0.35">
      <c r="A1640" t="s">
        <v>1685</v>
      </c>
      <c r="B1640">
        <v>125809</v>
      </c>
      <c r="C1640">
        <f t="shared" si="57"/>
        <v>1148.56</v>
      </c>
      <c r="D1640">
        <f t="shared" si="56"/>
        <v>126957.56</v>
      </c>
    </row>
    <row r="1641" spans="1:4" x14ac:dyDescent="0.35">
      <c r="A1641" t="s">
        <v>1686</v>
      </c>
      <c r="B1641">
        <v>108457</v>
      </c>
      <c r="C1641">
        <f>B713*3/100</f>
        <v>450.78</v>
      </c>
      <c r="D1641">
        <f t="shared" si="56"/>
        <v>108907.78</v>
      </c>
    </row>
    <row r="1642" spans="1:4" x14ac:dyDescent="0.35">
      <c r="A1642" t="s">
        <v>1687</v>
      </c>
      <c r="B1642">
        <v>114728</v>
      </c>
      <c r="C1642">
        <f t="shared" ref="C1642:C1670" si="58">B714*3/100</f>
        <v>467.7</v>
      </c>
      <c r="D1642">
        <f t="shared" si="56"/>
        <v>115195.7</v>
      </c>
    </row>
    <row r="1643" spans="1:4" x14ac:dyDescent="0.35">
      <c r="A1643" t="s">
        <v>1688</v>
      </c>
      <c r="B1643">
        <v>123350</v>
      </c>
      <c r="C1643">
        <f t="shared" si="58"/>
        <v>463.53</v>
      </c>
      <c r="D1643">
        <f t="shared" si="56"/>
        <v>123813.53</v>
      </c>
    </row>
    <row r="1644" spans="1:4" x14ac:dyDescent="0.35">
      <c r="A1644" t="s">
        <v>1689</v>
      </c>
      <c r="B1644">
        <v>114637</v>
      </c>
      <c r="C1644">
        <f t="shared" si="58"/>
        <v>766.41</v>
      </c>
      <c r="D1644">
        <f t="shared" si="56"/>
        <v>115403.41</v>
      </c>
    </row>
    <row r="1645" spans="1:4" x14ac:dyDescent="0.35">
      <c r="A1645" t="s">
        <v>1690</v>
      </c>
      <c r="B1645">
        <v>114230</v>
      </c>
      <c r="C1645">
        <f t="shared" si="58"/>
        <v>457.65</v>
      </c>
      <c r="D1645">
        <f t="shared" si="56"/>
        <v>114687.65</v>
      </c>
    </row>
    <row r="1646" spans="1:4" x14ac:dyDescent="0.35">
      <c r="A1646" t="s">
        <v>1691</v>
      </c>
      <c r="B1646">
        <v>105625</v>
      </c>
      <c r="C1646">
        <f t="shared" si="58"/>
        <v>363.3</v>
      </c>
      <c r="D1646">
        <f t="shared" si="56"/>
        <v>105988.3</v>
      </c>
    </row>
    <row r="1647" spans="1:4" x14ac:dyDescent="0.35">
      <c r="A1647" t="s">
        <v>1692</v>
      </c>
      <c r="B1647">
        <v>125879</v>
      </c>
      <c r="C1647">
        <f t="shared" si="58"/>
        <v>741.63</v>
      </c>
      <c r="D1647">
        <f t="shared" si="56"/>
        <v>126620.63</v>
      </c>
    </row>
    <row r="1648" spans="1:4" x14ac:dyDescent="0.35">
      <c r="A1648" t="s">
        <v>1693</v>
      </c>
      <c r="B1648">
        <v>114235</v>
      </c>
      <c r="C1648">
        <f t="shared" si="58"/>
        <v>700.98</v>
      </c>
      <c r="D1648">
        <f t="shared" si="56"/>
        <v>114935.98</v>
      </c>
    </row>
    <row r="1649" spans="1:4" x14ac:dyDescent="0.35">
      <c r="A1649" t="s">
        <v>1694</v>
      </c>
      <c r="B1649">
        <v>113353</v>
      </c>
      <c r="C1649">
        <f t="shared" si="58"/>
        <v>737.07</v>
      </c>
      <c r="D1649">
        <f t="shared" si="56"/>
        <v>114090.07</v>
      </c>
    </row>
    <row r="1650" spans="1:4" x14ac:dyDescent="0.35">
      <c r="A1650" t="s">
        <v>1695</v>
      </c>
      <c r="B1650">
        <v>104392</v>
      </c>
      <c r="C1650">
        <f t="shared" si="58"/>
        <v>371.07</v>
      </c>
      <c r="D1650">
        <f t="shared" si="56"/>
        <v>104763.07</v>
      </c>
    </row>
    <row r="1651" spans="1:4" x14ac:dyDescent="0.35">
      <c r="A1651" t="s">
        <v>1696</v>
      </c>
      <c r="B1651">
        <v>125140</v>
      </c>
      <c r="C1651">
        <f t="shared" si="58"/>
        <v>753.06</v>
      </c>
      <c r="D1651">
        <f t="shared" si="56"/>
        <v>125893.06</v>
      </c>
    </row>
    <row r="1652" spans="1:4" x14ac:dyDescent="0.35">
      <c r="A1652" t="s">
        <v>1697</v>
      </c>
      <c r="B1652">
        <v>125891</v>
      </c>
      <c r="C1652">
        <f t="shared" si="58"/>
        <v>538.20000000000005</v>
      </c>
      <c r="D1652">
        <f t="shared" si="56"/>
        <v>126429.2</v>
      </c>
    </row>
    <row r="1653" spans="1:4" x14ac:dyDescent="0.35">
      <c r="A1653" t="s">
        <v>1698</v>
      </c>
      <c r="B1653">
        <v>125194</v>
      </c>
      <c r="C1653">
        <f t="shared" si="58"/>
        <v>765.6</v>
      </c>
      <c r="D1653">
        <f t="shared" si="56"/>
        <v>125959.6</v>
      </c>
    </row>
    <row r="1654" spans="1:4" x14ac:dyDescent="0.35">
      <c r="A1654" t="s">
        <v>1699</v>
      </c>
      <c r="B1654">
        <v>104870</v>
      </c>
      <c r="C1654">
        <f t="shared" si="58"/>
        <v>389.13</v>
      </c>
      <c r="D1654">
        <f t="shared" si="56"/>
        <v>105259.13</v>
      </c>
    </row>
    <row r="1655" spans="1:4" x14ac:dyDescent="0.35">
      <c r="A1655" t="s">
        <v>1700</v>
      </c>
      <c r="B1655">
        <v>109208</v>
      </c>
      <c r="C1655">
        <f t="shared" si="58"/>
        <v>517.47</v>
      </c>
      <c r="D1655">
        <f t="shared" si="56"/>
        <v>109725.47</v>
      </c>
    </row>
    <row r="1656" spans="1:4" x14ac:dyDescent="0.35">
      <c r="A1656" t="s">
        <v>1701</v>
      </c>
      <c r="B1656">
        <v>123136</v>
      </c>
      <c r="C1656">
        <f t="shared" si="58"/>
        <v>396.99</v>
      </c>
      <c r="D1656">
        <f t="shared" si="56"/>
        <v>123532.99</v>
      </c>
    </row>
    <row r="1657" spans="1:4" x14ac:dyDescent="0.35">
      <c r="A1657" t="s">
        <v>1702</v>
      </c>
      <c r="B1657">
        <v>114739</v>
      </c>
      <c r="C1657">
        <f t="shared" si="58"/>
        <v>475.44</v>
      </c>
      <c r="D1657">
        <f t="shared" si="56"/>
        <v>115214.44</v>
      </c>
    </row>
    <row r="1658" spans="1:4" x14ac:dyDescent="0.35">
      <c r="A1658" t="s">
        <v>1703</v>
      </c>
      <c r="B1658">
        <v>116358</v>
      </c>
      <c r="C1658">
        <f t="shared" si="58"/>
        <v>719.31</v>
      </c>
      <c r="D1658">
        <f t="shared" si="56"/>
        <v>117077.31</v>
      </c>
    </row>
    <row r="1659" spans="1:4" x14ac:dyDescent="0.35">
      <c r="A1659" t="s">
        <v>1704</v>
      </c>
      <c r="B1659">
        <v>104871</v>
      </c>
      <c r="C1659">
        <f t="shared" si="58"/>
        <v>598.02</v>
      </c>
      <c r="D1659">
        <f t="shared" si="56"/>
        <v>105469.02</v>
      </c>
    </row>
    <row r="1660" spans="1:4" x14ac:dyDescent="0.35">
      <c r="A1660" t="s">
        <v>1705</v>
      </c>
      <c r="B1660">
        <v>105414</v>
      </c>
      <c r="C1660">
        <f t="shared" si="58"/>
        <v>531.21</v>
      </c>
      <c r="D1660">
        <f t="shared" si="56"/>
        <v>105945.21</v>
      </c>
    </row>
    <row r="1661" spans="1:4" x14ac:dyDescent="0.35">
      <c r="A1661" t="s">
        <v>1706</v>
      </c>
      <c r="B1661">
        <v>108212</v>
      </c>
      <c r="C1661">
        <f t="shared" si="58"/>
        <v>467.85</v>
      </c>
      <c r="D1661">
        <f t="shared" si="56"/>
        <v>108679.85</v>
      </c>
    </row>
    <row r="1662" spans="1:4" x14ac:dyDescent="0.35">
      <c r="A1662" t="s">
        <v>1707</v>
      </c>
      <c r="B1662">
        <v>115030</v>
      </c>
      <c r="C1662">
        <f t="shared" si="58"/>
        <v>520.29</v>
      </c>
      <c r="D1662">
        <f t="shared" si="56"/>
        <v>115550.29</v>
      </c>
    </row>
    <row r="1663" spans="1:4" x14ac:dyDescent="0.35">
      <c r="A1663" t="s">
        <v>1708</v>
      </c>
      <c r="B1663">
        <v>113229</v>
      </c>
      <c r="C1663">
        <f t="shared" si="58"/>
        <v>403.62</v>
      </c>
      <c r="D1663">
        <f t="shared" si="56"/>
        <v>113632.62</v>
      </c>
    </row>
    <row r="1664" spans="1:4" x14ac:dyDescent="0.35">
      <c r="A1664" t="s">
        <v>1709</v>
      </c>
      <c r="B1664">
        <v>124311</v>
      </c>
      <c r="C1664">
        <f t="shared" si="58"/>
        <v>538.83000000000004</v>
      </c>
      <c r="D1664">
        <f t="shared" si="56"/>
        <v>124849.83</v>
      </c>
    </row>
    <row r="1665" spans="1:4" x14ac:dyDescent="0.35">
      <c r="A1665" t="s">
        <v>1710</v>
      </c>
      <c r="B1665">
        <v>108525</v>
      </c>
      <c r="C1665">
        <f t="shared" si="58"/>
        <v>787.29</v>
      </c>
      <c r="D1665">
        <f t="shared" si="56"/>
        <v>109312.29</v>
      </c>
    </row>
    <row r="1666" spans="1:4" x14ac:dyDescent="0.35">
      <c r="A1666" t="s">
        <v>1711</v>
      </c>
      <c r="B1666">
        <v>115857</v>
      </c>
      <c r="C1666">
        <f t="shared" si="58"/>
        <v>723.87</v>
      </c>
      <c r="D1666">
        <f t="shared" si="56"/>
        <v>116580.87</v>
      </c>
    </row>
    <row r="1667" spans="1:4" x14ac:dyDescent="0.35">
      <c r="A1667" t="s">
        <v>1712</v>
      </c>
      <c r="B1667">
        <v>114935</v>
      </c>
      <c r="C1667">
        <f t="shared" si="58"/>
        <v>446.73</v>
      </c>
      <c r="D1667">
        <f t="shared" ref="D1667:D1730" si="59">B1667+C1667</f>
        <v>115381.73</v>
      </c>
    </row>
    <row r="1668" spans="1:4" x14ac:dyDescent="0.35">
      <c r="A1668" t="s">
        <v>1713</v>
      </c>
      <c r="B1668">
        <v>108156</v>
      </c>
      <c r="C1668">
        <f t="shared" si="58"/>
        <v>726.06</v>
      </c>
      <c r="D1668">
        <f t="shared" si="59"/>
        <v>108882.06</v>
      </c>
    </row>
    <row r="1669" spans="1:4" x14ac:dyDescent="0.35">
      <c r="A1669" t="s">
        <v>1714</v>
      </c>
      <c r="B1669">
        <v>125228</v>
      </c>
      <c r="C1669">
        <f t="shared" si="58"/>
        <v>549.57000000000005</v>
      </c>
      <c r="D1669">
        <f t="shared" si="59"/>
        <v>125777.57</v>
      </c>
    </row>
    <row r="1670" spans="1:4" x14ac:dyDescent="0.35">
      <c r="A1670" t="s">
        <v>1715</v>
      </c>
      <c r="B1670">
        <v>106425</v>
      </c>
      <c r="C1670">
        <f t="shared" si="58"/>
        <v>557.46</v>
      </c>
      <c r="D1670">
        <f t="shared" si="59"/>
        <v>106982.46</v>
      </c>
    </row>
    <row r="1671" spans="1:4" x14ac:dyDescent="0.35">
      <c r="A1671" t="s">
        <v>1716</v>
      </c>
      <c r="B1671">
        <v>108802</v>
      </c>
      <c r="C1671">
        <f>B713*6/100</f>
        <v>901.56</v>
      </c>
      <c r="D1671">
        <f t="shared" si="59"/>
        <v>109703.56</v>
      </c>
    </row>
    <row r="1672" spans="1:4" x14ac:dyDescent="0.35">
      <c r="A1672" t="s">
        <v>1717</v>
      </c>
      <c r="B1672">
        <v>114684</v>
      </c>
      <c r="C1672">
        <f t="shared" ref="C1672:C1735" si="60">B714*6/100</f>
        <v>935.4</v>
      </c>
      <c r="D1672">
        <f t="shared" si="59"/>
        <v>115619.4</v>
      </c>
    </row>
    <row r="1673" spans="1:4" x14ac:dyDescent="0.35">
      <c r="A1673" t="s">
        <v>1718</v>
      </c>
      <c r="B1673">
        <v>104648</v>
      </c>
      <c r="C1673">
        <f t="shared" si="60"/>
        <v>927.06</v>
      </c>
      <c r="D1673">
        <f t="shared" si="59"/>
        <v>105575.06</v>
      </c>
    </row>
    <row r="1674" spans="1:4" x14ac:dyDescent="0.35">
      <c r="A1674" t="s">
        <v>1719</v>
      </c>
      <c r="B1674">
        <v>125676</v>
      </c>
      <c r="C1674">
        <f t="shared" si="60"/>
        <v>1532.82</v>
      </c>
      <c r="D1674">
        <f t="shared" si="59"/>
        <v>127208.82</v>
      </c>
    </row>
    <row r="1675" spans="1:4" x14ac:dyDescent="0.35">
      <c r="A1675" t="s">
        <v>1720</v>
      </c>
      <c r="B1675">
        <v>107697</v>
      </c>
      <c r="C1675">
        <f t="shared" si="60"/>
        <v>915.3</v>
      </c>
      <c r="D1675">
        <f t="shared" si="59"/>
        <v>108612.3</v>
      </c>
    </row>
    <row r="1676" spans="1:4" x14ac:dyDescent="0.35">
      <c r="A1676" t="s">
        <v>1721</v>
      </c>
      <c r="B1676">
        <v>105181</v>
      </c>
      <c r="C1676">
        <f t="shared" si="60"/>
        <v>726.6</v>
      </c>
      <c r="D1676">
        <f t="shared" si="59"/>
        <v>105907.6</v>
      </c>
    </row>
    <row r="1677" spans="1:4" x14ac:dyDescent="0.35">
      <c r="A1677" t="s">
        <v>1722</v>
      </c>
      <c r="B1677">
        <v>108421</v>
      </c>
      <c r="C1677">
        <f t="shared" si="60"/>
        <v>1483.26</v>
      </c>
      <c r="D1677">
        <f t="shared" si="59"/>
        <v>109904.26</v>
      </c>
    </row>
    <row r="1678" spans="1:4" x14ac:dyDescent="0.35">
      <c r="A1678" t="s">
        <v>1723</v>
      </c>
      <c r="B1678">
        <v>125385</v>
      </c>
      <c r="C1678">
        <f t="shared" si="60"/>
        <v>1401.96</v>
      </c>
      <c r="D1678">
        <f t="shared" si="59"/>
        <v>126786.96</v>
      </c>
    </row>
    <row r="1679" spans="1:4" x14ac:dyDescent="0.35">
      <c r="A1679" t="s">
        <v>1724</v>
      </c>
      <c r="B1679">
        <v>108818</v>
      </c>
      <c r="C1679">
        <f t="shared" si="60"/>
        <v>1474.14</v>
      </c>
      <c r="D1679">
        <f t="shared" si="59"/>
        <v>110292.14</v>
      </c>
    </row>
    <row r="1680" spans="1:4" x14ac:dyDescent="0.35">
      <c r="A1680" t="s">
        <v>1725</v>
      </c>
      <c r="B1680">
        <v>116187</v>
      </c>
      <c r="C1680">
        <f t="shared" si="60"/>
        <v>742.14</v>
      </c>
      <c r="D1680">
        <f t="shared" si="59"/>
        <v>116929.14</v>
      </c>
    </row>
    <row r="1681" spans="1:4" x14ac:dyDescent="0.35">
      <c r="A1681" t="s">
        <v>1726</v>
      </c>
      <c r="B1681">
        <v>125880</v>
      </c>
      <c r="C1681">
        <f t="shared" si="60"/>
        <v>1506.12</v>
      </c>
      <c r="D1681">
        <f t="shared" si="59"/>
        <v>127386.12</v>
      </c>
    </row>
    <row r="1682" spans="1:4" x14ac:dyDescent="0.35">
      <c r="A1682" t="s">
        <v>1727</v>
      </c>
      <c r="B1682">
        <v>115708</v>
      </c>
      <c r="C1682">
        <f t="shared" si="60"/>
        <v>1076.4000000000001</v>
      </c>
      <c r="D1682">
        <f t="shared" si="59"/>
        <v>116784.4</v>
      </c>
    </row>
    <row r="1683" spans="1:4" x14ac:dyDescent="0.35">
      <c r="A1683" t="s">
        <v>1728</v>
      </c>
      <c r="B1683">
        <v>105501</v>
      </c>
      <c r="C1683">
        <f t="shared" si="60"/>
        <v>1531.2</v>
      </c>
      <c r="D1683">
        <f t="shared" si="59"/>
        <v>107032.2</v>
      </c>
    </row>
    <row r="1684" spans="1:4" x14ac:dyDescent="0.35">
      <c r="A1684" t="s">
        <v>1729</v>
      </c>
      <c r="B1684">
        <v>115064</v>
      </c>
      <c r="C1684">
        <f t="shared" si="60"/>
        <v>778.26</v>
      </c>
      <c r="D1684">
        <f t="shared" si="59"/>
        <v>115842.26</v>
      </c>
    </row>
    <row r="1685" spans="1:4" x14ac:dyDescent="0.35">
      <c r="A1685" t="s">
        <v>1730</v>
      </c>
      <c r="B1685">
        <v>115142</v>
      </c>
      <c r="C1685">
        <f t="shared" si="60"/>
        <v>1034.94</v>
      </c>
      <c r="D1685">
        <f t="shared" si="59"/>
        <v>116176.94</v>
      </c>
    </row>
    <row r="1686" spans="1:4" x14ac:dyDescent="0.35">
      <c r="A1686" t="s">
        <v>1731</v>
      </c>
      <c r="B1686">
        <v>108986</v>
      </c>
      <c r="C1686">
        <f t="shared" si="60"/>
        <v>793.98</v>
      </c>
      <c r="D1686">
        <f t="shared" si="59"/>
        <v>109779.98</v>
      </c>
    </row>
    <row r="1687" spans="1:4" x14ac:dyDescent="0.35">
      <c r="A1687" t="s">
        <v>1732</v>
      </c>
      <c r="B1687">
        <v>125568</v>
      </c>
      <c r="C1687">
        <f t="shared" si="60"/>
        <v>950.88</v>
      </c>
      <c r="D1687">
        <f t="shared" si="59"/>
        <v>126518.88</v>
      </c>
    </row>
    <row r="1688" spans="1:4" x14ac:dyDescent="0.35">
      <c r="A1688" t="s">
        <v>1733</v>
      </c>
      <c r="B1688">
        <v>108034</v>
      </c>
      <c r="C1688">
        <f t="shared" si="60"/>
        <v>1438.62</v>
      </c>
      <c r="D1688">
        <f t="shared" si="59"/>
        <v>109472.62</v>
      </c>
    </row>
    <row r="1689" spans="1:4" x14ac:dyDescent="0.35">
      <c r="A1689" t="s">
        <v>1734</v>
      </c>
      <c r="B1689">
        <v>125780</v>
      </c>
      <c r="C1689">
        <f t="shared" si="60"/>
        <v>1196.04</v>
      </c>
      <c r="D1689">
        <f t="shared" si="59"/>
        <v>126976.04</v>
      </c>
    </row>
    <row r="1690" spans="1:4" x14ac:dyDescent="0.35">
      <c r="A1690" t="s">
        <v>1735</v>
      </c>
      <c r="B1690">
        <v>105639</v>
      </c>
      <c r="C1690">
        <f t="shared" si="60"/>
        <v>1062.42</v>
      </c>
      <c r="D1690">
        <f t="shared" si="59"/>
        <v>106701.42</v>
      </c>
    </row>
    <row r="1691" spans="1:4" x14ac:dyDescent="0.35">
      <c r="A1691" t="s">
        <v>1736</v>
      </c>
      <c r="B1691">
        <v>124157</v>
      </c>
      <c r="C1691">
        <f t="shared" si="60"/>
        <v>935.7</v>
      </c>
      <c r="D1691">
        <f t="shared" si="59"/>
        <v>125092.7</v>
      </c>
    </row>
    <row r="1692" spans="1:4" x14ac:dyDescent="0.35">
      <c r="A1692" t="s">
        <v>1737</v>
      </c>
      <c r="B1692">
        <v>124588</v>
      </c>
      <c r="C1692">
        <f t="shared" si="60"/>
        <v>1040.58</v>
      </c>
      <c r="D1692">
        <f t="shared" si="59"/>
        <v>125628.58</v>
      </c>
    </row>
    <row r="1693" spans="1:4" x14ac:dyDescent="0.35">
      <c r="A1693" t="s">
        <v>1738</v>
      </c>
      <c r="B1693">
        <v>125329</v>
      </c>
      <c r="C1693">
        <f t="shared" si="60"/>
        <v>807.24</v>
      </c>
      <c r="D1693">
        <f t="shared" si="59"/>
        <v>126136.24</v>
      </c>
    </row>
    <row r="1694" spans="1:4" x14ac:dyDescent="0.35">
      <c r="A1694" t="s">
        <v>1739</v>
      </c>
      <c r="B1694">
        <v>123534</v>
      </c>
      <c r="C1694">
        <f t="shared" si="60"/>
        <v>1077.6600000000001</v>
      </c>
      <c r="D1694">
        <f t="shared" si="59"/>
        <v>124611.66</v>
      </c>
    </row>
    <row r="1695" spans="1:4" x14ac:dyDescent="0.35">
      <c r="A1695" t="s">
        <v>1740</v>
      </c>
      <c r="B1695">
        <v>123852</v>
      </c>
      <c r="C1695">
        <f t="shared" si="60"/>
        <v>1574.58</v>
      </c>
      <c r="D1695">
        <f t="shared" si="59"/>
        <v>125426.58</v>
      </c>
    </row>
    <row r="1696" spans="1:4" x14ac:dyDescent="0.35">
      <c r="A1696" t="s">
        <v>1741</v>
      </c>
      <c r="B1696">
        <v>108050</v>
      </c>
      <c r="C1696">
        <f t="shared" si="60"/>
        <v>1447.74</v>
      </c>
      <c r="D1696">
        <f t="shared" si="59"/>
        <v>109497.74</v>
      </c>
    </row>
    <row r="1697" spans="1:4" x14ac:dyDescent="0.35">
      <c r="A1697" t="s">
        <v>1742</v>
      </c>
      <c r="B1697">
        <v>110040</v>
      </c>
      <c r="C1697">
        <f t="shared" si="60"/>
        <v>893.46</v>
      </c>
      <c r="D1697">
        <f t="shared" si="59"/>
        <v>110933.46</v>
      </c>
    </row>
    <row r="1698" spans="1:4" x14ac:dyDescent="0.35">
      <c r="A1698" t="s">
        <v>1743</v>
      </c>
      <c r="B1698">
        <v>124579</v>
      </c>
      <c r="C1698">
        <f t="shared" si="60"/>
        <v>1452.12</v>
      </c>
      <c r="D1698">
        <f t="shared" si="59"/>
        <v>126031.12</v>
      </c>
    </row>
    <row r="1699" spans="1:4" x14ac:dyDescent="0.35">
      <c r="A1699" t="s">
        <v>1744</v>
      </c>
      <c r="B1699">
        <v>116095</v>
      </c>
      <c r="C1699">
        <f t="shared" si="60"/>
        <v>1099.1400000000001</v>
      </c>
      <c r="D1699">
        <f t="shared" si="59"/>
        <v>117194.14</v>
      </c>
    </row>
    <row r="1700" spans="1:4" x14ac:dyDescent="0.35">
      <c r="A1700" t="s">
        <v>1745</v>
      </c>
      <c r="B1700">
        <v>108838</v>
      </c>
      <c r="C1700">
        <f t="shared" si="60"/>
        <v>1114.92</v>
      </c>
      <c r="D1700">
        <f t="shared" si="59"/>
        <v>109952.92</v>
      </c>
    </row>
    <row r="1701" spans="1:4" x14ac:dyDescent="0.35">
      <c r="A1701" t="s">
        <v>1746</v>
      </c>
      <c r="B1701">
        <v>114586</v>
      </c>
      <c r="C1701">
        <f t="shared" si="60"/>
        <v>1223.28</v>
      </c>
      <c r="D1701">
        <f t="shared" si="59"/>
        <v>115809.28</v>
      </c>
    </row>
    <row r="1702" spans="1:4" x14ac:dyDescent="0.35">
      <c r="A1702" t="s">
        <v>1747</v>
      </c>
      <c r="B1702">
        <v>113277</v>
      </c>
      <c r="C1702">
        <f t="shared" si="60"/>
        <v>1411.14</v>
      </c>
      <c r="D1702">
        <f t="shared" si="59"/>
        <v>114688.14</v>
      </c>
    </row>
    <row r="1703" spans="1:4" x14ac:dyDescent="0.35">
      <c r="A1703" t="s">
        <v>1748</v>
      </c>
      <c r="B1703">
        <v>125386</v>
      </c>
      <c r="C1703">
        <f t="shared" si="60"/>
        <v>1289.04</v>
      </c>
      <c r="D1703">
        <f t="shared" si="59"/>
        <v>126675.04</v>
      </c>
    </row>
    <row r="1704" spans="1:4" x14ac:dyDescent="0.35">
      <c r="A1704" t="s">
        <v>1749</v>
      </c>
      <c r="B1704">
        <v>125113</v>
      </c>
      <c r="C1704">
        <f t="shared" si="60"/>
        <v>924.06</v>
      </c>
      <c r="D1704">
        <f t="shared" si="59"/>
        <v>126037.06</v>
      </c>
    </row>
    <row r="1705" spans="1:4" x14ac:dyDescent="0.35">
      <c r="A1705" t="s">
        <v>1750</v>
      </c>
      <c r="B1705">
        <v>105188</v>
      </c>
      <c r="C1705">
        <f t="shared" si="60"/>
        <v>1472.76</v>
      </c>
      <c r="D1705">
        <f t="shared" si="59"/>
        <v>106660.76</v>
      </c>
    </row>
    <row r="1706" spans="1:4" x14ac:dyDescent="0.35">
      <c r="A1706" t="s">
        <v>1751</v>
      </c>
      <c r="B1706">
        <v>108975</v>
      </c>
      <c r="C1706">
        <f t="shared" si="60"/>
        <v>861.42</v>
      </c>
      <c r="D1706">
        <f t="shared" si="59"/>
        <v>109836.42</v>
      </c>
    </row>
    <row r="1707" spans="1:4" x14ac:dyDescent="0.35">
      <c r="A1707" t="s">
        <v>1752</v>
      </c>
      <c r="B1707">
        <v>104816</v>
      </c>
      <c r="C1707">
        <f t="shared" si="60"/>
        <v>985.62</v>
      </c>
      <c r="D1707">
        <f t="shared" si="59"/>
        <v>105801.62</v>
      </c>
    </row>
    <row r="1708" spans="1:4" x14ac:dyDescent="0.35">
      <c r="A1708" t="s">
        <v>1753</v>
      </c>
      <c r="B1708">
        <v>123053</v>
      </c>
      <c r="C1708">
        <f t="shared" si="60"/>
        <v>1223.3399999999999</v>
      </c>
      <c r="D1708">
        <f t="shared" si="59"/>
        <v>124276.34</v>
      </c>
    </row>
    <row r="1709" spans="1:4" x14ac:dyDescent="0.35">
      <c r="A1709" t="s">
        <v>1754</v>
      </c>
      <c r="B1709">
        <v>124094</v>
      </c>
      <c r="C1709">
        <f t="shared" si="60"/>
        <v>885.18</v>
      </c>
      <c r="D1709">
        <f t="shared" si="59"/>
        <v>124979.18</v>
      </c>
    </row>
    <row r="1710" spans="1:4" x14ac:dyDescent="0.35">
      <c r="A1710" t="s">
        <v>1755</v>
      </c>
      <c r="B1710">
        <v>123060</v>
      </c>
      <c r="C1710">
        <f t="shared" si="60"/>
        <v>929.7</v>
      </c>
      <c r="D1710">
        <f t="shared" si="59"/>
        <v>123989.7</v>
      </c>
    </row>
    <row r="1711" spans="1:4" x14ac:dyDescent="0.35">
      <c r="A1711" t="s">
        <v>1756</v>
      </c>
      <c r="B1711">
        <v>114931</v>
      </c>
      <c r="C1711">
        <f t="shared" si="60"/>
        <v>1218.8399999999999</v>
      </c>
      <c r="D1711">
        <f t="shared" si="59"/>
        <v>116149.84</v>
      </c>
    </row>
    <row r="1712" spans="1:4" x14ac:dyDescent="0.35">
      <c r="A1712" t="s">
        <v>1757</v>
      </c>
      <c r="B1712">
        <v>123393</v>
      </c>
      <c r="C1712">
        <f t="shared" si="60"/>
        <v>745.02</v>
      </c>
      <c r="D1712">
        <f t="shared" si="59"/>
        <v>124138.02</v>
      </c>
    </row>
    <row r="1713" spans="1:4" x14ac:dyDescent="0.35">
      <c r="A1713" t="s">
        <v>1758</v>
      </c>
      <c r="B1713">
        <v>108987</v>
      </c>
      <c r="C1713">
        <f t="shared" si="60"/>
        <v>1283.8800000000001</v>
      </c>
      <c r="D1713">
        <f t="shared" si="59"/>
        <v>110270.88</v>
      </c>
    </row>
    <row r="1714" spans="1:4" x14ac:dyDescent="0.35">
      <c r="A1714" t="s">
        <v>1759</v>
      </c>
      <c r="B1714">
        <v>115037</v>
      </c>
      <c r="C1714">
        <f t="shared" si="60"/>
        <v>1196.4000000000001</v>
      </c>
      <c r="D1714">
        <f t="shared" si="59"/>
        <v>116233.4</v>
      </c>
    </row>
    <row r="1715" spans="1:4" x14ac:dyDescent="0.35">
      <c r="A1715" t="s">
        <v>1760</v>
      </c>
      <c r="B1715">
        <v>109343</v>
      </c>
      <c r="C1715">
        <f t="shared" si="60"/>
        <v>1072.3800000000001</v>
      </c>
      <c r="D1715">
        <f t="shared" si="59"/>
        <v>110415.38</v>
      </c>
    </row>
    <row r="1716" spans="1:4" x14ac:dyDescent="0.35">
      <c r="A1716" t="s">
        <v>1761</v>
      </c>
      <c r="B1716">
        <v>109995</v>
      </c>
      <c r="C1716">
        <f t="shared" si="60"/>
        <v>1407.84</v>
      </c>
      <c r="D1716">
        <f t="shared" si="59"/>
        <v>111402.84</v>
      </c>
    </row>
    <row r="1717" spans="1:4" x14ac:dyDescent="0.35">
      <c r="A1717" t="s">
        <v>1762</v>
      </c>
      <c r="B1717">
        <v>115908</v>
      </c>
      <c r="C1717">
        <f t="shared" si="60"/>
        <v>780.72</v>
      </c>
      <c r="D1717">
        <f t="shared" si="59"/>
        <v>116688.72</v>
      </c>
    </row>
    <row r="1718" spans="1:4" x14ac:dyDescent="0.35">
      <c r="A1718" t="s">
        <v>1763</v>
      </c>
      <c r="B1718">
        <v>125285</v>
      </c>
      <c r="C1718">
        <f t="shared" si="60"/>
        <v>1210.44</v>
      </c>
      <c r="D1718">
        <f t="shared" si="59"/>
        <v>126495.44</v>
      </c>
    </row>
    <row r="1719" spans="1:4" x14ac:dyDescent="0.35">
      <c r="A1719" t="s">
        <v>1764</v>
      </c>
      <c r="B1719">
        <v>110053</v>
      </c>
      <c r="C1719">
        <f t="shared" si="60"/>
        <v>1563</v>
      </c>
      <c r="D1719">
        <f t="shared" si="59"/>
        <v>111616</v>
      </c>
    </row>
    <row r="1720" spans="1:4" x14ac:dyDescent="0.35">
      <c r="A1720" t="s">
        <v>1765</v>
      </c>
      <c r="B1720">
        <v>125653</v>
      </c>
      <c r="C1720">
        <f t="shared" si="60"/>
        <v>762.66</v>
      </c>
      <c r="D1720">
        <f t="shared" si="59"/>
        <v>126415.66</v>
      </c>
    </row>
    <row r="1721" spans="1:4" x14ac:dyDescent="0.35">
      <c r="A1721" t="s">
        <v>1766</v>
      </c>
      <c r="B1721">
        <v>114326</v>
      </c>
      <c r="C1721">
        <f t="shared" si="60"/>
        <v>1146.18</v>
      </c>
      <c r="D1721">
        <f t="shared" si="59"/>
        <v>115472.18</v>
      </c>
    </row>
    <row r="1722" spans="1:4" x14ac:dyDescent="0.35">
      <c r="A1722" t="s">
        <v>1767</v>
      </c>
      <c r="B1722">
        <v>125972</v>
      </c>
      <c r="C1722">
        <f t="shared" si="60"/>
        <v>899.88</v>
      </c>
      <c r="D1722">
        <f t="shared" si="59"/>
        <v>126871.88</v>
      </c>
    </row>
    <row r="1723" spans="1:4" x14ac:dyDescent="0.35">
      <c r="A1723" t="s">
        <v>1768</v>
      </c>
      <c r="B1723">
        <v>109371</v>
      </c>
      <c r="C1723">
        <f t="shared" si="60"/>
        <v>1206.9000000000001</v>
      </c>
      <c r="D1723">
        <f t="shared" si="59"/>
        <v>110577.9</v>
      </c>
    </row>
    <row r="1724" spans="1:4" x14ac:dyDescent="0.35">
      <c r="A1724" t="s">
        <v>1769</v>
      </c>
      <c r="B1724">
        <v>107933</v>
      </c>
      <c r="C1724">
        <f t="shared" si="60"/>
        <v>1498.44</v>
      </c>
      <c r="D1724">
        <f t="shared" si="59"/>
        <v>109431.44</v>
      </c>
    </row>
    <row r="1725" spans="1:4" x14ac:dyDescent="0.35">
      <c r="A1725" t="s">
        <v>1770</v>
      </c>
      <c r="B1725">
        <v>123351</v>
      </c>
      <c r="C1725">
        <f t="shared" si="60"/>
        <v>914.34</v>
      </c>
      <c r="D1725">
        <f t="shared" si="59"/>
        <v>124265.34</v>
      </c>
    </row>
    <row r="1726" spans="1:4" x14ac:dyDescent="0.35">
      <c r="A1726" t="s">
        <v>1771</v>
      </c>
      <c r="B1726">
        <v>110154</v>
      </c>
      <c r="C1726">
        <f t="shared" si="60"/>
        <v>1499.4</v>
      </c>
      <c r="D1726">
        <f t="shared" si="59"/>
        <v>111653.4</v>
      </c>
    </row>
    <row r="1727" spans="1:4" x14ac:dyDescent="0.35">
      <c r="A1727" t="s">
        <v>1772</v>
      </c>
      <c r="B1727">
        <v>107825</v>
      </c>
      <c r="C1727">
        <f t="shared" si="60"/>
        <v>787.5</v>
      </c>
      <c r="D1727">
        <f t="shared" si="59"/>
        <v>108612.5</v>
      </c>
    </row>
    <row r="1728" spans="1:4" x14ac:dyDescent="0.35">
      <c r="A1728" t="s">
        <v>1773</v>
      </c>
      <c r="B1728">
        <v>105006</v>
      </c>
      <c r="C1728">
        <f t="shared" si="60"/>
        <v>939.96</v>
      </c>
      <c r="D1728">
        <f t="shared" si="59"/>
        <v>105945.96</v>
      </c>
    </row>
    <row r="1729" spans="1:4" x14ac:dyDescent="0.35">
      <c r="A1729" t="s">
        <v>1774</v>
      </c>
      <c r="B1729">
        <v>123382</v>
      </c>
      <c r="C1729">
        <f t="shared" si="60"/>
        <v>1261.32</v>
      </c>
      <c r="D1729">
        <f t="shared" si="59"/>
        <v>124643.32</v>
      </c>
    </row>
    <row r="1730" spans="1:4" x14ac:dyDescent="0.35">
      <c r="A1730" t="s">
        <v>1775</v>
      </c>
      <c r="B1730">
        <v>124981</v>
      </c>
      <c r="C1730">
        <f t="shared" si="60"/>
        <v>1475.88</v>
      </c>
      <c r="D1730">
        <f t="shared" si="59"/>
        <v>126456.88</v>
      </c>
    </row>
    <row r="1731" spans="1:4" x14ac:dyDescent="0.35">
      <c r="A1731" t="s">
        <v>1776</v>
      </c>
      <c r="B1731">
        <v>114555</v>
      </c>
      <c r="C1731">
        <f t="shared" si="60"/>
        <v>825.6</v>
      </c>
      <c r="D1731">
        <f t="shared" ref="D1731:D1794" si="61">B1731+C1731</f>
        <v>115380.6</v>
      </c>
    </row>
    <row r="1732" spans="1:4" x14ac:dyDescent="0.35">
      <c r="A1732" t="s">
        <v>1777</v>
      </c>
      <c r="B1732">
        <v>105580</v>
      </c>
      <c r="C1732">
        <f t="shared" si="60"/>
        <v>1491.66</v>
      </c>
      <c r="D1732">
        <f t="shared" si="61"/>
        <v>107071.66</v>
      </c>
    </row>
    <row r="1733" spans="1:4" x14ac:dyDescent="0.35">
      <c r="A1733" t="s">
        <v>1778</v>
      </c>
      <c r="B1733">
        <v>115344</v>
      </c>
      <c r="C1733">
        <f t="shared" si="60"/>
        <v>1009.62</v>
      </c>
      <c r="D1733">
        <f t="shared" si="61"/>
        <v>116353.62</v>
      </c>
    </row>
    <row r="1734" spans="1:4" x14ac:dyDescent="0.35">
      <c r="A1734" t="s">
        <v>1779</v>
      </c>
      <c r="B1734">
        <v>105282</v>
      </c>
      <c r="C1734">
        <f t="shared" si="60"/>
        <v>1147.08</v>
      </c>
      <c r="D1734">
        <f t="shared" si="61"/>
        <v>106429.08</v>
      </c>
    </row>
    <row r="1735" spans="1:4" x14ac:dyDescent="0.35">
      <c r="A1735" t="s">
        <v>1780</v>
      </c>
      <c r="B1735">
        <v>108686</v>
      </c>
      <c r="C1735">
        <f t="shared" si="60"/>
        <v>1513.14</v>
      </c>
      <c r="D1735">
        <f t="shared" si="61"/>
        <v>110199.14</v>
      </c>
    </row>
    <row r="1736" spans="1:4" x14ac:dyDescent="0.35">
      <c r="A1736" t="s">
        <v>1781</v>
      </c>
      <c r="B1736">
        <v>123608</v>
      </c>
      <c r="C1736">
        <f t="shared" ref="C1736:C1799" si="62">B778*6/100</f>
        <v>1218.6600000000001</v>
      </c>
      <c r="D1736">
        <f t="shared" si="61"/>
        <v>124826.66</v>
      </c>
    </row>
    <row r="1737" spans="1:4" x14ac:dyDescent="0.35">
      <c r="A1737" t="s">
        <v>1782</v>
      </c>
      <c r="B1737">
        <v>106591</v>
      </c>
      <c r="C1737">
        <f t="shared" si="62"/>
        <v>1520.34</v>
      </c>
      <c r="D1737">
        <f t="shared" si="61"/>
        <v>108111.34</v>
      </c>
    </row>
    <row r="1738" spans="1:4" x14ac:dyDescent="0.35">
      <c r="A1738" t="s">
        <v>1783</v>
      </c>
      <c r="B1738">
        <v>113591</v>
      </c>
      <c r="C1738">
        <f t="shared" si="62"/>
        <v>849.84</v>
      </c>
      <c r="D1738">
        <f t="shared" si="61"/>
        <v>114440.84</v>
      </c>
    </row>
    <row r="1739" spans="1:4" x14ac:dyDescent="0.35">
      <c r="A1739" t="s">
        <v>1784</v>
      </c>
      <c r="B1739">
        <v>107703</v>
      </c>
      <c r="C1739">
        <f t="shared" si="62"/>
        <v>1099.5</v>
      </c>
      <c r="D1739">
        <f t="shared" si="61"/>
        <v>108802.5</v>
      </c>
    </row>
    <row r="1740" spans="1:4" x14ac:dyDescent="0.35">
      <c r="A1740" t="s">
        <v>1785</v>
      </c>
      <c r="B1740">
        <v>125069</v>
      </c>
      <c r="C1740">
        <f t="shared" si="62"/>
        <v>1201.26</v>
      </c>
      <c r="D1740">
        <f t="shared" si="61"/>
        <v>126270.26</v>
      </c>
    </row>
    <row r="1741" spans="1:4" x14ac:dyDescent="0.35">
      <c r="A1741" t="s">
        <v>1786</v>
      </c>
      <c r="B1741">
        <v>110313</v>
      </c>
      <c r="C1741">
        <f t="shared" si="62"/>
        <v>1611</v>
      </c>
      <c r="D1741">
        <f t="shared" si="61"/>
        <v>111924</v>
      </c>
    </row>
    <row r="1742" spans="1:4" x14ac:dyDescent="0.35">
      <c r="A1742" t="s">
        <v>1787</v>
      </c>
      <c r="B1742">
        <v>114590</v>
      </c>
      <c r="C1742">
        <f t="shared" si="62"/>
        <v>1167.18</v>
      </c>
      <c r="D1742">
        <f t="shared" si="61"/>
        <v>115757.18</v>
      </c>
    </row>
    <row r="1743" spans="1:4" x14ac:dyDescent="0.35">
      <c r="A1743" t="s">
        <v>1788</v>
      </c>
      <c r="B1743">
        <v>105078</v>
      </c>
      <c r="C1743">
        <f t="shared" si="62"/>
        <v>1132.6199999999999</v>
      </c>
      <c r="D1743">
        <f t="shared" si="61"/>
        <v>106210.62</v>
      </c>
    </row>
    <row r="1744" spans="1:4" x14ac:dyDescent="0.35">
      <c r="A1744" t="s">
        <v>1789</v>
      </c>
      <c r="B1744">
        <v>124921</v>
      </c>
      <c r="C1744">
        <f t="shared" si="62"/>
        <v>1002.78</v>
      </c>
      <c r="D1744">
        <f t="shared" si="61"/>
        <v>125923.78</v>
      </c>
    </row>
    <row r="1745" spans="1:4" x14ac:dyDescent="0.35">
      <c r="A1745" t="s">
        <v>1790</v>
      </c>
      <c r="B1745">
        <v>104491</v>
      </c>
      <c r="C1745">
        <f t="shared" si="62"/>
        <v>885.9</v>
      </c>
      <c r="D1745">
        <f t="shared" si="61"/>
        <v>105376.9</v>
      </c>
    </row>
    <row r="1746" spans="1:4" x14ac:dyDescent="0.35">
      <c r="A1746" t="s">
        <v>1791</v>
      </c>
      <c r="B1746">
        <v>107823</v>
      </c>
      <c r="C1746">
        <f t="shared" si="62"/>
        <v>1273.2</v>
      </c>
      <c r="D1746">
        <f t="shared" si="61"/>
        <v>109096.2</v>
      </c>
    </row>
    <row r="1747" spans="1:4" x14ac:dyDescent="0.35">
      <c r="A1747" t="s">
        <v>1792</v>
      </c>
      <c r="B1747">
        <v>108207</v>
      </c>
      <c r="C1747">
        <f t="shared" si="62"/>
        <v>1149.06</v>
      </c>
      <c r="D1747">
        <f t="shared" si="61"/>
        <v>109356.06</v>
      </c>
    </row>
    <row r="1748" spans="1:4" x14ac:dyDescent="0.35">
      <c r="A1748" t="s">
        <v>1793</v>
      </c>
      <c r="B1748">
        <v>124380</v>
      </c>
      <c r="C1748">
        <f t="shared" si="62"/>
        <v>1204.98</v>
      </c>
      <c r="D1748">
        <f t="shared" si="61"/>
        <v>125584.98</v>
      </c>
    </row>
    <row r="1749" spans="1:4" x14ac:dyDescent="0.35">
      <c r="A1749" t="s">
        <v>1794</v>
      </c>
      <c r="B1749">
        <v>108803</v>
      </c>
      <c r="C1749">
        <f t="shared" si="62"/>
        <v>925.38</v>
      </c>
      <c r="D1749">
        <f t="shared" si="61"/>
        <v>109728.38</v>
      </c>
    </row>
    <row r="1750" spans="1:4" x14ac:dyDescent="0.35">
      <c r="A1750" t="s">
        <v>1795</v>
      </c>
      <c r="B1750">
        <v>114544</v>
      </c>
      <c r="C1750">
        <f t="shared" si="62"/>
        <v>1085.46</v>
      </c>
      <c r="D1750">
        <f t="shared" si="61"/>
        <v>115629.46</v>
      </c>
    </row>
    <row r="1751" spans="1:4" x14ac:dyDescent="0.35">
      <c r="A1751" t="s">
        <v>1796</v>
      </c>
      <c r="B1751">
        <v>107943</v>
      </c>
      <c r="C1751">
        <f t="shared" si="62"/>
        <v>832.32</v>
      </c>
      <c r="D1751">
        <f t="shared" si="61"/>
        <v>108775.32</v>
      </c>
    </row>
    <row r="1752" spans="1:4" x14ac:dyDescent="0.35">
      <c r="A1752" t="s">
        <v>1797</v>
      </c>
      <c r="B1752">
        <v>124231</v>
      </c>
      <c r="C1752">
        <f t="shared" si="62"/>
        <v>988.14</v>
      </c>
      <c r="D1752">
        <f t="shared" si="61"/>
        <v>125219.14</v>
      </c>
    </row>
    <row r="1753" spans="1:4" x14ac:dyDescent="0.35">
      <c r="A1753" t="s">
        <v>1798</v>
      </c>
      <c r="B1753">
        <v>113189</v>
      </c>
      <c r="C1753">
        <f t="shared" si="62"/>
        <v>1230.3599999999999</v>
      </c>
      <c r="D1753">
        <f t="shared" si="61"/>
        <v>114419.36</v>
      </c>
    </row>
    <row r="1754" spans="1:4" x14ac:dyDescent="0.35">
      <c r="A1754" t="s">
        <v>1799</v>
      </c>
      <c r="B1754">
        <v>123280</v>
      </c>
      <c r="C1754">
        <f t="shared" si="62"/>
        <v>999.18</v>
      </c>
      <c r="D1754">
        <f t="shared" si="61"/>
        <v>124279.18</v>
      </c>
    </row>
    <row r="1755" spans="1:4" x14ac:dyDescent="0.35">
      <c r="A1755" t="s">
        <v>1800</v>
      </c>
      <c r="B1755">
        <v>123617</v>
      </c>
      <c r="C1755">
        <f t="shared" si="62"/>
        <v>763.14</v>
      </c>
      <c r="D1755">
        <f t="shared" si="61"/>
        <v>124380.14</v>
      </c>
    </row>
    <row r="1756" spans="1:4" x14ac:dyDescent="0.35">
      <c r="A1756" t="s">
        <v>1801</v>
      </c>
      <c r="B1756">
        <v>125666</v>
      </c>
      <c r="C1756">
        <f t="shared" si="62"/>
        <v>1152.96</v>
      </c>
      <c r="D1756">
        <f t="shared" si="61"/>
        <v>126818.96</v>
      </c>
    </row>
    <row r="1757" spans="1:4" x14ac:dyDescent="0.35">
      <c r="A1757" t="s">
        <v>1802</v>
      </c>
      <c r="B1757">
        <v>106223</v>
      </c>
      <c r="C1757">
        <f t="shared" si="62"/>
        <v>805.32</v>
      </c>
      <c r="D1757">
        <f t="shared" si="61"/>
        <v>107028.32</v>
      </c>
    </row>
    <row r="1758" spans="1:4" x14ac:dyDescent="0.35">
      <c r="A1758" t="s">
        <v>1803</v>
      </c>
      <c r="B1758">
        <v>104943</v>
      </c>
      <c r="C1758">
        <f t="shared" si="62"/>
        <v>1046.8800000000001</v>
      </c>
      <c r="D1758">
        <f t="shared" si="61"/>
        <v>105989.88</v>
      </c>
    </row>
    <row r="1759" spans="1:4" x14ac:dyDescent="0.35">
      <c r="A1759" t="s">
        <v>1804</v>
      </c>
      <c r="B1759">
        <v>125498</v>
      </c>
      <c r="C1759">
        <f t="shared" si="62"/>
        <v>1083.6600000000001</v>
      </c>
      <c r="D1759">
        <f t="shared" si="61"/>
        <v>126581.66</v>
      </c>
    </row>
    <row r="1760" spans="1:4" x14ac:dyDescent="0.35">
      <c r="A1760" t="s">
        <v>1805</v>
      </c>
      <c r="B1760">
        <v>105590</v>
      </c>
      <c r="C1760">
        <f t="shared" si="62"/>
        <v>962.52</v>
      </c>
      <c r="D1760">
        <f t="shared" si="61"/>
        <v>106552.52</v>
      </c>
    </row>
    <row r="1761" spans="1:4" x14ac:dyDescent="0.35">
      <c r="A1761" t="s">
        <v>1806</v>
      </c>
      <c r="B1761">
        <v>108751</v>
      </c>
      <c r="C1761">
        <f t="shared" si="62"/>
        <v>1493.1</v>
      </c>
      <c r="D1761">
        <f t="shared" si="61"/>
        <v>110244.1</v>
      </c>
    </row>
    <row r="1762" spans="1:4" x14ac:dyDescent="0.35">
      <c r="A1762" t="s">
        <v>1807</v>
      </c>
      <c r="B1762">
        <v>104627</v>
      </c>
      <c r="C1762">
        <f t="shared" si="62"/>
        <v>731.52</v>
      </c>
      <c r="D1762">
        <f t="shared" si="61"/>
        <v>105358.52</v>
      </c>
    </row>
    <row r="1763" spans="1:4" x14ac:dyDescent="0.35">
      <c r="A1763" t="s">
        <v>1808</v>
      </c>
      <c r="B1763">
        <v>124136</v>
      </c>
      <c r="C1763">
        <f t="shared" si="62"/>
        <v>1177.74</v>
      </c>
      <c r="D1763">
        <f t="shared" si="61"/>
        <v>125313.74</v>
      </c>
    </row>
    <row r="1764" spans="1:4" x14ac:dyDescent="0.35">
      <c r="A1764" t="s">
        <v>1809</v>
      </c>
      <c r="B1764">
        <v>104446</v>
      </c>
      <c r="C1764">
        <f t="shared" si="62"/>
        <v>1476.18</v>
      </c>
      <c r="D1764">
        <f t="shared" si="61"/>
        <v>105922.18</v>
      </c>
    </row>
    <row r="1765" spans="1:4" x14ac:dyDescent="0.35">
      <c r="A1765" t="s">
        <v>1810</v>
      </c>
      <c r="B1765">
        <v>107921</v>
      </c>
      <c r="C1765">
        <f t="shared" si="62"/>
        <v>1546.14</v>
      </c>
      <c r="D1765">
        <f t="shared" si="61"/>
        <v>109467.14</v>
      </c>
    </row>
    <row r="1766" spans="1:4" x14ac:dyDescent="0.35">
      <c r="A1766" t="s">
        <v>1811</v>
      </c>
      <c r="B1766">
        <v>123832</v>
      </c>
      <c r="C1766">
        <f t="shared" si="62"/>
        <v>1243.44</v>
      </c>
      <c r="D1766">
        <f t="shared" si="61"/>
        <v>125075.44</v>
      </c>
    </row>
    <row r="1767" spans="1:4" x14ac:dyDescent="0.35">
      <c r="A1767" t="s">
        <v>1812</v>
      </c>
      <c r="B1767">
        <v>108761</v>
      </c>
      <c r="C1767">
        <f t="shared" si="62"/>
        <v>1206</v>
      </c>
      <c r="D1767">
        <f t="shared" si="61"/>
        <v>109967</v>
      </c>
    </row>
    <row r="1768" spans="1:4" x14ac:dyDescent="0.35">
      <c r="A1768" t="s">
        <v>1813</v>
      </c>
      <c r="B1768">
        <v>125383</v>
      </c>
      <c r="C1768">
        <f t="shared" si="62"/>
        <v>1418.4</v>
      </c>
      <c r="D1768">
        <f t="shared" si="61"/>
        <v>126801.4</v>
      </c>
    </row>
    <row r="1769" spans="1:4" x14ac:dyDescent="0.35">
      <c r="A1769" t="s">
        <v>1814</v>
      </c>
      <c r="B1769">
        <v>114517</v>
      </c>
      <c r="C1769">
        <f t="shared" si="62"/>
        <v>850.74</v>
      </c>
      <c r="D1769">
        <f t="shared" si="61"/>
        <v>115367.74</v>
      </c>
    </row>
    <row r="1770" spans="1:4" x14ac:dyDescent="0.35">
      <c r="A1770" t="s">
        <v>1815</v>
      </c>
      <c r="B1770">
        <v>114223</v>
      </c>
      <c r="C1770">
        <f t="shared" si="62"/>
        <v>867</v>
      </c>
      <c r="D1770">
        <f t="shared" si="61"/>
        <v>115090</v>
      </c>
    </row>
    <row r="1771" spans="1:4" x14ac:dyDescent="0.35">
      <c r="A1771" t="s">
        <v>1816</v>
      </c>
      <c r="B1771">
        <v>109220</v>
      </c>
      <c r="C1771">
        <f t="shared" si="62"/>
        <v>1521.42</v>
      </c>
      <c r="D1771">
        <f t="shared" si="61"/>
        <v>110741.42</v>
      </c>
    </row>
    <row r="1772" spans="1:4" x14ac:dyDescent="0.35">
      <c r="A1772" t="s">
        <v>1817</v>
      </c>
      <c r="B1772">
        <v>124419</v>
      </c>
      <c r="C1772">
        <f t="shared" si="62"/>
        <v>1263.78</v>
      </c>
      <c r="D1772">
        <f t="shared" si="61"/>
        <v>125682.78</v>
      </c>
    </row>
    <row r="1773" spans="1:4" x14ac:dyDescent="0.35">
      <c r="A1773" t="s">
        <v>1818</v>
      </c>
      <c r="B1773">
        <v>105437</v>
      </c>
      <c r="C1773">
        <f t="shared" si="62"/>
        <v>1438.26</v>
      </c>
      <c r="D1773">
        <f t="shared" si="61"/>
        <v>106875.26</v>
      </c>
    </row>
    <row r="1774" spans="1:4" x14ac:dyDescent="0.35">
      <c r="A1774" t="s">
        <v>1819</v>
      </c>
      <c r="B1774">
        <v>108599</v>
      </c>
      <c r="C1774">
        <f t="shared" si="62"/>
        <v>1005.18</v>
      </c>
      <c r="D1774">
        <f t="shared" si="61"/>
        <v>109604.18</v>
      </c>
    </row>
    <row r="1775" spans="1:4" x14ac:dyDescent="0.35">
      <c r="A1775" t="s">
        <v>1820</v>
      </c>
      <c r="B1775">
        <v>109760</v>
      </c>
      <c r="C1775">
        <f t="shared" si="62"/>
        <v>1009.92</v>
      </c>
      <c r="D1775">
        <f t="shared" si="61"/>
        <v>110769.92</v>
      </c>
    </row>
    <row r="1776" spans="1:4" x14ac:dyDescent="0.35">
      <c r="A1776" t="s">
        <v>1821</v>
      </c>
      <c r="B1776">
        <v>106046</v>
      </c>
      <c r="C1776">
        <f t="shared" si="62"/>
        <v>1626.84</v>
      </c>
      <c r="D1776">
        <f t="shared" si="61"/>
        <v>107672.84</v>
      </c>
    </row>
    <row r="1777" spans="1:4" x14ac:dyDescent="0.35">
      <c r="A1777" t="s">
        <v>1822</v>
      </c>
      <c r="B1777">
        <v>114550</v>
      </c>
      <c r="C1777">
        <f t="shared" si="62"/>
        <v>928.02</v>
      </c>
      <c r="D1777">
        <f t="shared" si="61"/>
        <v>115478.02</v>
      </c>
    </row>
    <row r="1778" spans="1:4" x14ac:dyDescent="0.35">
      <c r="A1778" t="s">
        <v>1823</v>
      </c>
      <c r="B1778">
        <v>123380</v>
      </c>
      <c r="C1778">
        <f t="shared" si="62"/>
        <v>1209.8399999999999</v>
      </c>
      <c r="D1778">
        <f t="shared" si="61"/>
        <v>124589.84</v>
      </c>
    </row>
    <row r="1779" spans="1:4" x14ac:dyDescent="0.35">
      <c r="A1779" t="s">
        <v>1824</v>
      </c>
      <c r="B1779">
        <v>113591</v>
      </c>
      <c r="C1779">
        <f t="shared" si="62"/>
        <v>854.58</v>
      </c>
      <c r="D1779">
        <f t="shared" si="61"/>
        <v>114445.58</v>
      </c>
    </row>
    <row r="1780" spans="1:4" x14ac:dyDescent="0.35">
      <c r="A1780" t="s">
        <v>1825</v>
      </c>
      <c r="B1780">
        <v>110226</v>
      </c>
      <c r="C1780">
        <f t="shared" si="62"/>
        <v>859.26</v>
      </c>
      <c r="D1780">
        <f t="shared" si="61"/>
        <v>111085.26</v>
      </c>
    </row>
    <row r="1781" spans="1:4" x14ac:dyDescent="0.35">
      <c r="A1781" t="s">
        <v>1826</v>
      </c>
      <c r="B1781">
        <v>123782</v>
      </c>
      <c r="C1781">
        <f t="shared" si="62"/>
        <v>1000.92</v>
      </c>
      <c r="D1781">
        <f t="shared" si="61"/>
        <v>124782.92</v>
      </c>
    </row>
    <row r="1782" spans="1:4" x14ac:dyDescent="0.35">
      <c r="A1782" t="s">
        <v>1827</v>
      </c>
      <c r="B1782">
        <v>105297</v>
      </c>
      <c r="C1782">
        <f t="shared" si="62"/>
        <v>862.02</v>
      </c>
      <c r="D1782">
        <f t="shared" si="61"/>
        <v>106159.02</v>
      </c>
    </row>
    <row r="1783" spans="1:4" x14ac:dyDescent="0.35">
      <c r="A1783" t="s">
        <v>1828</v>
      </c>
      <c r="B1783">
        <v>114759</v>
      </c>
      <c r="C1783">
        <f t="shared" si="62"/>
        <v>774</v>
      </c>
      <c r="D1783">
        <f t="shared" si="61"/>
        <v>115533</v>
      </c>
    </row>
    <row r="1784" spans="1:4" x14ac:dyDescent="0.35">
      <c r="A1784" t="s">
        <v>1829</v>
      </c>
      <c r="B1784">
        <v>114351</v>
      </c>
      <c r="C1784">
        <f t="shared" si="62"/>
        <v>921.48</v>
      </c>
      <c r="D1784">
        <f t="shared" si="61"/>
        <v>115272.48</v>
      </c>
    </row>
    <row r="1785" spans="1:4" x14ac:dyDescent="0.35">
      <c r="A1785" t="s">
        <v>1830</v>
      </c>
      <c r="B1785">
        <v>114916</v>
      </c>
      <c r="C1785">
        <f t="shared" si="62"/>
        <v>963.42</v>
      </c>
      <c r="D1785">
        <f t="shared" si="61"/>
        <v>115879.42</v>
      </c>
    </row>
    <row r="1786" spans="1:4" x14ac:dyDescent="0.35">
      <c r="A1786" t="s">
        <v>1831</v>
      </c>
      <c r="B1786">
        <v>125391</v>
      </c>
      <c r="C1786">
        <f t="shared" si="62"/>
        <v>1422.48</v>
      </c>
      <c r="D1786">
        <f t="shared" si="61"/>
        <v>126813.48</v>
      </c>
    </row>
    <row r="1787" spans="1:4" x14ac:dyDescent="0.35">
      <c r="A1787" t="s">
        <v>1832</v>
      </c>
      <c r="B1787">
        <v>124917</v>
      </c>
      <c r="C1787">
        <f t="shared" si="62"/>
        <v>1066.68</v>
      </c>
      <c r="D1787">
        <f t="shared" si="61"/>
        <v>125983.67999999999</v>
      </c>
    </row>
    <row r="1788" spans="1:4" x14ac:dyDescent="0.35">
      <c r="A1788" t="s">
        <v>1833</v>
      </c>
      <c r="B1788">
        <v>124270</v>
      </c>
      <c r="C1788">
        <f t="shared" si="62"/>
        <v>1122.06</v>
      </c>
      <c r="D1788">
        <f t="shared" si="61"/>
        <v>125392.06</v>
      </c>
    </row>
    <row r="1789" spans="1:4" x14ac:dyDescent="0.35">
      <c r="A1789" t="s">
        <v>1834</v>
      </c>
      <c r="B1789">
        <v>109168</v>
      </c>
      <c r="C1789">
        <f t="shared" si="62"/>
        <v>959.46</v>
      </c>
      <c r="D1789">
        <f t="shared" si="61"/>
        <v>110127.46</v>
      </c>
    </row>
    <row r="1790" spans="1:4" x14ac:dyDescent="0.35">
      <c r="A1790" t="s">
        <v>1835</v>
      </c>
      <c r="B1790">
        <v>113675</v>
      </c>
      <c r="C1790">
        <f t="shared" si="62"/>
        <v>1533.48</v>
      </c>
      <c r="D1790">
        <f t="shared" si="61"/>
        <v>115208.48</v>
      </c>
    </row>
    <row r="1791" spans="1:4" x14ac:dyDescent="0.35">
      <c r="A1791" t="s">
        <v>1836</v>
      </c>
      <c r="B1791">
        <v>123531</v>
      </c>
      <c r="C1791">
        <f t="shared" si="62"/>
        <v>1390.74</v>
      </c>
      <c r="D1791">
        <f t="shared" si="61"/>
        <v>124921.74</v>
      </c>
    </row>
    <row r="1792" spans="1:4" x14ac:dyDescent="0.35">
      <c r="A1792" t="s">
        <v>1837</v>
      </c>
      <c r="B1792">
        <v>108926</v>
      </c>
      <c r="C1792">
        <f t="shared" si="62"/>
        <v>1501.08</v>
      </c>
      <c r="D1792">
        <f t="shared" si="61"/>
        <v>110427.08</v>
      </c>
    </row>
    <row r="1793" spans="1:4" x14ac:dyDescent="0.35">
      <c r="A1793" t="s">
        <v>1838</v>
      </c>
      <c r="B1793">
        <v>109419</v>
      </c>
      <c r="C1793">
        <f t="shared" si="62"/>
        <v>738.9</v>
      </c>
      <c r="D1793">
        <f t="shared" si="61"/>
        <v>110157.9</v>
      </c>
    </row>
    <row r="1794" spans="1:4" x14ac:dyDescent="0.35">
      <c r="A1794" t="s">
        <v>1839</v>
      </c>
      <c r="B1794">
        <v>113633</v>
      </c>
      <c r="C1794">
        <f t="shared" si="62"/>
        <v>1030.2</v>
      </c>
      <c r="D1794">
        <f t="shared" si="61"/>
        <v>114663.2</v>
      </c>
    </row>
    <row r="1795" spans="1:4" x14ac:dyDescent="0.35">
      <c r="A1795" t="s">
        <v>1840</v>
      </c>
      <c r="B1795">
        <v>109689</v>
      </c>
      <c r="C1795">
        <f t="shared" si="62"/>
        <v>912.18</v>
      </c>
      <c r="D1795">
        <f t="shared" ref="D1795:D1858" si="63">B1795+C1795</f>
        <v>110601.18</v>
      </c>
    </row>
    <row r="1796" spans="1:4" x14ac:dyDescent="0.35">
      <c r="A1796" t="s">
        <v>1841</v>
      </c>
      <c r="B1796">
        <v>108864</v>
      </c>
      <c r="C1796">
        <f t="shared" si="62"/>
        <v>1036.44</v>
      </c>
      <c r="D1796">
        <f t="shared" si="63"/>
        <v>109900.44</v>
      </c>
    </row>
    <row r="1797" spans="1:4" x14ac:dyDescent="0.35">
      <c r="A1797" t="s">
        <v>1842</v>
      </c>
      <c r="B1797">
        <v>108727</v>
      </c>
      <c r="C1797">
        <f t="shared" si="62"/>
        <v>927.96</v>
      </c>
      <c r="D1797">
        <f t="shared" si="63"/>
        <v>109654.96</v>
      </c>
    </row>
    <row r="1798" spans="1:4" x14ac:dyDescent="0.35">
      <c r="A1798" t="s">
        <v>1843</v>
      </c>
      <c r="B1798">
        <v>107921</v>
      </c>
      <c r="C1798">
        <f t="shared" si="62"/>
        <v>1449.06</v>
      </c>
      <c r="D1798">
        <f t="shared" si="63"/>
        <v>109370.06</v>
      </c>
    </row>
    <row r="1799" spans="1:4" x14ac:dyDescent="0.35">
      <c r="A1799" t="s">
        <v>1844</v>
      </c>
      <c r="B1799">
        <v>106300</v>
      </c>
      <c r="C1799">
        <f t="shared" si="62"/>
        <v>1072.44</v>
      </c>
      <c r="D1799">
        <f t="shared" si="63"/>
        <v>107372.44</v>
      </c>
    </row>
    <row r="1800" spans="1:4" x14ac:dyDescent="0.35">
      <c r="A1800" t="s">
        <v>1845</v>
      </c>
      <c r="B1800">
        <v>115443</v>
      </c>
      <c r="C1800">
        <f t="shared" ref="C1800:C1816" si="64">B842*6/100</f>
        <v>1036.26</v>
      </c>
      <c r="D1800">
        <f t="shared" si="63"/>
        <v>116479.26</v>
      </c>
    </row>
    <row r="1801" spans="1:4" x14ac:dyDescent="0.35">
      <c r="A1801" t="s">
        <v>1846</v>
      </c>
      <c r="B1801">
        <v>108361</v>
      </c>
      <c r="C1801">
        <f t="shared" si="64"/>
        <v>1111.32</v>
      </c>
      <c r="D1801">
        <f t="shared" si="63"/>
        <v>109472.32000000001</v>
      </c>
    </row>
    <row r="1802" spans="1:4" x14ac:dyDescent="0.35">
      <c r="A1802" t="s">
        <v>1847</v>
      </c>
      <c r="B1802">
        <v>108100</v>
      </c>
      <c r="C1802">
        <f t="shared" si="64"/>
        <v>1248.72</v>
      </c>
      <c r="D1802">
        <f t="shared" si="63"/>
        <v>109348.72</v>
      </c>
    </row>
    <row r="1803" spans="1:4" x14ac:dyDescent="0.35">
      <c r="A1803" t="s">
        <v>1848</v>
      </c>
      <c r="B1803">
        <v>124314</v>
      </c>
      <c r="C1803">
        <f t="shared" si="64"/>
        <v>1520.16</v>
      </c>
      <c r="D1803">
        <f t="shared" si="63"/>
        <v>125834.16</v>
      </c>
    </row>
    <row r="1804" spans="1:4" x14ac:dyDescent="0.35">
      <c r="A1804" t="s">
        <v>1849</v>
      </c>
      <c r="B1804">
        <v>114331</v>
      </c>
      <c r="C1804">
        <f t="shared" si="64"/>
        <v>1489.14</v>
      </c>
      <c r="D1804">
        <f t="shared" si="63"/>
        <v>115820.14</v>
      </c>
    </row>
    <row r="1805" spans="1:4" x14ac:dyDescent="0.35">
      <c r="A1805" t="s">
        <v>1850</v>
      </c>
      <c r="B1805">
        <v>108659</v>
      </c>
      <c r="C1805">
        <f t="shared" si="64"/>
        <v>928.74</v>
      </c>
      <c r="D1805">
        <f t="shared" si="63"/>
        <v>109587.74</v>
      </c>
    </row>
    <row r="1806" spans="1:4" x14ac:dyDescent="0.35">
      <c r="A1806" t="s">
        <v>1851</v>
      </c>
      <c r="B1806">
        <v>124182</v>
      </c>
      <c r="C1806">
        <f t="shared" si="64"/>
        <v>1057.56</v>
      </c>
      <c r="D1806">
        <f t="shared" si="63"/>
        <v>125239.56</v>
      </c>
    </row>
    <row r="1807" spans="1:4" x14ac:dyDescent="0.35">
      <c r="A1807" t="s">
        <v>1852</v>
      </c>
      <c r="B1807">
        <v>104770</v>
      </c>
      <c r="C1807">
        <f t="shared" si="64"/>
        <v>855.24</v>
      </c>
      <c r="D1807">
        <f t="shared" si="63"/>
        <v>105625.24</v>
      </c>
    </row>
    <row r="1808" spans="1:4" x14ac:dyDescent="0.35">
      <c r="A1808" t="s">
        <v>1853</v>
      </c>
      <c r="B1808">
        <v>109717</v>
      </c>
      <c r="C1808">
        <f t="shared" si="64"/>
        <v>914.22</v>
      </c>
      <c r="D1808">
        <f t="shared" si="63"/>
        <v>110631.22</v>
      </c>
    </row>
    <row r="1809" spans="1:4" x14ac:dyDescent="0.35">
      <c r="A1809" t="s">
        <v>1854</v>
      </c>
      <c r="B1809">
        <v>109658</v>
      </c>
      <c r="C1809">
        <f t="shared" si="64"/>
        <v>1613.4</v>
      </c>
      <c r="D1809">
        <f t="shared" si="63"/>
        <v>111271.4</v>
      </c>
    </row>
    <row r="1810" spans="1:4" x14ac:dyDescent="0.35">
      <c r="A1810" t="s">
        <v>1855</v>
      </c>
      <c r="B1810">
        <v>104668</v>
      </c>
      <c r="C1810">
        <f t="shared" si="64"/>
        <v>1037.0999999999999</v>
      </c>
      <c r="D1810">
        <f t="shared" si="63"/>
        <v>105705.1</v>
      </c>
    </row>
    <row r="1811" spans="1:4" x14ac:dyDescent="0.35">
      <c r="A1811" t="s">
        <v>1856</v>
      </c>
      <c r="B1811">
        <v>105300</v>
      </c>
      <c r="C1811">
        <f t="shared" si="64"/>
        <v>1628.4</v>
      </c>
      <c r="D1811">
        <f t="shared" si="63"/>
        <v>106928.4</v>
      </c>
    </row>
    <row r="1812" spans="1:4" x14ac:dyDescent="0.35">
      <c r="A1812" t="s">
        <v>1857</v>
      </c>
      <c r="B1812">
        <v>114841</v>
      </c>
      <c r="C1812">
        <f t="shared" si="64"/>
        <v>1090.8</v>
      </c>
      <c r="D1812">
        <f t="shared" si="63"/>
        <v>115931.8</v>
      </c>
    </row>
    <row r="1813" spans="1:4" x14ac:dyDescent="0.35">
      <c r="A1813" t="s">
        <v>1858</v>
      </c>
      <c r="B1813">
        <v>104649</v>
      </c>
      <c r="C1813">
        <f t="shared" si="64"/>
        <v>771.3</v>
      </c>
      <c r="D1813">
        <f t="shared" si="63"/>
        <v>105420.3</v>
      </c>
    </row>
    <row r="1814" spans="1:4" x14ac:dyDescent="0.35">
      <c r="A1814" t="s">
        <v>1859</v>
      </c>
      <c r="B1814">
        <v>104368</v>
      </c>
      <c r="C1814">
        <f t="shared" si="64"/>
        <v>801.9</v>
      </c>
      <c r="D1814">
        <f t="shared" si="63"/>
        <v>105169.9</v>
      </c>
    </row>
    <row r="1815" spans="1:4" x14ac:dyDescent="0.35">
      <c r="A1815" t="s">
        <v>1860</v>
      </c>
      <c r="B1815">
        <v>108615</v>
      </c>
      <c r="C1815">
        <f t="shared" si="64"/>
        <v>1528.8</v>
      </c>
      <c r="D1815">
        <f t="shared" si="63"/>
        <v>110143.8</v>
      </c>
    </row>
    <row r="1816" spans="1:4" x14ac:dyDescent="0.35">
      <c r="A1816" t="s">
        <v>1861</v>
      </c>
      <c r="B1816">
        <v>114381</v>
      </c>
      <c r="C1816">
        <f t="shared" si="64"/>
        <v>1469.16</v>
      </c>
      <c r="D1816">
        <f t="shared" si="63"/>
        <v>115850.16</v>
      </c>
    </row>
    <row r="1817" spans="1:4" x14ac:dyDescent="0.35">
      <c r="A1817" t="s">
        <v>1862</v>
      </c>
      <c r="B1817">
        <v>107938</v>
      </c>
      <c r="C1817">
        <f>B713*4/100</f>
        <v>601.04</v>
      </c>
      <c r="D1817">
        <f t="shared" si="63"/>
        <v>108539.04</v>
      </c>
    </row>
    <row r="1818" spans="1:4" x14ac:dyDescent="0.35">
      <c r="A1818" t="s">
        <v>1863</v>
      </c>
      <c r="B1818">
        <v>113683</v>
      </c>
      <c r="C1818">
        <f t="shared" ref="C1818:C1881" si="65">B714*4/100</f>
        <v>623.6</v>
      </c>
      <c r="D1818">
        <f t="shared" si="63"/>
        <v>114306.6</v>
      </c>
    </row>
    <row r="1819" spans="1:4" x14ac:dyDescent="0.35">
      <c r="A1819" t="s">
        <v>1864</v>
      </c>
      <c r="B1819">
        <v>115185</v>
      </c>
      <c r="C1819">
        <f t="shared" si="65"/>
        <v>618.04</v>
      </c>
      <c r="D1819">
        <f t="shared" si="63"/>
        <v>115803.04</v>
      </c>
    </row>
    <row r="1820" spans="1:4" x14ac:dyDescent="0.35">
      <c r="A1820" t="s">
        <v>1865</v>
      </c>
      <c r="B1820">
        <v>105498</v>
      </c>
      <c r="C1820">
        <f t="shared" si="65"/>
        <v>1021.88</v>
      </c>
      <c r="D1820">
        <f t="shared" si="63"/>
        <v>106519.88</v>
      </c>
    </row>
    <row r="1821" spans="1:4" x14ac:dyDescent="0.35">
      <c r="A1821" t="s">
        <v>1866</v>
      </c>
      <c r="B1821">
        <v>114219</v>
      </c>
      <c r="C1821">
        <f t="shared" si="65"/>
        <v>610.20000000000005</v>
      </c>
      <c r="D1821">
        <f t="shared" si="63"/>
        <v>114829.2</v>
      </c>
    </row>
    <row r="1822" spans="1:4" x14ac:dyDescent="0.35">
      <c r="A1822" t="s">
        <v>1867</v>
      </c>
      <c r="B1822">
        <v>124036</v>
      </c>
      <c r="C1822">
        <f t="shared" si="65"/>
        <v>484.4</v>
      </c>
      <c r="D1822">
        <f t="shared" si="63"/>
        <v>124520.4</v>
      </c>
    </row>
    <row r="1823" spans="1:4" x14ac:dyDescent="0.35">
      <c r="A1823" t="s">
        <v>1868</v>
      </c>
      <c r="B1823">
        <v>125052</v>
      </c>
      <c r="C1823">
        <f t="shared" si="65"/>
        <v>988.84</v>
      </c>
      <c r="D1823">
        <f t="shared" si="63"/>
        <v>126040.84</v>
      </c>
    </row>
    <row r="1824" spans="1:4" x14ac:dyDescent="0.35">
      <c r="A1824" t="s">
        <v>1869</v>
      </c>
      <c r="B1824">
        <v>114123</v>
      </c>
      <c r="C1824">
        <f t="shared" si="65"/>
        <v>934.64</v>
      </c>
      <c r="D1824">
        <f t="shared" si="63"/>
        <v>115057.64</v>
      </c>
    </row>
    <row r="1825" spans="1:4" x14ac:dyDescent="0.35">
      <c r="A1825" t="s">
        <v>1870</v>
      </c>
      <c r="B1825">
        <v>107899</v>
      </c>
      <c r="C1825">
        <f t="shared" si="65"/>
        <v>982.76</v>
      </c>
      <c r="D1825">
        <f t="shared" si="63"/>
        <v>108881.76</v>
      </c>
    </row>
    <row r="1826" spans="1:4" x14ac:dyDescent="0.35">
      <c r="A1826" t="s">
        <v>1871</v>
      </c>
      <c r="B1826">
        <v>115172</v>
      </c>
      <c r="C1826">
        <f t="shared" si="65"/>
        <v>494.76</v>
      </c>
      <c r="D1826">
        <f t="shared" si="63"/>
        <v>115666.76</v>
      </c>
    </row>
    <row r="1827" spans="1:4" x14ac:dyDescent="0.35">
      <c r="A1827" t="s">
        <v>1872</v>
      </c>
      <c r="B1827">
        <v>124637</v>
      </c>
      <c r="C1827">
        <f t="shared" si="65"/>
        <v>1004.08</v>
      </c>
      <c r="D1827">
        <f t="shared" si="63"/>
        <v>125641.08</v>
      </c>
    </row>
    <row r="1828" spans="1:4" x14ac:dyDescent="0.35">
      <c r="A1828" t="s">
        <v>1873</v>
      </c>
      <c r="B1828">
        <v>108160</v>
      </c>
      <c r="C1828">
        <f t="shared" si="65"/>
        <v>717.6</v>
      </c>
      <c r="D1828">
        <f t="shared" si="63"/>
        <v>108877.6</v>
      </c>
    </row>
    <row r="1829" spans="1:4" x14ac:dyDescent="0.35">
      <c r="A1829" t="s">
        <v>1874</v>
      </c>
      <c r="B1829">
        <v>114252</v>
      </c>
      <c r="C1829">
        <f t="shared" si="65"/>
        <v>1020.8</v>
      </c>
      <c r="D1829">
        <f t="shared" si="63"/>
        <v>115272.8</v>
      </c>
    </row>
    <row r="1830" spans="1:4" x14ac:dyDescent="0.35">
      <c r="A1830" t="s">
        <v>1875</v>
      </c>
      <c r="B1830">
        <v>123541</v>
      </c>
      <c r="C1830">
        <f t="shared" si="65"/>
        <v>518.84</v>
      </c>
      <c r="D1830">
        <f t="shared" si="63"/>
        <v>124059.84</v>
      </c>
    </row>
    <row r="1831" spans="1:4" x14ac:dyDescent="0.35">
      <c r="A1831" t="s">
        <v>1876</v>
      </c>
      <c r="B1831">
        <v>124486</v>
      </c>
      <c r="C1831">
        <f t="shared" si="65"/>
        <v>689.96</v>
      </c>
      <c r="D1831">
        <f t="shared" si="63"/>
        <v>125175.96</v>
      </c>
    </row>
    <row r="1832" spans="1:4" x14ac:dyDescent="0.35">
      <c r="A1832" t="s">
        <v>1877</v>
      </c>
      <c r="B1832">
        <v>113225</v>
      </c>
      <c r="C1832">
        <f t="shared" si="65"/>
        <v>529.32000000000005</v>
      </c>
      <c r="D1832">
        <f t="shared" si="63"/>
        <v>113754.32</v>
      </c>
    </row>
    <row r="1833" spans="1:4" x14ac:dyDescent="0.35">
      <c r="A1833" t="s">
        <v>1878</v>
      </c>
      <c r="B1833">
        <v>123973</v>
      </c>
      <c r="C1833">
        <f t="shared" si="65"/>
        <v>633.91999999999996</v>
      </c>
      <c r="D1833">
        <f t="shared" si="63"/>
        <v>124606.92</v>
      </c>
    </row>
    <row r="1834" spans="1:4" x14ac:dyDescent="0.35">
      <c r="A1834" t="s">
        <v>1879</v>
      </c>
      <c r="B1834">
        <v>105510</v>
      </c>
      <c r="C1834">
        <f t="shared" si="65"/>
        <v>959.08</v>
      </c>
      <c r="D1834">
        <f t="shared" si="63"/>
        <v>106469.08</v>
      </c>
    </row>
    <row r="1835" spans="1:4" x14ac:dyDescent="0.35">
      <c r="A1835" t="s">
        <v>1880</v>
      </c>
      <c r="B1835">
        <v>110188</v>
      </c>
      <c r="C1835">
        <f t="shared" si="65"/>
        <v>797.36</v>
      </c>
      <c r="D1835">
        <f t="shared" si="63"/>
        <v>110985.36</v>
      </c>
    </row>
    <row r="1836" spans="1:4" x14ac:dyDescent="0.35">
      <c r="A1836" t="s">
        <v>1881</v>
      </c>
      <c r="B1836">
        <v>124416</v>
      </c>
      <c r="C1836">
        <f t="shared" si="65"/>
        <v>708.28</v>
      </c>
      <c r="D1836">
        <f t="shared" si="63"/>
        <v>125124.28</v>
      </c>
    </row>
    <row r="1837" spans="1:4" x14ac:dyDescent="0.35">
      <c r="A1837" t="s">
        <v>1882</v>
      </c>
      <c r="B1837">
        <v>108725</v>
      </c>
      <c r="C1837">
        <f t="shared" si="65"/>
        <v>623.79999999999995</v>
      </c>
      <c r="D1837">
        <f t="shared" si="63"/>
        <v>109348.8</v>
      </c>
    </row>
    <row r="1838" spans="1:4" x14ac:dyDescent="0.35">
      <c r="A1838" t="s">
        <v>1883</v>
      </c>
      <c r="B1838">
        <v>125359</v>
      </c>
      <c r="C1838">
        <f t="shared" si="65"/>
        <v>693.72</v>
      </c>
      <c r="D1838">
        <f t="shared" si="63"/>
        <v>126052.72</v>
      </c>
    </row>
    <row r="1839" spans="1:4" x14ac:dyDescent="0.35">
      <c r="A1839" t="s">
        <v>1884</v>
      </c>
      <c r="B1839">
        <v>106591</v>
      </c>
      <c r="C1839">
        <f t="shared" si="65"/>
        <v>538.16</v>
      </c>
      <c r="D1839">
        <f t="shared" si="63"/>
        <v>107129.16</v>
      </c>
    </row>
    <row r="1840" spans="1:4" x14ac:dyDescent="0.35">
      <c r="A1840" t="s">
        <v>1885</v>
      </c>
      <c r="B1840">
        <v>104751</v>
      </c>
      <c r="C1840">
        <f t="shared" si="65"/>
        <v>718.44</v>
      </c>
      <c r="D1840">
        <f t="shared" si="63"/>
        <v>105469.44</v>
      </c>
    </row>
    <row r="1841" spans="1:4" x14ac:dyDescent="0.35">
      <c r="A1841" t="s">
        <v>1886</v>
      </c>
      <c r="B1841">
        <v>123081</v>
      </c>
      <c r="C1841">
        <f t="shared" si="65"/>
        <v>1049.72</v>
      </c>
      <c r="D1841">
        <f t="shared" si="63"/>
        <v>124130.72</v>
      </c>
    </row>
    <row r="1842" spans="1:4" x14ac:dyDescent="0.35">
      <c r="A1842" t="s">
        <v>1887</v>
      </c>
      <c r="B1842">
        <v>123295</v>
      </c>
      <c r="C1842">
        <f t="shared" si="65"/>
        <v>965.16</v>
      </c>
      <c r="D1842">
        <f t="shared" si="63"/>
        <v>124260.16</v>
      </c>
    </row>
    <row r="1843" spans="1:4" x14ac:dyDescent="0.35">
      <c r="A1843" t="s">
        <v>1888</v>
      </c>
      <c r="B1843">
        <v>114971</v>
      </c>
      <c r="C1843">
        <f t="shared" si="65"/>
        <v>595.64</v>
      </c>
      <c r="D1843">
        <f t="shared" si="63"/>
        <v>115566.64</v>
      </c>
    </row>
    <row r="1844" spans="1:4" x14ac:dyDescent="0.35">
      <c r="A1844" t="s">
        <v>1889</v>
      </c>
      <c r="B1844">
        <v>125823</v>
      </c>
      <c r="C1844">
        <f t="shared" si="65"/>
        <v>968.08</v>
      </c>
      <c r="D1844">
        <f t="shared" si="63"/>
        <v>126791.08</v>
      </c>
    </row>
    <row r="1845" spans="1:4" x14ac:dyDescent="0.35">
      <c r="A1845" t="s">
        <v>1890</v>
      </c>
      <c r="B1845">
        <v>109611</v>
      </c>
      <c r="C1845">
        <f t="shared" si="65"/>
        <v>732.76</v>
      </c>
      <c r="D1845">
        <f t="shared" si="63"/>
        <v>110343.76</v>
      </c>
    </row>
    <row r="1846" spans="1:4" x14ac:dyDescent="0.35">
      <c r="A1846" t="s">
        <v>1891</v>
      </c>
      <c r="B1846">
        <v>113420</v>
      </c>
      <c r="C1846">
        <f t="shared" si="65"/>
        <v>743.28</v>
      </c>
      <c r="D1846">
        <f t="shared" si="63"/>
        <v>114163.28</v>
      </c>
    </row>
    <row r="1847" spans="1:4" x14ac:dyDescent="0.35">
      <c r="A1847" t="s">
        <v>1892</v>
      </c>
      <c r="B1847">
        <v>108743</v>
      </c>
      <c r="C1847">
        <f t="shared" si="65"/>
        <v>815.52</v>
      </c>
      <c r="D1847">
        <f t="shared" si="63"/>
        <v>109558.52</v>
      </c>
    </row>
    <row r="1848" spans="1:4" x14ac:dyDescent="0.35">
      <c r="A1848" t="s">
        <v>1893</v>
      </c>
      <c r="B1848">
        <v>105401</v>
      </c>
      <c r="C1848">
        <f t="shared" si="65"/>
        <v>940.76</v>
      </c>
      <c r="D1848">
        <f t="shared" si="63"/>
        <v>106341.75999999999</v>
      </c>
    </row>
    <row r="1849" spans="1:4" x14ac:dyDescent="0.35">
      <c r="A1849" t="s">
        <v>1894</v>
      </c>
      <c r="B1849">
        <v>105679</v>
      </c>
      <c r="C1849">
        <f t="shared" si="65"/>
        <v>859.36</v>
      </c>
      <c r="D1849">
        <f t="shared" si="63"/>
        <v>106538.36</v>
      </c>
    </row>
    <row r="1850" spans="1:4" x14ac:dyDescent="0.35">
      <c r="A1850" t="s">
        <v>1895</v>
      </c>
      <c r="B1850">
        <v>123808</v>
      </c>
      <c r="C1850">
        <f t="shared" si="65"/>
        <v>616.04</v>
      </c>
      <c r="D1850">
        <f t="shared" si="63"/>
        <v>124424.04</v>
      </c>
    </row>
    <row r="1851" spans="1:4" x14ac:dyDescent="0.35">
      <c r="A1851" t="s">
        <v>1896</v>
      </c>
      <c r="B1851">
        <v>114495</v>
      </c>
      <c r="C1851">
        <f t="shared" si="65"/>
        <v>981.84</v>
      </c>
      <c r="D1851">
        <f t="shared" si="63"/>
        <v>115476.84</v>
      </c>
    </row>
    <row r="1852" spans="1:4" x14ac:dyDescent="0.35">
      <c r="A1852" t="s">
        <v>1897</v>
      </c>
      <c r="B1852">
        <v>123572</v>
      </c>
      <c r="C1852">
        <f t="shared" si="65"/>
        <v>574.28</v>
      </c>
      <c r="D1852">
        <f t="shared" si="63"/>
        <v>124146.28</v>
      </c>
    </row>
    <row r="1853" spans="1:4" x14ac:dyDescent="0.35">
      <c r="A1853" t="s">
        <v>1898</v>
      </c>
      <c r="B1853">
        <v>125408</v>
      </c>
      <c r="C1853">
        <f t="shared" si="65"/>
        <v>657.08</v>
      </c>
      <c r="D1853">
        <f t="shared" si="63"/>
        <v>126065.08</v>
      </c>
    </row>
    <row r="1854" spans="1:4" x14ac:dyDescent="0.35">
      <c r="A1854" t="s">
        <v>1899</v>
      </c>
      <c r="B1854">
        <v>106640</v>
      </c>
      <c r="C1854">
        <f t="shared" si="65"/>
        <v>815.56</v>
      </c>
      <c r="D1854">
        <f t="shared" si="63"/>
        <v>107455.56</v>
      </c>
    </row>
    <row r="1855" spans="1:4" x14ac:dyDescent="0.35">
      <c r="A1855" t="s">
        <v>1900</v>
      </c>
      <c r="B1855">
        <v>107811</v>
      </c>
      <c r="C1855">
        <f t="shared" si="65"/>
        <v>590.12</v>
      </c>
      <c r="D1855">
        <f t="shared" si="63"/>
        <v>108401.12</v>
      </c>
    </row>
    <row r="1856" spans="1:4" x14ac:dyDescent="0.35">
      <c r="A1856" t="s">
        <v>1901</v>
      </c>
      <c r="B1856">
        <v>109385</v>
      </c>
      <c r="C1856">
        <f t="shared" si="65"/>
        <v>619.79999999999995</v>
      </c>
      <c r="D1856">
        <f t="shared" si="63"/>
        <v>110004.8</v>
      </c>
    </row>
    <row r="1857" spans="1:4" x14ac:dyDescent="0.35">
      <c r="A1857" t="s">
        <v>1902</v>
      </c>
      <c r="B1857">
        <v>105330</v>
      </c>
      <c r="C1857">
        <f t="shared" si="65"/>
        <v>812.56</v>
      </c>
      <c r="D1857">
        <f t="shared" si="63"/>
        <v>106142.56</v>
      </c>
    </row>
    <row r="1858" spans="1:4" x14ac:dyDescent="0.35">
      <c r="A1858" t="s">
        <v>1903</v>
      </c>
      <c r="B1858">
        <v>124181</v>
      </c>
      <c r="C1858">
        <f t="shared" si="65"/>
        <v>496.68</v>
      </c>
      <c r="D1858">
        <f t="shared" si="63"/>
        <v>124677.68</v>
      </c>
    </row>
    <row r="1859" spans="1:4" x14ac:dyDescent="0.35">
      <c r="A1859" t="s">
        <v>1904</v>
      </c>
      <c r="B1859">
        <v>114327</v>
      </c>
      <c r="C1859">
        <f t="shared" si="65"/>
        <v>855.92</v>
      </c>
      <c r="D1859">
        <f t="shared" ref="D1859:D1922" si="66">B1859+C1859</f>
        <v>115182.92</v>
      </c>
    </row>
    <row r="1860" spans="1:4" x14ac:dyDescent="0.35">
      <c r="A1860" t="s">
        <v>1905</v>
      </c>
      <c r="B1860">
        <v>113162</v>
      </c>
      <c r="C1860">
        <f t="shared" si="65"/>
        <v>797.6</v>
      </c>
      <c r="D1860">
        <f t="shared" si="66"/>
        <v>113959.6</v>
      </c>
    </row>
    <row r="1861" spans="1:4" x14ac:dyDescent="0.35">
      <c r="A1861" t="s">
        <v>1906</v>
      </c>
      <c r="B1861">
        <v>114204</v>
      </c>
      <c r="C1861">
        <f t="shared" si="65"/>
        <v>714.92</v>
      </c>
      <c r="D1861">
        <f t="shared" si="66"/>
        <v>114918.92</v>
      </c>
    </row>
    <row r="1862" spans="1:4" x14ac:dyDescent="0.35">
      <c r="A1862" t="s">
        <v>1907</v>
      </c>
      <c r="B1862">
        <v>104302</v>
      </c>
      <c r="C1862">
        <f t="shared" si="65"/>
        <v>938.56</v>
      </c>
      <c r="D1862">
        <f t="shared" si="66"/>
        <v>105240.56</v>
      </c>
    </row>
    <row r="1863" spans="1:4" x14ac:dyDescent="0.35">
      <c r="A1863" t="s">
        <v>1908</v>
      </c>
      <c r="B1863">
        <v>108054</v>
      </c>
      <c r="C1863">
        <f t="shared" si="65"/>
        <v>520.48</v>
      </c>
      <c r="D1863">
        <f t="shared" si="66"/>
        <v>108574.48</v>
      </c>
    </row>
    <row r="1864" spans="1:4" x14ac:dyDescent="0.35">
      <c r="A1864" t="s">
        <v>1909</v>
      </c>
      <c r="B1864">
        <v>105056</v>
      </c>
      <c r="C1864">
        <f t="shared" si="65"/>
        <v>806.96</v>
      </c>
      <c r="D1864">
        <f t="shared" si="66"/>
        <v>105862.96</v>
      </c>
    </row>
    <row r="1865" spans="1:4" x14ac:dyDescent="0.35">
      <c r="A1865" t="s">
        <v>1910</v>
      </c>
      <c r="B1865">
        <v>105750</v>
      </c>
      <c r="C1865">
        <f t="shared" si="65"/>
        <v>1042</v>
      </c>
      <c r="D1865">
        <f t="shared" si="66"/>
        <v>106792</v>
      </c>
    </row>
    <row r="1866" spans="1:4" x14ac:dyDescent="0.35">
      <c r="A1866" t="s">
        <v>1911</v>
      </c>
      <c r="B1866">
        <v>109329</v>
      </c>
      <c r="C1866">
        <f t="shared" si="65"/>
        <v>508.44</v>
      </c>
      <c r="D1866">
        <f t="shared" si="66"/>
        <v>109837.44</v>
      </c>
    </row>
    <row r="1867" spans="1:4" x14ac:dyDescent="0.35">
      <c r="A1867" t="s">
        <v>1912</v>
      </c>
      <c r="B1867">
        <v>115551</v>
      </c>
      <c r="C1867">
        <f t="shared" si="65"/>
        <v>764.12</v>
      </c>
      <c r="D1867">
        <f t="shared" si="66"/>
        <v>116315.12</v>
      </c>
    </row>
    <row r="1868" spans="1:4" x14ac:dyDescent="0.35">
      <c r="A1868" t="s">
        <v>1913</v>
      </c>
      <c r="B1868">
        <v>105539</v>
      </c>
      <c r="C1868">
        <f t="shared" si="65"/>
        <v>599.91999999999996</v>
      </c>
      <c r="D1868">
        <f t="shared" si="66"/>
        <v>106138.92</v>
      </c>
    </row>
    <row r="1869" spans="1:4" x14ac:dyDescent="0.35">
      <c r="A1869" t="s">
        <v>1914</v>
      </c>
      <c r="B1869">
        <v>104350</v>
      </c>
      <c r="C1869">
        <f t="shared" si="65"/>
        <v>804.6</v>
      </c>
      <c r="D1869">
        <f t="shared" si="66"/>
        <v>105154.6</v>
      </c>
    </row>
    <row r="1870" spans="1:4" x14ac:dyDescent="0.35">
      <c r="A1870" t="s">
        <v>1915</v>
      </c>
      <c r="B1870">
        <v>125070</v>
      </c>
      <c r="C1870">
        <f t="shared" si="65"/>
        <v>998.96</v>
      </c>
      <c r="D1870">
        <f t="shared" si="66"/>
        <v>126068.96</v>
      </c>
    </row>
    <row r="1871" spans="1:4" x14ac:dyDescent="0.35">
      <c r="A1871" t="s">
        <v>1916</v>
      </c>
      <c r="B1871">
        <v>108323</v>
      </c>
      <c r="C1871">
        <f t="shared" si="65"/>
        <v>609.55999999999995</v>
      </c>
      <c r="D1871">
        <f t="shared" si="66"/>
        <v>108932.56</v>
      </c>
    </row>
    <row r="1872" spans="1:4" x14ac:dyDescent="0.35">
      <c r="A1872" t="s">
        <v>1917</v>
      </c>
      <c r="B1872">
        <v>113696</v>
      </c>
      <c r="C1872">
        <f t="shared" si="65"/>
        <v>999.6</v>
      </c>
      <c r="D1872">
        <f t="shared" si="66"/>
        <v>114695.6</v>
      </c>
    </row>
    <row r="1873" spans="1:4" x14ac:dyDescent="0.35">
      <c r="A1873" t="s">
        <v>1918</v>
      </c>
      <c r="B1873">
        <v>114046</v>
      </c>
      <c r="C1873">
        <f t="shared" si="65"/>
        <v>525</v>
      </c>
      <c r="D1873">
        <f t="shared" si="66"/>
        <v>114571</v>
      </c>
    </row>
    <row r="1874" spans="1:4" x14ac:dyDescent="0.35">
      <c r="A1874" t="s">
        <v>1919</v>
      </c>
      <c r="B1874">
        <v>114949</v>
      </c>
      <c r="C1874">
        <f t="shared" si="65"/>
        <v>626.64</v>
      </c>
      <c r="D1874">
        <f t="shared" si="66"/>
        <v>115575.64</v>
      </c>
    </row>
    <row r="1875" spans="1:4" x14ac:dyDescent="0.35">
      <c r="A1875" t="s">
        <v>1920</v>
      </c>
      <c r="B1875">
        <v>125368</v>
      </c>
      <c r="C1875">
        <f t="shared" si="65"/>
        <v>840.88</v>
      </c>
      <c r="D1875">
        <f t="shared" si="66"/>
        <v>126208.88</v>
      </c>
    </row>
    <row r="1876" spans="1:4" x14ac:dyDescent="0.35">
      <c r="A1876" t="s">
        <v>1921</v>
      </c>
      <c r="B1876">
        <v>114106</v>
      </c>
      <c r="C1876">
        <f t="shared" si="65"/>
        <v>983.92</v>
      </c>
      <c r="D1876">
        <f t="shared" si="66"/>
        <v>115089.92</v>
      </c>
    </row>
    <row r="1877" spans="1:4" x14ac:dyDescent="0.35">
      <c r="A1877" t="s">
        <v>1922</v>
      </c>
      <c r="B1877">
        <v>105256</v>
      </c>
      <c r="C1877">
        <f t="shared" si="65"/>
        <v>550.4</v>
      </c>
      <c r="D1877">
        <f t="shared" si="66"/>
        <v>105806.39999999999</v>
      </c>
    </row>
    <row r="1878" spans="1:4" x14ac:dyDescent="0.35">
      <c r="A1878" t="s">
        <v>1923</v>
      </c>
      <c r="B1878">
        <v>115364</v>
      </c>
      <c r="C1878">
        <f t="shared" si="65"/>
        <v>994.44</v>
      </c>
      <c r="D1878">
        <f t="shared" si="66"/>
        <v>116358.44</v>
      </c>
    </row>
    <row r="1879" spans="1:4" x14ac:dyDescent="0.35">
      <c r="A1879" t="s">
        <v>1924</v>
      </c>
      <c r="B1879">
        <v>104969</v>
      </c>
      <c r="C1879">
        <f t="shared" si="65"/>
        <v>673.08</v>
      </c>
      <c r="D1879">
        <f t="shared" si="66"/>
        <v>105642.08</v>
      </c>
    </row>
    <row r="1880" spans="1:4" x14ac:dyDescent="0.35">
      <c r="A1880" t="s">
        <v>1925</v>
      </c>
      <c r="B1880">
        <v>105112</v>
      </c>
      <c r="C1880">
        <f t="shared" si="65"/>
        <v>764.72</v>
      </c>
      <c r="D1880">
        <f t="shared" si="66"/>
        <v>105876.72</v>
      </c>
    </row>
    <row r="1881" spans="1:4" x14ac:dyDescent="0.35">
      <c r="A1881" t="s">
        <v>1926</v>
      </c>
      <c r="B1881">
        <v>104574</v>
      </c>
      <c r="C1881">
        <f t="shared" si="65"/>
        <v>1008.76</v>
      </c>
      <c r="D1881">
        <f t="shared" si="66"/>
        <v>105582.76</v>
      </c>
    </row>
    <row r="1882" spans="1:4" x14ac:dyDescent="0.35">
      <c r="A1882" t="s">
        <v>1927</v>
      </c>
      <c r="B1882">
        <v>114057</v>
      </c>
      <c r="C1882">
        <f t="shared" ref="C1882:C1892" si="67">B778*4/100</f>
        <v>812.44</v>
      </c>
      <c r="D1882">
        <f t="shared" si="66"/>
        <v>114869.44</v>
      </c>
    </row>
    <row r="1883" spans="1:4" x14ac:dyDescent="0.35">
      <c r="A1883" t="s">
        <v>1928</v>
      </c>
      <c r="B1883">
        <v>116137</v>
      </c>
      <c r="C1883">
        <f t="shared" si="67"/>
        <v>1013.56</v>
      </c>
      <c r="D1883">
        <f t="shared" si="66"/>
        <v>117150.56</v>
      </c>
    </row>
    <row r="1884" spans="1:4" x14ac:dyDescent="0.35">
      <c r="A1884" t="s">
        <v>1929</v>
      </c>
      <c r="B1884">
        <v>114841</v>
      </c>
      <c r="C1884">
        <f t="shared" si="67"/>
        <v>566.55999999999995</v>
      </c>
      <c r="D1884">
        <f t="shared" si="66"/>
        <v>115407.56</v>
      </c>
    </row>
    <row r="1885" spans="1:4" x14ac:dyDescent="0.35">
      <c r="A1885" t="s">
        <v>1930</v>
      </c>
      <c r="B1885">
        <v>104398</v>
      </c>
      <c r="C1885">
        <f t="shared" si="67"/>
        <v>733</v>
      </c>
      <c r="D1885">
        <f t="shared" si="66"/>
        <v>105131</v>
      </c>
    </row>
    <row r="1886" spans="1:4" x14ac:dyDescent="0.35">
      <c r="A1886" t="s">
        <v>1931</v>
      </c>
      <c r="B1886">
        <v>113675</v>
      </c>
      <c r="C1886">
        <f t="shared" si="67"/>
        <v>800.84</v>
      </c>
      <c r="D1886">
        <f t="shared" si="66"/>
        <v>114475.84</v>
      </c>
    </row>
    <row r="1887" spans="1:4" x14ac:dyDescent="0.35">
      <c r="A1887" t="s">
        <v>1932</v>
      </c>
      <c r="B1887">
        <v>124564</v>
      </c>
      <c r="C1887">
        <f t="shared" si="67"/>
        <v>1074</v>
      </c>
      <c r="D1887">
        <f t="shared" si="66"/>
        <v>125638</v>
      </c>
    </row>
    <row r="1888" spans="1:4" x14ac:dyDescent="0.35">
      <c r="A1888" t="s">
        <v>1933</v>
      </c>
      <c r="B1888">
        <v>108881</v>
      </c>
      <c r="C1888">
        <f t="shared" si="67"/>
        <v>778.12</v>
      </c>
      <c r="D1888">
        <f t="shared" si="66"/>
        <v>109659.12</v>
      </c>
    </row>
    <row r="1889" spans="1:4" x14ac:dyDescent="0.35">
      <c r="A1889" t="s">
        <v>1934</v>
      </c>
      <c r="B1889">
        <v>106475</v>
      </c>
      <c r="C1889">
        <f t="shared" si="67"/>
        <v>755.08</v>
      </c>
      <c r="D1889">
        <f t="shared" si="66"/>
        <v>107230.08</v>
      </c>
    </row>
    <row r="1890" spans="1:4" x14ac:dyDescent="0.35">
      <c r="A1890" t="s">
        <v>1935</v>
      </c>
      <c r="B1890">
        <v>123522</v>
      </c>
      <c r="C1890">
        <f t="shared" si="67"/>
        <v>668.52</v>
      </c>
      <c r="D1890">
        <f t="shared" si="66"/>
        <v>124190.52</v>
      </c>
    </row>
    <row r="1891" spans="1:4" x14ac:dyDescent="0.35">
      <c r="A1891" t="s">
        <v>1936</v>
      </c>
      <c r="B1891">
        <v>108265</v>
      </c>
      <c r="C1891">
        <f t="shared" si="67"/>
        <v>590.6</v>
      </c>
      <c r="D1891">
        <f t="shared" si="66"/>
        <v>108855.6</v>
      </c>
    </row>
    <row r="1892" spans="1:4" x14ac:dyDescent="0.35">
      <c r="A1892" t="s">
        <v>1937</v>
      </c>
      <c r="B1892">
        <v>123030</v>
      </c>
      <c r="C1892">
        <f t="shared" si="67"/>
        <v>848.8</v>
      </c>
      <c r="D1892">
        <f t="shared" si="66"/>
        <v>123878.8</v>
      </c>
    </row>
    <row r="1893" spans="1:4" x14ac:dyDescent="0.35">
      <c r="A1893" t="s">
        <v>1938</v>
      </c>
      <c r="B1893">
        <v>110048</v>
      </c>
      <c r="C1893">
        <f>B713*6/100</f>
        <v>901.56</v>
      </c>
      <c r="D1893">
        <f t="shared" si="66"/>
        <v>110949.56</v>
      </c>
    </row>
    <row r="1894" spans="1:4" x14ac:dyDescent="0.35">
      <c r="A1894" t="s">
        <v>1939</v>
      </c>
      <c r="B1894">
        <v>114362</v>
      </c>
      <c r="C1894">
        <f t="shared" ref="C1894:C1957" si="68">B714*6/100</f>
        <v>935.4</v>
      </c>
      <c r="D1894">
        <f t="shared" si="66"/>
        <v>115297.4</v>
      </c>
    </row>
    <row r="1895" spans="1:4" x14ac:dyDescent="0.35">
      <c r="A1895" t="s">
        <v>1940</v>
      </c>
      <c r="B1895">
        <v>105456</v>
      </c>
      <c r="C1895">
        <f t="shared" si="68"/>
        <v>927.06</v>
      </c>
      <c r="D1895">
        <f t="shared" si="66"/>
        <v>106383.06</v>
      </c>
    </row>
    <row r="1896" spans="1:4" x14ac:dyDescent="0.35">
      <c r="A1896" t="s">
        <v>1941</v>
      </c>
      <c r="B1896">
        <v>124625</v>
      </c>
      <c r="C1896">
        <f t="shared" si="68"/>
        <v>1532.82</v>
      </c>
      <c r="D1896">
        <f t="shared" si="66"/>
        <v>126157.82</v>
      </c>
    </row>
    <row r="1897" spans="1:4" x14ac:dyDescent="0.35">
      <c r="A1897" t="s">
        <v>1942</v>
      </c>
      <c r="B1897">
        <v>123983</v>
      </c>
      <c r="C1897">
        <f t="shared" si="68"/>
        <v>915.3</v>
      </c>
      <c r="D1897">
        <f t="shared" si="66"/>
        <v>124898.3</v>
      </c>
    </row>
    <row r="1898" spans="1:4" x14ac:dyDescent="0.35">
      <c r="A1898" t="s">
        <v>1943</v>
      </c>
      <c r="B1898">
        <v>108986</v>
      </c>
      <c r="C1898">
        <f t="shared" si="68"/>
        <v>726.6</v>
      </c>
      <c r="D1898">
        <f t="shared" si="66"/>
        <v>109712.6</v>
      </c>
    </row>
    <row r="1899" spans="1:4" x14ac:dyDescent="0.35">
      <c r="A1899" t="s">
        <v>1944</v>
      </c>
      <c r="B1899">
        <v>105933</v>
      </c>
      <c r="C1899">
        <f t="shared" si="68"/>
        <v>1483.26</v>
      </c>
      <c r="D1899">
        <f t="shared" si="66"/>
        <v>107416.26</v>
      </c>
    </row>
    <row r="1900" spans="1:4" x14ac:dyDescent="0.35">
      <c r="A1900" t="s">
        <v>1945</v>
      </c>
      <c r="B1900">
        <v>123522</v>
      </c>
      <c r="C1900">
        <f t="shared" si="68"/>
        <v>1401.96</v>
      </c>
      <c r="D1900">
        <f t="shared" si="66"/>
        <v>124923.96</v>
      </c>
    </row>
    <row r="1901" spans="1:4" x14ac:dyDescent="0.35">
      <c r="A1901" t="s">
        <v>1946</v>
      </c>
      <c r="B1901">
        <v>104850</v>
      </c>
      <c r="C1901">
        <f t="shared" si="68"/>
        <v>1474.14</v>
      </c>
      <c r="D1901">
        <f t="shared" si="66"/>
        <v>106324.14</v>
      </c>
    </row>
    <row r="1902" spans="1:4" x14ac:dyDescent="0.35">
      <c r="A1902" t="s">
        <v>1947</v>
      </c>
      <c r="B1902">
        <v>108809</v>
      </c>
      <c r="C1902">
        <f t="shared" si="68"/>
        <v>742.14</v>
      </c>
      <c r="D1902">
        <f t="shared" si="66"/>
        <v>109551.14</v>
      </c>
    </row>
    <row r="1903" spans="1:4" x14ac:dyDescent="0.35">
      <c r="A1903" t="s">
        <v>1948</v>
      </c>
      <c r="B1903">
        <v>108141</v>
      </c>
      <c r="C1903">
        <f t="shared" si="68"/>
        <v>1506.12</v>
      </c>
      <c r="D1903">
        <f t="shared" si="66"/>
        <v>109647.12</v>
      </c>
    </row>
    <row r="1904" spans="1:4" x14ac:dyDescent="0.35">
      <c r="A1904" t="s">
        <v>1949</v>
      </c>
      <c r="B1904">
        <v>105143</v>
      </c>
      <c r="C1904">
        <f t="shared" si="68"/>
        <v>1076.4000000000001</v>
      </c>
      <c r="D1904">
        <f t="shared" si="66"/>
        <v>106219.4</v>
      </c>
    </row>
    <row r="1905" spans="1:4" x14ac:dyDescent="0.35">
      <c r="A1905" t="s">
        <v>1950</v>
      </c>
      <c r="B1905">
        <v>108710</v>
      </c>
      <c r="C1905">
        <f t="shared" si="68"/>
        <v>1531.2</v>
      </c>
      <c r="D1905">
        <f t="shared" si="66"/>
        <v>110241.2</v>
      </c>
    </row>
    <row r="1906" spans="1:4" x14ac:dyDescent="0.35">
      <c r="A1906" t="s">
        <v>1951</v>
      </c>
      <c r="B1906">
        <v>124580</v>
      </c>
      <c r="C1906">
        <f t="shared" si="68"/>
        <v>778.26</v>
      </c>
      <c r="D1906">
        <f t="shared" si="66"/>
        <v>125358.26</v>
      </c>
    </row>
    <row r="1907" spans="1:4" x14ac:dyDescent="0.35">
      <c r="A1907" t="s">
        <v>1952</v>
      </c>
      <c r="B1907">
        <v>113555</v>
      </c>
      <c r="C1907">
        <f t="shared" si="68"/>
        <v>1034.94</v>
      </c>
      <c r="D1907">
        <f t="shared" si="66"/>
        <v>114589.94</v>
      </c>
    </row>
    <row r="1908" spans="1:4" x14ac:dyDescent="0.35">
      <c r="A1908" t="s">
        <v>1953</v>
      </c>
      <c r="B1908">
        <v>115963</v>
      </c>
      <c r="C1908">
        <f t="shared" si="68"/>
        <v>793.98</v>
      </c>
      <c r="D1908">
        <f t="shared" si="66"/>
        <v>116756.98</v>
      </c>
    </row>
    <row r="1909" spans="1:4" x14ac:dyDescent="0.35">
      <c r="A1909" t="s">
        <v>1954</v>
      </c>
      <c r="B1909">
        <v>124140</v>
      </c>
      <c r="C1909">
        <f t="shared" si="68"/>
        <v>950.88</v>
      </c>
      <c r="D1909">
        <f t="shared" si="66"/>
        <v>125090.88</v>
      </c>
    </row>
    <row r="1910" spans="1:4" x14ac:dyDescent="0.35">
      <c r="A1910" t="s">
        <v>1955</v>
      </c>
      <c r="B1910">
        <v>114897</v>
      </c>
      <c r="C1910">
        <f t="shared" si="68"/>
        <v>1438.62</v>
      </c>
      <c r="D1910">
        <f t="shared" si="66"/>
        <v>116335.62</v>
      </c>
    </row>
    <row r="1911" spans="1:4" x14ac:dyDescent="0.35">
      <c r="A1911" t="s">
        <v>1956</v>
      </c>
      <c r="B1911">
        <v>108116</v>
      </c>
      <c r="C1911">
        <f t="shared" si="68"/>
        <v>1196.04</v>
      </c>
      <c r="D1911">
        <f t="shared" si="66"/>
        <v>109312.04</v>
      </c>
    </row>
    <row r="1912" spans="1:4" x14ac:dyDescent="0.35">
      <c r="A1912" t="s">
        <v>1957</v>
      </c>
      <c r="B1912">
        <v>123585</v>
      </c>
      <c r="C1912">
        <f t="shared" si="68"/>
        <v>1062.42</v>
      </c>
      <c r="D1912">
        <f t="shared" si="66"/>
        <v>124647.42</v>
      </c>
    </row>
    <row r="1913" spans="1:4" x14ac:dyDescent="0.35">
      <c r="A1913" t="s">
        <v>1958</v>
      </c>
      <c r="B1913">
        <v>109053</v>
      </c>
      <c r="C1913">
        <f t="shared" si="68"/>
        <v>935.7</v>
      </c>
      <c r="D1913">
        <f t="shared" si="66"/>
        <v>109988.7</v>
      </c>
    </row>
    <row r="1914" spans="1:4" x14ac:dyDescent="0.35">
      <c r="A1914" t="s">
        <v>1959</v>
      </c>
      <c r="B1914">
        <v>125998</v>
      </c>
      <c r="C1914">
        <f t="shared" si="68"/>
        <v>1040.58</v>
      </c>
      <c r="D1914">
        <f t="shared" si="66"/>
        <v>127038.58</v>
      </c>
    </row>
    <row r="1915" spans="1:4" x14ac:dyDescent="0.35">
      <c r="A1915" t="s">
        <v>1960</v>
      </c>
      <c r="B1915">
        <v>123656</v>
      </c>
      <c r="C1915">
        <f t="shared" si="68"/>
        <v>807.24</v>
      </c>
      <c r="D1915">
        <f t="shared" si="66"/>
        <v>124463.24</v>
      </c>
    </row>
    <row r="1916" spans="1:4" x14ac:dyDescent="0.35">
      <c r="A1916" t="s">
        <v>1961</v>
      </c>
      <c r="B1916">
        <v>123828</v>
      </c>
      <c r="C1916">
        <f t="shared" si="68"/>
        <v>1077.6600000000001</v>
      </c>
      <c r="D1916">
        <f t="shared" si="66"/>
        <v>124905.66</v>
      </c>
    </row>
    <row r="1917" spans="1:4" x14ac:dyDescent="0.35">
      <c r="A1917" t="s">
        <v>1962</v>
      </c>
      <c r="B1917">
        <v>110359</v>
      </c>
      <c r="C1917">
        <f t="shared" si="68"/>
        <v>1574.58</v>
      </c>
      <c r="D1917">
        <f t="shared" si="66"/>
        <v>111933.58</v>
      </c>
    </row>
    <row r="1918" spans="1:4" x14ac:dyDescent="0.35">
      <c r="A1918" t="s">
        <v>1963</v>
      </c>
      <c r="B1918">
        <v>115124</v>
      </c>
      <c r="C1918">
        <f t="shared" si="68"/>
        <v>1447.74</v>
      </c>
      <c r="D1918">
        <f t="shared" si="66"/>
        <v>116571.74</v>
      </c>
    </row>
    <row r="1919" spans="1:4" x14ac:dyDescent="0.35">
      <c r="A1919" t="s">
        <v>1964</v>
      </c>
      <c r="B1919">
        <v>125876</v>
      </c>
      <c r="C1919">
        <f t="shared" si="68"/>
        <v>893.46</v>
      </c>
      <c r="D1919">
        <f t="shared" si="66"/>
        <v>126769.46</v>
      </c>
    </row>
    <row r="1920" spans="1:4" x14ac:dyDescent="0.35">
      <c r="A1920" t="s">
        <v>1965</v>
      </c>
      <c r="B1920">
        <v>113908</v>
      </c>
      <c r="C1920">
        <f t="shared" si="68"/>
        <v>1452.12</v>
      </c>
      <c r="D1920">
        <f t="shared" si="66"/>
        <v>115360.12</v>
      </c>
    </row>
    <row r="1921" spans="1:4" x14ac:dyDescent="0.35">
      <c r="A1921" t="s">
        <v>1966</v>
      </c>
      <c r="B1921">
        <v>108500</v>
      </c>
      <c r="C1921">
        <f t="shared" si="68"/>
        <v>1099.1400000000001</v>
      </c>
      <c r="D1921">
        <f t="shared" si="66"/>
        <v>109599.14</v>
      </c>
    </row>
    <row r="1922" spans="1:4" x14ac:dyDescent="0.35">
      <c r="A1922" t="s">
        <v>1967</v>
      </c>
      <c r="B1922">
        <v>108214</v>
      </c>
      <c r="C1922">
        <f t="shared" si="68"/>
        <v>1114.92</v>
      </c>
      <c r="D1922">
        <f t="shared" si="66"/>
        <v>109328.92</v>
      </c>
    </row>
    <row r="1923" spans="1:4" x14ac:dyDescent="0.35">
      <c r="A1923" t="s">
        <v>1968</v>
      </c>
      <c r="B1923">
        <v>106032</v>
      </c>
      <c r="C1923">
        <f t="shared" si="68"/>
        <v>1223.28</v>
      </c>
      <c r="D1923">
        <f t="shared" ref="D1923:D1986" si="69">B1923+C1923</f>
        <v>107255.28</v>
      </c>
    </row>
    <row r="1924" spans="1:4" x14ac:dyDescent="0.35">
      <c r="A1924" t="s">
        <v>1969</v>
      </c>
      <c r="B1924">
        <v>105571</v>
      </c>
      <c r="C1924">
        <f t="shared" si="68"/>
        <v>1411.14</v>
      </c>
      <c r="D1924">
        <f t="shared" si="69"/>
        <v>106982.14</v>
      </c>
    </row>
    <row r="1925" spans="1:4" x14ac:dyDescent="0.35">
      <c r="A1925" t="s">
        <v>1970</v>
      </c>
      <c r="B1925">
        <v>125962</v>
      </c>
      <c r="C1925">
        <f t="shared" si="68"/>
        <v>1289.04</v>
      </c>
      <c r="D1925">
        <f t="shared" si="69"/>
        <v>127251.04</v>
      </c>
    </row>
    <row r="1926" spans="1:4" x14ac:dyDescent="0.35">
      <c r="A1926" t="s">
        <v>1971</v>
      </c>
      <c r="B1926">
        <v>123836</v>
      </c>
      <c r="C1926">
        <f t="shared" si="68"/>
        <v>924.06</v>
      </c>
      <c r="D1926">
        <f t="shared" si="69"/>
        <v>124760.06</v>
      </c>
    </row>
    <row r="1927" spans="1:4" x14ac:dyDescent="0.35">
      <c r="A1927" t="s">
        <v>1972</v>
      </c>
      <c r="B1927">
        <v>114253</v>
      </c>
      <c r="C1927">
        <f t="shared" si="68"/>
        <v>1472.76</v>
      </c>
      <c r="D1927">
        <f t="shared" si="69"/>
        <v>115725.75999999999</v>
      </c>
    </row>
    <row r="1928" spans="1:4" x14ac:dyDescent="0.35">
      <c r="A1928" t="s">
        <v>1973</v>
      </c>
      <c r="B1928">
        <v>104882</v>
      </c>
      <c r="C1928">
        <f t="shared" si="68"/>
        <v>861.42</v>
      </c>
      <c r="D1928">
        <f t="shared" si="69"/>
        <v>105743.42</v>
      </c>
    </row>
    <row r="1929" spans="1:4" x14ac:dyDescent="0.35">
      <c r="A1929" t="s">
        <v>1974</v>
      </c>
      <c r="B1929">
        <v>124970</v>
      </c>
      <c r="C1929">
        <f t="shared" si="68"/>
        <v>985.62</v>
      </c>
      <c r="D1929">
        <f t="shared" si="69"/>
        <v>125955.62</v>
      </c>
    </row>
    <row r="1930" spans="1:4" x14ac:dyDescent="0.35">
      <c r="A1930" t="s">
        <v>1975</v>
      </c>
      <c r="B1930">
        <v>109163</v>
      </c>
      <c r="C1930">
        <f t="shared" si="68"/>
        <v>1223.3399999999999</v>
      </c>
      <c r="D1930">
        <f t="shared" si="69"/>
        <v>110386.34</v>
      </c>
    </row>
    <row r="1931" spans="1:4" x14ac:dyDescent="0.35">
      <c r="A1931" t="s">
        <v>1976</v>
      </c>
      <c r="B1931">
        <v>114541</v>
      </c>
      <c r="C1931">
        <f t="shared" si="68"/>
        <v>885.18</v>
      </c>
      <c r="D1931">
        <f t="shared" si="69"/>
        <v>115426.18</v>
      </c>
    </row>
    <row r="1932" spans="1:4" x14ac:dyDescent="0.35">
      <c r="A1932" t="s">
        <v>1977</v>
      </c>
      <c r="B1932">
        <v>123547</v>
      </c>
      <c r="C1932">
        <f t="shared" si="68"/>
        <v>929.7</v>
      </c>
      <c r="D1932">
        <f t="shared" si="69"/>
        <v>124476.7</v>
      </c>
    </row>
    <row r="1933" spans="1:4" x14ac:dyDescent="0.35">
      <c r="A1933" t="s">
        <v>1978</v>
      </c>
      <c r="B1933">
        <v>123159</v>
      </c>
      <c r="C1933">
        <f t="shared" si="68"/>
        <v>1218.8399999999999</v>
      </c>
      <c r="D1933">
        <f t="shared" si="69"/>
        <v>124377.84</v>
      </c>
    </row>
    <row r="1934" spans="1:4" x14ac:dyDescent="0.35">
      <c r="A1934" t="s">
        <v>1979</v>
      </c>
      <c r="B1934">
        <v>108506</v>
      </c>
      <c r="C1934">
        <f t="shared" si="68"/>
        <v>745.02</v>
      </c>
      <c r="D1934">
        <f t="shared" si="69"/>
        <v>109251.02</v>
      </c>
    </row>
    <row r="1935" spans="1:4" x14ac:dyDescent="0.35">
      <c r="A1935" t="s">
        <v>1980</v>
      </c>
      <c r="B1935">
        <v>114769</v>
      </c>
      <c r="C1935">
        <f t="shared" si="68"/>
        <v>1283.8800000000001</v>
      </c>
      <c r="D1935">
        <f t="shared" si="69"/>
        <v>116052.88</v>
      </c>
    </row>
    <row r="1936" spans="1:4" x14ac:dyDescent="0.35">
      <c r="A1936" t="s">
        <v>1981</v>
      </c>
      <c r="B1936">
        <v>125384</v>
      </c>
      <c r="C1936">
        <f t="shared" si="68"/>
        <v>1196.4000000000001</v>
      </c>
      <c r="D1936">
        <f t="shared" si="69"/>
        <v>126580.4</v>
      </c>
    </row>
    <row r="1937" spans="1:4" x14ac:dyDescent="0.35">
      <c r="A1937" t="s">
        <v>1982</v>
      </c>
      <c r="B1937">
        <v>106053</v>
      </c>
      <c r="C1937">
        <f t="shared" si="68"/>
        <v>1072.3800000000001</v>
      </c>
      <c r="D1937">
        <f t="shared" si="69"/>
        <v>107125.38</v>
      </c>
    </row>
    <row r="1938" spans="1:4" x14ac:dyDescent="0.35">
      <c r="A1938" t="s">
        <v>1983</v>
      </c>
      <c r="B1938">
        <v>125015</v>
      </c>
      <c r="C1938">
        <f t="shared" si="68"/>
        <v>1407.84</v>
      </c>
      <c r="D1938">
        <f t="shared" si="69"/>
        <v>126422.84</v>
      </c>
    </row>
    <row r="1939" spans="1:4" x14ac:dyDescent="0.35">
      <c r="A1939" t="s">
        <v>1984</v>
      </c>
      <c r="B1939">
        <v>108754</v>
      </c>
      <c r="C1939">
        <f t="shared" si="68"/>
        <v>780.72</v>
      </c>
      <c r="D1939">
        <f t="shared" si="69"/>
        <v>109534.72</v>
      </c>
    </row>
    <row r="1940" spans="1:4" x14ac:dyDescent="0.35">
      <c r="A1940" t="s">
        <v>1985</v>
      </c>
      <c r="B1940">
        <v>104784</v>
      </c>
      <c r="C1940">
        <f t="shared" si="68"/>
        <v>1210.44</v>
      </c>
      <c r="D1940">
        <f t="shared" si="69"/>
        <v>105994.44</v>
      </c>
    </row>
    <row r="1941" spans="1:4" x14ac:dyDescent="0.35">
      <c r="A1941" t="s">
        <v>1986</v>
      </c>
      <c r="B1941">
        <v>113476</v>
      </c>
      <c r="C1941">
        <f t="shared" si="68"/>
        <v>1563</v>
      </c>
      <c r="D1941">
        <f t="shared" si="69"/>
        <v>115039</v>
      </c>
    </row>
    <row r="1942" spans="1:4" x14ac:dyDescent="0.35">
      <c r="A1942" t="s">
        <v>1987</v>
      </c>
      <c r="B1942">
        <v>113392</v>
      </c>
      <c r="C1942">
        <f t="shared" si="68"/>
        <v>762.66</v>
      </c>
      <c r="D1942">
        <f t="shared" si="69"/>
        <v>114154.66</v>
      </c>
    </row>
    <row r="1943" spans="1:4" x14ac:dyDescent="0.35">
      <c r="A1943" t="s">
        <v>1988</v>
      </c>
      <c r="B1943">
        <v>104607</v>
      </c>
      <c r="C1943">
        <f t="shared" si="68"/>
        <v>1146.18</v>
      </c>
      <c r="D1943">
        <f t="shared" si="69"/>
        <v>105753.18</v>
      </c>
    </row>
    <row r="1944" spans="1:4" x14ac:dyDescent="0.35">
      <c r="A1944" t="s">
        <v>1989</v>
      </c>
      <c r="B1944">
        <v>123733</v>
      </c>
      <c r="C1944">
        <f t="shared" si="68"/>
        <v>899.88</v>
      </c>
      <c r="D1944">
        <f t="shared" si="69"/>
        <v>124632.88</v>
      </c>
    </row>
    <row r="1945" spans="1:4" x14ac:dyDescent="0.35">
      <c r="A1945" t="s">
        <v>1990</v>
      </c>
      <c r="B1945">
        <v>114393</v>
      </c>
      <c r="C1945">
        <f t="shared" si="68"/>
        <v>1206.9000000000001</v>
      </c>
      <c r="D1945">
        <f t="shared" si="69"/>
        <v>115599.9</v>
      </c>
    </row>
    <row r="1946" spans="1:4" x14ac:dyDescent="0.35">
      <c r="A1946" t="s">
        <v>1991</v>
      </c>
      <c r="B1946">
        <v>125478</v>
      </c>
      <c r="C1946">
        <f t="shared" si="68"/>
        <v>1498.44</v>
      </c>
      <c r="D1946">
        <f t="shared" si="69"/>
        <v>126976.44</v>
      </c>
    </row>
    <row r="1947" spans="1:4" x14ac:dyDescent="0.35">
      <c r="A1947" t="s">
        <v>1992</v>
      </c>
      <c r="B1947">
        <v>108514</v>
      </c>
      <c r="C1947">
        <f t="shared" si="68"/>
        <v>914.34</v>
      </c>
      <c r="D1947">
        <f t="shared" si="69"/>
        <v>109428.34</v>
      </c>
    </row>
    <row r="1948" spans="1:4" x14ac:dyDescent="0.35">
      <c r="A1948" t="s">
        <v>1993</v>
      </c>
      <c r="B1948">
        <v>109720</v>
      </c>
      <c r="C1948">
        <f t="shared" si="68"/>
        <v>1499.4</v>
      </c>
      <c r="D1948">
        <f t="shared" si="69"/>
        <v>111219.4</v>
      </c>
    </row>
    <row r="1949" spans="1:4" x14ac:dyDescent="0.35">
      <c r="A1949" t="s">
        <v>1994</v>
      </c>
      <c r="B1949">
        <v>125429</v>
      </c>
      <c r="C1949">
        <f t="shared" si="68"/>
        <v>787.5</v>
      </c>
      <c r="D1949">
        <f t="shared" si="69"/>
        <v>126216.5</v>
      </c>
    </row>
    <row r="1950" spans="1:4" x14ac:dyDescent="0.35">
      <c r="A1950" t="s">
        <v>1995</v>
      </c>
      <c r="B1950">
        <v>108552</v>
      </c>
      <c r="C1950">
        <f t="shared" si="68"/>
        <v>939.96</v>
      </c>
      <c r="D1950">
        <f t="shared" si="69"/>
        <v>109491.96</v>
      </c>
    </row>
    <row r="1951" spans="1:4" x14ac:dyDescent="0.35">
      <c r="A1951" t="s">
        <v>1996</v>
      </c>
      <c r="B1951">
        <v>104578</v>
      </c>
      <c r="C1951">
        <f t="shared" si="68"/>
        <v>1261.32</v>
      </c>
      <c r="D1951">
        <f t="shared" si="69"/>
        <v>105839.32</v>
      </c>
    </row>
    <row r="1952" spans="1:4" x14ac:dyDescent="0.35">
      <c r="A1952" t="s">
        <v>1997</v>
      </c>
      <c r="B1952">
        <v>113610</v>
      </c>
      <c r="C1952">
        <f t="shared" si="68"/>
        <v>1475.88</v>
      </c>
      <c r="D1952">
        <f t="shared" si="69"/>
        <v>115085.88</v>
      </c>
    </row>
    <row r="1953" spans="1:4" x14ac:dyDescent="0.35">
      <c r="A1953" t="s">
        <v>1998</v>
      </c>
      <c r="B1953">
        <v>108596</v>
      </c>
      <c r="C1953">
        <f t="shared" si="68"/>
        <v>825.6</v>
      </c>
      <c r="D1953">
        <f t="shared" si="69"/>
        <v>109421.6</v>
      </c>
    </row>
    <row r="1954" spans="1:4" x14ac:dyDescent="0.35">
      <c r="A1954" t="s">
        <v>1999</v>
      </c>
      <c r="B1954">
        <v>109659</v>
      </c>
      <c r="C1954">
        <f t="shared" si="68"/>
        <v>1491.66</v>
      </c>
      <c r="D1954">
        <f t="shared" si="69"/>
        <v>111150.66</v>
      </c>
    </row>
    <row r="1955" spans="1:4" x14ac:dyDescent="0.35">
      <c r="A1955" t="s">
        <v>2000</v>
      </c>
      <c r="B1955">
        <v>125050</v>
      </c>
      <c r="C1955">
        <f t="shared" si="68"/>
        <v>1009.62</v>
      </c>
      <c r="D1955">
        <f t="shared" si="69"/>
        <v>126059.62</v>
      </c>
    </row>
    <row r="1956" spans="1:4" x14ac:dyDescent="0.35">
      <c r="A1956" t="s">
        <v>2001</v>
      </c>
      <c r="B1956">
        <v>124623</v>
      </c>
      <c r="C1956">
        <f t="shared" si="68"/>
        <v>1147.08</v>
      </c>
      <c r="D1956">
        <f t="shared" si="69"/>
        <v>125770.08</v>
      </c>
    </row>
    <row r="1957" spans="1:4" x14ac:dyDescent="0.35">
      <c r="A1957" t="s">
        <v>2002</v>
      </c>
      <c r="B1957">
        <v>105640</v>
      </c>
      <c r="C1957">
        <f t="shared" si="68"/>
        <v>1513.14</v>
      </c>
      <c r="D1957">
        <f t="shared" si="69"/>
        <v>107153.14</v>
      </c>
    </row>
    <row r="1958" spans="1:4" x14ac:dyDescent="0.35">
      <c r="A1958" t="s">
        <v>2003</v>
      </c>
      <c r="B1958">
        <v>109551</v>
      </c>
      <c r="C1958">
        <f t="shared" ref="C1958:C2000" si="70">B778*6/100</f>
        <v>1218.6600000000001</v>
      </c>
      <c r="D1958">
        <f t="shared" si="69"/>
        <v>110769.66</v>
      </c>
    </row>
    <row r="1959" spans="1:4" x14ac:dyDescent="0.35">
      <c r="A1959" t="s">
        <v>2004</v>
      </c>
      <c r="B1959">
        <v>106750</v>
      </c>
      <c r="C1959">
        <f t="shared" si="70"/>
        <v>1520.34</v>
      </c>
      <c r="D1959">
        <f t="shared" si="69"/>
        <v>108270.34</v>
      </c>
    </row>
    <row r="1960" spans="1:4" x14ac:dyDescent="0.35">
      <c r="A1960" t="s">
        <v>2005</v>
      </c>
      <c r="B1960">
        <v>106273</v>
      </c>
      <c r="C1960">
        <f t="shared" si="70"/>
        <v>849.84</v>
      </c>
      <c r="D1960">
        <f t="shared" si="69"/>
        <v>107122.84</v>
      </c>
    </row>
    <row r="1961" spans="1:4" x14ac:dyDescent="0.35">
      <c r="A1961" t="s">
        <v>2006</v>
      </c>
      <c r="B1961">
        <v>104829</v>
      </c>
      <c r="C1961">
        <f t="shared" si="70"/>
        <v>1099.5</v>
      </c>
      <c r="D1961">
        <f t="shared" si="69"/>
        <v>105928.5</v>
      </c>
    </row>
    <row r="1962" spans="1:4" x14ac:dyDescent="0.35">
      <c r="A1962" t="s">
        <v>2007</v>
      </c>
      <c r="B1962">
        <v>114645</v>
      </c>
      <c r="C1962">
        <f t="shared" si="70"/>
        <v>1201.26</v>
      </c>
      <c r="D1962">
        <f t="shared" si="69"/>
        <v>115846.26</v>
      </c>
    </row>
    <row r="1963" spans="1:4" x14ac:dyDescent="0.35">
      <c r="A1963" t="s">
        <v>2008</v>
      </c>
      <c r="B1963">
        <v>108966</v>
      </c>
      <c r="C1963">
        <f t="shared" si="70"/>
        <v>1611</v>
      </c>
      <c r="D1963">
        <f t="shared" si="69"/>
        <v>110577</v>
      </c>
    </row>
    <row r="1964" spans="1:4" x14ac:dyDescent="0.35">
      <c r="A1964" t="s">
        <v>2009</v>
      </c>
      <c r="B1964">
        <v>105672</v>
      </c>
      <c r="C1964">
        <f t="shared" si="70"/>
        <v>1167.18</v>
      </c>
      <c r="D1964">
        <f t="shared" si="69"/>
        <v>106839.18</v>
      </c>
    </row>
    <row r="1965" spans="1:4" x14ac:dyDescent="0.35">
      <c r="A1965" t="s">
        <v>2010</v>
      </c>
      <c r="B1965">
        <v>106056</v>
      </c>
      <c r="C1965">
        <f t="shared" si="70"/>
        <v>1132.6199999999999</v>
      </c>
      <c r="D1965">
        <f t="shared" si="69"/>
        <v>107188.62</v>
      </c>
    </row>
    <row r="1966" spans="1:4" x14ac:dyDescent="0.35">
      <c r="A1966" t="s">
        <v>2011</v>
      </c>
      <c r="B1966">
        <v>108280</v>
      </c>
      <c r="C1966">
        <f t="shared" si="70"/>
        <v>1002.78</v>
      </c>
      <c r="D1966">
        <f t="shared" si="69"/>
        <v>109282.78</v>
      </c>
    </row>
    <row r="1967" spans="1:4" x14ac:dyDescent="0.35">
      <c r="A1967" t="s">
        <v>2012</v>
      </c>
      <c r="B1967">
        <v>113758</v>
      </c>
      <c r="C1967">
        <f t="shared" si="70"/>
        <v>885.9</v>
      </c>
      <c r="D1967">
        <f t="shared" si="69"/>
        <v>114643.9</v>
      </c>
    </row>
    <row r="1968" spans="1:4" x14ac:dyDescent="0.35">
      <c r="A1968" t="s">
        <v>2013</v>
      </c>
      <c r="B1968">
        <v>113717</v>
      </c>
      <c r="C1968">
        <f t="shared" si="70"/>
        <v>1273.2</v>
      </c>
      <c r="D1968">
        <f t="shared" si="69"/>
        <v>114990.2</v>
      </c>
    </row>
    <row r="1969" spans="1:4" x14ac:dyDescent="0.35">
      <c r="A1969" t="s">
        <v>2014</v>
      </c>
      <c r="B1969">
        <v>108241</v>
      </c>
      <c r="C1969">
        <f t="shared" si="70"/>
        <v>1149.06</v>
      </c>
      <c r="D1969">
        <f t="shared" si="69"/>
        <v>109390.06</v>
      </c>
    </row>
    <row r="1970" spans="1:4" x14ac:dyDescent="0.35">
      <c r="A1970" t="s">
        <v>2015</v>
      </c>
      <c r="B1970">
        <v>125023</v>
      </c>
      <c r="C1970">
        <f t="shared" si="70"/>
        <v>1204.98</v>
      </c>
      <c r="D1970">
        <f t="shared" si="69"/>
        <v>126227.98</v>
      </c>
    </row>
    <row r="1971" spans="1:4" x14ac:dyDescent="0.35">
      <c r="A1971" t="s">
        <v>2016</v>
      </c>
      <c r="B1971">
        <v>108725</v>
      </c>
      <c r="C1971">
        <f t="shared" si="70"/>
        <v>925.38</v>
      </c>
      <c r="D1971">
        <f t="shared" si="69"/>
        <v>109650.38</v>
      </c>
    </row>
    <row r="1972" spans="1:4" x14ac:dyDescent="0.35">
      <c r="A1972" t="s">
        <v>2017</v>
      </c>
      <c r="B1972">
        <v>116060</v>
      </c>
      <c r="C1972">
        <f t="shared" si="70"/>
        <v>1085.46</v>
      </c>
      <c r="D1972">
        <f t="shared" si="69"/>
        <v>117145.46</v>
      </c>
    </row>
    <row r="1973" spans="1:4" x14ac:dyDescent="0.35">
      <c r="A1973" t="s">
        <v>2018</v>
      </c>
      <c r="B1973">
        <v>104920</v>
      </c>
      <c r="C1973">
        <f t="shared" si="70"/>
        <v>832.32</v>
      </c>
      <c r="D1973">
        <f t="shared" si="69"/>
        <v>105752.32000000001</v>
      </c>
    </row>
    <row r="1974" spans="1:4" x14ac:dyDescent="0.35">
      <c r="A1974" t="s">
        <v>2019</v>
      </c>
      <c r="B1974">
        <v>114716</v>
      </c>
      <c r="C1974">
        <f t="shared" si="70"/>
        <v>988.14</v>
      </c>
      <c r="D1974">
        <f t="shared" si="69"/>
        <v>115704.14</v>
      </c>
    </row>
    <row r="1975" spans="1:4" x14ac:dyDescent="0.35">
      <c r="A1975" t="s">
        <v>2020</v>
      </c>
      <c r="B1975">
        <v>104930</v>
      </c>
      <c r="C1975">
        <f t="shared" si="70"/>
        <v>1230.3599999999999</v>
      </c>
      <c r="D1975">
        <f t="shared" si="69"/>
        <v>106160.36</v>
      </c>
    </row>
    <row r="1976" spans="1:4" x14ac:dyDescent="0.35">
      <c r="A1976" t="s">
        <v>2021</v>
      </c>
      <c r="B1976">
        <v>114414</v>
      </c>
      <c r="C1976">
        <f t="shared" si="70"/>
        <v>999.18</v>
      </c>
      <c r="D1976">
        <f t="shared" si="69"/>
        <v>115413.18</v>
      </c>
    </row>
    <row r="1977" spans="1:4" x14ac:dyDescent="0.35">
      <c r="A1977" t="s">
        <v>2022</v>
      </c>
      <c r="B1977">
        <v>104409</v>
      </c>
      <c r="C1977">
        <f t="shared" si="70"/>
        <v>763.14</v>
      </c>
      <c r="D1977">
        <f t="shared" si="69"/>
        <v>105172.14</v>
      </c>
    </row>
    <row r="1978" spans="1:4" x14ac:dyDescent="0.35">
      <c r="A1978" t="s">
        <v>2023</v>
      </c>
      <c r="B1978">
        <v>107746</v>
      </c>
      <c r="C1978">
        <f t="shared" si="70"/>
        <v>1152.96</v>
      </c>
      <c r="D1978">
        <f t="shared" si="69"/>
        <v>108898.96</v>
      </c>
    </row>
    <row r="1979" spans="1:4" x14ac:dyDescent="0.35">
      <c r="A1979" t="s">
        <v>2024</v>
      </c>
      <c r="B1979">
        <v>114549</v>
      </c>
      <c r="C1979">
        <f t="shared" si="70"/>
        <v>805.32</v>
      </c>
      <c r="D1979">
        <f t="shared" si="69"/>
        <v>115354.32</v>
      </c>
    </row>
    <row r="1980" spans="1:4" x14ac:dyDescent="0.35">
      <c r="A1980" t="s">
        <v>2025</v>
      </c>
      <c r="B1980">
        <v>124367</v>
      </c>
      <c r="C1980">
        <f t="shared" si="70"/>
        <v>1046.8800000000001</v>
      </c>
      <c r="D1980">
        <f t="shared" si="69"/>
        <v>125413.88</v>
      </c>
    </row>
    <row r="1981" spans="1:4" x14ac:dyDescent="0.35">
      <c r="A1981" t="s">
        <v>2026</v>
      </c>
      <c r="B1981">
        <v>108701</v>
      </c>
      <c r="C1981">
        <f t="shared" si="70"/>
        <v>1083.6600000000001</v>
      </c>
      <c r="D1981">
        <f t="shared" si="69"/>
        <v>109784.66</v>
      </c>
    </row>
    <row r="1982" spans="1:4" x14ac:dyDescent="0.35">
      <c r="A1982" t="s">
        <v>2027</v>
      </c>
      <c r="B1982">
        <v>106693</v>
      </c>
      <c r="C1982">
        <f t="shared" si="70"/>
        <v>962.52</v>
      </c>
      <c r="D1982">
        <f t="shared" si="69"/>
        <v>107655.52</v>
      </c>
    </row>
    <row r="1983" spans="1:4" x14ac:dyDescent="0.35">
      <c r="A1983" t="s">
        <v>2028</v>
      </c>
      <c r="B1983">
        <v>113251</v>
      </c>
      <c r="C1983">
        <f t="shared" si="70"/>
        <v>1493.1</v>
      </c>
      <c r="D1983">
        <f t="shared" si="69"/>
        <v>114744.1</v>
      </c>
    </row>
    <row r="1984" spans="1:4" x14ac:dyDescent="0.35">
      <c r="A1984" t="s">
        <v>2029</v>
      </c>
      <c r="B1984">
        <v>123644</v>
      </c>
      <c r="C1984">
        <f t="shared" si="70"/>
        <v>731.52</v>
      </c>
      <c r="D1984">
        <f t="shared" si="69"/>
        <v>124375.52</v>
      </c>
    </row>
    <row r="1985" spans="1:4" x14ac:dyDescent="0.35">
      <c r="A1985" t="s">
        <v>2030</v>
      </c>
      <c r="B1985">
        <v>108934</v>
      </c>
      <c r="C1985">
        <f t="shared" si="70"/>
        <v>1177.74</v>
      </c>
      <c r="D1985">
        <f t="shared" si="69"/>
        <v>110111.74</v>
      </c>
    </row>
    <row r="1986" spans="1:4" x14ac:dyDescent="0.35">
      <c r="A1986" t="s">
        <v>2031</v>
      </c>
      <c r="B1986">
        <v>123317</v>
      </c>
      <c r="C1986">
        <f t="shared" si="70"/>
        <v>1476.18</v>
      </c>
      <c r="D1986">
        <f t="shared" si="69"/>
        <v>124793.18</v>
      </c>
    </row>
    <row r="1987" spans="1:4" x14ac:dyDescent="0.35">
      <c r="A1987" t="s">
        <v>2032</v>
      </c>
      <c r="B1987">
        <v>115244</v>
      </c>
      <c r="C1987">
        <f t="shared" si="70"/>
        <v>1546.14</v>
      </c>
      <c r="D1987">
        <f t="shared" ref="D1987:D2001" si="71">B1987+C1987</f>
        <v>116790.14</v>
      </c>
    </row>
    <row r="1988" spans="1:4" x14ac:dyDescent="0.35">
      <c r="A1988" t="s">
        <v>2033</v>
      </c>
      <c r="B1988">
        <v>125548</v>
      </c>
      <c r="C1988">
        <f t="shared" si="70"/>
        <v>1243.44</v>
      </c>
      <c r="D1988">
        <f t="shared" si="71"/>
        <v>126791.44</v>
      </c>
    </row>
    <row r="1989" spans="1:4" x14ac:dyDescent="0.35">
      <c r="A1989" t="s">
        <v>2034</v>
      </c>
      <c r="B1989">
        <v>113637</v>
      </c>
      <c r="C1989">
        <f t="shared" si="70"/>
        <v>1206</v>
      </c>
      <c r="D1989">
        <f t="shared" si="71"/>
        <v>114843</v>
      </c>
    </row>
    <row r="1990" spans="1:4" x14ac:dyDescent="0.35">
      <c r="A1990" t="s">
        <v>2035</v>
      </c>
      <c r="B1990">
        <v>105048</v>
      </c>
      <c r="C1990">
        <f t="shared" si="70"/>
        <v>1418.4</v>
      </c>
      <c r="D1990">
        <f t="shared" si="71"/>
        <v>106466.4</v>
      </c>
    </row>
    <row r="1991" spans="1:4" x14ac:dyDescent="0.35">
      <c r="A1991" t="s">
        <v>2036</v>
      </c>
      <c r="B1991">
        <v>125348</v>
      </c>
      <c r="C1991">
        <f t="shared" si="70"/>
        <v>850.74</v>
      </c>
      <c r="D1991">
        <f t="shared" si="71"/>
        <v>126198.74</v>
      </c>
    </row>
    <row r="1992" spans="1:4" x14ac:dyDescent="0.35">
      <c r="A1992" t="s">
        <v>2037</v>
      </c>
      <c r="B1992">
        <v>124445</v>
      </c>
      <c r="C1992">
        <f t="shared" si="70"/>
        <v>867</v>
      </c>
      <c r="D1992">
        <f t="shared" si="71"/>
        <v>125312</v>
      </c>
    </row>
    <row r="1993" spans="1:4" x14ac:dyDescent="0.35">
      <c r="A1993" t="s">
        <v>2038</v>
      </c>
      <c r="B1993">
        <v>125325</v>
      </c>
      <c r="C1993">
        <f t="shared" si="70"/>
        <v>1521.42</v>
      </c>
      <c r="D1993">
        <f t="shared" si="71"/>
        <v>126846.42</v>
      </c>
    </row>
    <row r="1994" spans="1:4" x14ac:dyDescent="0.35">
      <c r="A1994" t="s">
        <v>2039</v>
      </c>
      <c r="B1994">
        <v>107902</v>
      </c>
      <c r="C1994">
        <f t="shared" si="70"/>
        <v>1263.78</v>
      </c>
      <c r="D1994">
        <f t="shared" si="71"/>
        <v>109165.78</v>
      </c>
    </row>
    <row r="1995" spans="1:4" x14ac:dyDescent="0.35">
      <c r="A1995" t="s">
        <v>2040</v>
      </c>
      <c r="B1995">
        <v>108765</v>
      </c>
      <c r="C1995">
        <f t="shared" si="70"/>
        <v>1438.26</v>
      </c>
      <c r="D1995">
        <f t="shared" si="71"/>
        <v>110203.26</v>
      </c>
    </row>
    <row r="1996" spans="1:4" x14ac:dyDescent="0.35">
      <c r="A1996" t="s">
        <v>2041</v>
      </c>
      <c r="B1996">
        <v>125749</v>
      </c>
      <c r="C1996">
        <f t="shared" si="70"/>
        <v>1005.18</v>
      </c>
      <c r="D1996">
        <f t="shared" si="71"/>
        <v>126754.18</v>
      </c>
    </row>
    <row r="1997" spans="1:4" x14ac:dyDescent="0.35">
      <c r="A1997" t="s">
        <v>2042</v>
      </c>
      <c r="B1997">
        <v>104560</v>
      </c>
      <c r="C1997">
        <f t="shared" si="70"/>
        <v>1009.92</v>
      </c>
      <c r="D1997">
        <f t="shared" si="71"/>
        <v>105569.92</v>
      </c>
    </row>
    <row r="1998" spans="1:4" x14ac:dyDescent="0.35">
      <c r="A1998" t="s">
        <v>2043</v>
      </c>
      <c r="B1998">
        <v>114967</v>
      </c>
      <c r="C1998">
        <f t="shared" si="70"/>
        <v>1626.84</v>
      </c>
      <c r="D1998">
        <f t="shared" si="71"/>
        <v>116593.84</v>
      </c>
    </row>
    <row r="1999" spans="1:4" x14ac:dyDescent="0.35">
      <c r="A1999" t="s">
        <v>2044</v>
      </c>
      <c r="B1999">
        <v>108624</v>
      </c>
      <c r="C1999">
        <f t="shared" si="70"/>
        <v>928.02</v>
      </c>
      <c r="D1999">
        <f t="shared" si="71"/>
        <v>109552.02</v>
      </c>
    </row>
    <row r="2000" spans="1:4" x14ac:dyDescent="0.35">
      <c r="A2000" t="s">
        <v>2045</v>
      </c>
      <c r="B2000">
        <v>104635</v>
      </c>
      <c r="C2000">
        <f t="shared" si="70"/>
        <v>1209.8399999999999</v>
      </c>
      <c r="D2000">
        <f t="shared" si="71"/>
        <v>105844.84</v>
      </c>
    </row>
    <row r="2001" spans="1:4" x14ac:dyDescent="0.35">
      <c r="A2001" t="s">
        <v>2046</v>
      </c>
      <c r="B2001">
        <v>109501</v>
      </c>
      <c r="C2001">
        <f>B821*6/100</f>
        <v>854.58</v>
      </c>
      <c r="D2001">
        <f t="shared" si="71"/>
        <v>110355.58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domaci_drumski_transport_2025_s</vt:lpstr>
      <vt:lpstr>UKUPNA ZARADA OD TRANSPORTA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2025-03-20T12:07:18Z</dcterms:created>
  <dcterms:modified xsi:type="dcterms:W3CDTF">2025-03-21T07:17:39Z</dcterms:modified>
</cp:coreProperties>
</file>