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2.xml" ContentType="application/vnd.openxmlformats-officedocument.spreadsheetml.pivotTable+xml"/>
  <Override PartName="/xl/drawings/drawing9.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3.xml" ContentType="application/vnd.openxmlformats-officedocument.spreadsheetml.pivotTable+xml"/>
  <Override PartName="/xl/drawings/drawing10.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4.xml" ContentType="application/vnd.openxmlformats-officedocument.spreadsheetml.pivotTable+xml"/>
  <Override PartName="/xl/drawings/drawing11.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5.xml" ContentType="application/vnd.openxmlformats-officedocument.spreadsheetml.pivotTable+xml"/>
  <Override PartName="/xl/drawings/drawing12.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6.xml" ContentType="application/vnd.openxmlformats-officedocument.spreadsheetml.pivotTable+xml"/>
  <Override PartName="/xl/drawings/drawing13.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17.xml" ContentType="application/vnd.openxmlformats-officedocument.spreadsheetml.pivotTable+xml"/>
  <Override PartName="/xl/drawings/drawing14.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18.xml" ContentType="application/vnd.openxmlformats-officedocument.spreadsheetml.pivotTable+xml"/>
  <Override PartName="/xl/drawings/drawing15.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19.xml" ContentType="application/vnd.openxmlformats-officedocument.spreadsheetml.pivotTable+xml"/>
  <Override PartName="/xl/drawings/drawing16.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lindoomajur-my.sharepoint.com/personal/branislav_kuzmanovic_lindoomajur_onmicrosoft_com/Documents/VEŽBA POWER QUERY U EXCELu/NEW SALES DASHBOARD/"/>
    </mc:Choice>
  </mc:AlternateContent>
  <xr:revisionPtr revIDLastSave="1566" documentId="11_F25DC773A252ABDACC104806291C63585ADE58E7" xr6:coauthVersionLast="47" xr6:coauthVersionMax="47" xr10:uidLastSave="{8E28E880-EFAE-4061-AFFC-0EB86F0220DC}"/>
  <bookViews>
    <workbookView xWindow="-110" yWindow="-110" windowWidth="19420" windowHeight="11500" xr2:uid="{00000000-000D-0000-FFFF-FFFF00000000}"/>
  </bookViews>
  <sheets>
    <sheet name="SALES DASHBOARD" sheetId="11" r:id="rId1"/>
    <sheet name="Sheet12" sheetId="13" r:id="rId2"/>
    <sheet name="SalesYoY" sheetId="1" r:id="rId3"/>
    <sheet name="Sales in Quantity" sheetId="2" r:id="rId4"/>
    <sheet name="YoY Sales Growth" sheetId="3" r:id="rId5"/>
    <sheet name="COGS YoY" sheetId="4" r:id="rId6"/>
    <sheet name="Profit" sheetId="5" r:id="rId7"/>
    <sheet name="Profit Growth YoY" sheetId="6" r:id="rId8"/>
    <sheet name="Profit by Categories" sheetId="7" r:id="rId9"/>
    <sheet name="Profit of top 15 products" sheetId="8" r:id="rId10"/>
    <sheet name="Profit Cash or Online" sheetId="9" r:id="rId11"/>
    <sheet name="Profit by sale type" sheetId="10" r:id="rId12"/>
    <sheet name="Profit Margin" sheetId="12" r:id="rId13"/>
    <sheet name="Profit by Month and Price Cat" sheetId="14" r:id="rId14"/>
    <sheet name="Profit by M and Categories" sheetId="16" r:id="rId15"/>
    <sheet name="Profit by M and Sale Type" sheetId="17" r:id="rId16"/>
    <sheet name="Profit Online VS Cash by Months" sheetId="18" r:id="rId17"/>
  </sheets>
  <definedNames>
    <definedName name="Slicer_CATEGORY_NAME">#N/A</definedName>
    <definedName name="Slicer_PAYMENT_MODE">#N/A</definedName>
    <definedName name="Slicer_SALE_TYPE">#N/A</definedName>
    <definedName name="Timeline_DATE">#N/A</definedName>
  </definedNames>
  <calcPr calcId="191029"/>
  <pivotCaches>
    <pivotCache cacheId="1103" r:id="rId18"/>
    <pivotCache cacheId="1106" r:id="rId19"/>
    <pivotCache cacheId="1109" r:id="rId20"/>
    <pivotCache cacheId="1112" r:id="rId21"/>
    <pivotCache cacheId="1115" r:id="rId22"/>
    <pivotCache cacheId="1118" r:id="rId23"/>
    <pivotCache cacheId="1121" r:id="rId24"/>
    <pivotCache cacheId="1124" r:id="rId25"/>
    <pivotCache cacheId="1127" r:id="rId26"/>
    <pivotCache cacheId="1130" r:id="rId27"/>
    <pivotCache cacheId="1133" r:id="rId28"/>
    <pivotCache cacheId="1136" r:id="rId29"/>
    <pivotCache cacheId="1139" r:id="rId30"/>
    <pivotCache cacheId="1142" r:id="rId31"/>
    <pivotCache cacheId="1145" r:id="rId32"/>
    <pivotCache cacheId="1148" r:id="rId33"/>
    <pivotCache cacheId="1151" r:id="rId34"/>
    <pivotCache cacheId="1154" r:id="rId35"/>
    <pivotCache cacheId="1157" r:id="rId36"/>
  </pivotCaches>
  <extLst>
    <ext xmlns:x14="http://schemas.microsoft.com/office/spreadsheetml/2009/9/main" uri="{876F7934-8845-4945-9796-88D515C7AA90}">
      <x14:pivotCaches>
        <pivotCache cacheId="883" r:id="rId37"/>
      </x14:pivotCaches>
    </ext>
    <ext xmlns:x14="http://schemas.microsoft.com/office/spreadsheetml/2009/9/main" uri="{BBE1A952-AA13-448e-AADC-164F8A28A991}">
      <x14:slicerCaches>
        <x14:slicerCache r:id="rId38"/>
        <x14:slicerCache r:id="rId39"/>
        <x14:slicerCache r:id="rId4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84" r:id="rId41"/>
      </x15:timelineCachePivotCaches>
    </ext>
    <ext xmlns:x15="http://schemas.microsoft.com/office/spreadsheetml/2010/11/main" uri="{D0CA8CA8-9F24-4464-BF8E-62219DCF47F9}">
      <x15:timelineCacheRefs>
        <x15:timelineCacheRef r:id="rId4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put Data_0a3d06a6-0fc6-4d61-a3dc-e75eecebce73" name="Input Data" connection="Query - Input Data"/>
          <x15:modelTable id="Master Data_ae77bcf5-f815-4ec3-b01b-077cffe92c91" name="Master Data" connection="Query - Master Data"/>
          <x15:modelTable id="Product Category_3e503d70-b775-4c2f-b866-1ee1c0116bd6" name="Product Category" connection="Query - Product Category"/>
          <x15:modelTable id="Product Name_98cf8336-29ab-4a29-b5e9-55ca48220c3e" name="Product Name" connection="Query - Product Name"/>
          <x15:modelTable id="DATE TABLE_acf0e61d-cbe0-4d10-ae89-acef39341a17" name="DATE TABLE" connection="Query - DATE TABLE"/>
        </x15:modelTables>
        <x15:modelRelationships>
          <x15:modelRelationship fromTable="Input Data" fromColumn="PRODUCT ID" toTable="Master Data" toColumn="PRODUCT ID"/>
          <x15:modelRelationship fromTable="Input Data" fromColumn="PRODUCT ID" toTable="Product Name" toColumn="PRODUCT ID"/>
          <x15:modelRelationship fromTable="Input Data" fromColumn="DATE" toTable="DATE TABLE" toColumn="DATE"/>
          <x15:modelRelationship fromTable="Master Data" fromColumn="CATEGORY" toTable="Product Category" toColumn="CATEGORY"/>
        </x15:modelRelationships>
        <x15:extLst>
          <ext xmlns:x16="http://schemas.microsoft.com/office/spreadsheetml/2014/11/main" uri="{9835A34E-60A6-4A7C-AAB8-D5F71C897F49}">
            <x16:modelTimeGroupings>
              <x16:modelTimeGrouping tableName="Input 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DATE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6" i="16" l="1"/>
  <c r="B36" i="16"/>
  <c r="C36" i="16"/>
  <c r="D36" i="16"/>
  <c r="E36" i="16"/>
  <c r="F36" i="16"/>
  <c r="G36" i="16"/>
  <c r="H36" i="16"/>
  <c r="I36" i="16"/>
  <c r="J36" i="16"/>
  <c r="K36" i="16"/>
  <c r="L36" i="16"/>
  <c r="M36" i="16"/>
  <c r="A37" i="16"/>
  <c r="B37" i="16"/>
  <c r="C37" i="16"/>
  <c r="D37" i="16"/>
  <c r="E37" i="16"/>
  <c r="F37" i="16"/>
  <c r="G37" i="16"/>
  <c r="H37" i="16"/>
  <c r="I37" i="16"/>
  <c r="J37" i="16"/>
  <c r="K37" i="16"/>
  <c r="L37" i="16"/>
  <c r="M37" i="16"/>
  <c r="A38" i="16"/>
  <c r="B38" i="16"/>
  <c r="C38" i="16"/>
  <c r="D38" i="16"/>
  <c r="E38" i="16"/>
  <c r="F38" i="16"/>
  <c r="G38" i="16"/>
  <c r="H38" i="16"/>
  <c r="I38" i="16"/>
  <c r="J38" i="16"/>
  <c r="K38" i="16"/>
  <c r="L38" i="16"/>
  <c r="M38" i="16"/>
  <c r="A39" i="16"/>
  <c r="B39" i="16"/>
  <c r="C39" i="16"/>
  <c r="D39" i="16"/>
  <c r="E39" i="16"/>
  <c r="F39" i="16"/>
  <c r="G39" i="16"/>
  <c r="H39" i="16"/>
  <c r="I39" i="16"/>
  <c r="J39" i="16"/>
  <c r="K39" i="16"/>
  <c r="L39" i="16"/>
  <c r="M39" i="16"/>
  <c r="A40" i="16"/>
  <c r="B40" i="16"/>
  <c r="C40" i="16"/>
  <c r="D40" i="16"/>
  <c r="E40" i="16"/>
  <c r="F40" i="16"/>
  <c r="G40" i="16"/>
  <c r="H40" i="16"/>
  <c r="I40" i="16"/>
  <c r="J40" i="16"/>
  <c r="K40" i="16"/>
  <c r="L40" i="16"/>
  <c r="M40" i="16"/>
  <c r="A41" i="16"/>
  <c r="B41" i="16"/>
  <c r="C41" i="16"/>
  <c r="D41" i="16"/>
  <c r="E41" i="16"/>
  <c r="F41" i="16"/>
  <c r="G41" i="16"/>
  <c r="H41" i="16"/>
  <c r="I41" i="16"/>
  <c r="J41" i="16"/>
  <c r="K41" i="16"/>
  <c r="L41" i="16"/>
  <c r="M41" i="16"/>
  <c r="A42" i="16"/>
  <c r="B42" i="16"/>
  <c r="C42" i="16"/>
  <c r="D42" i="16"/>
  <c r="E42" i="16"/>
  <c r="F42" i="16"/>
  <c r="G42" i="16"/>
  <c r="H42" i="16"/>
  <c r="I42" i="16"/>
  <c r="J42" i="16"/>
  <c r="K42" i="16"/>
  <c r="L42" i="16"/>
  <c r="M42" i="16"/>
  <c r="A19" i="14"/>
  <c r="B19" i="14"/>
  <c r="C19" i="14"/>
  <c r="D19" i="14"/>
  <c r="E19" i="14"/>
  <c r="F19" i="14"/>
  <c r="G19" i="14"/>
  <c r="H19" i="14"/>
  <c r="I19" i="14"/>
  <c r="J19" i="14"/>
  <c r="K19" i="14"/>
  <c r="L19" i="14"/>
  <c r="M19" i="14"/>
  <c r="A20" i="14"/>
  <c r="B20" i="14"/>
  <c r="C20" i="14"/>
  <c r="D20" i="14"/>
  <c r="E20" i="14"/>
  <c r="F20" i="14"/>
  <c r="G20" i="14"/>
  <c r="H20" i="14"/>
  <c r="I20" i="14"/>
  <c r="J20" i="14"/>
  <c r="K20" i="14"/>
  <c r="L20" i="14"/>
  <c r="M20" i="14"/>
  <c r="A21" i="14"/>
  <c r="B21" i="14"/>
  <c r="C21" i="14"/>
  <c r="D21" i="14"/>
  <c r="E21" i="14"/>
  <c r="F21" i="14"/>
  <c r="G21" i="14"/>
  <c r="H21" i="14"/>
  <c r="I21" i="14"/>
  <c r="J21" i="14"/>
  <c r="K21" i="14"/>
  <c r="L21" i="14"/>
  <c r="M21" i="14"/>
  <c r="A22" i="14"/>
  <c r="B22" i="14"/>
  <c r="C22" i="14"/>
  <c r="D22" i="14"/>
  <c r="E22" i="14"/>
  <c r="F22" i="14"/>
  <c r="G22" i="14"/>
  <c r="H22" i="14"/>
  <c r="I22" i="14"/>
  <c r="J22" i="14"/>
  <c r="K22" i="14"/>
  <c r="L22" i="14"/>
  <c r="M22" i="14"/>
  <c r="A23" i="14"/>
  <c r="B23" i="14"/>
  <c r="C23" i="14"/>
  <c r="D23" i="14"/>
  <c r="E23" i="14"/>
  <c r="F23" i="14"/>
  <c r="G23" i="14"/>
  <c r="H23" i="14"/>
  <c r="I23" i="14"/>
  <c r="J23" i="14"/>
  <c r="K23" i="14"/>
  <c r="L23" i="14"/>
  <c r="M23" i="14"/>
  <c r="A24" i="14"/>
  <c r="B24" i="14"/>
  <c r="C24" i="14"/>
  <c r="D24" i="14"/>
  <c r="E24" i="14"/>
  <c r="F24" i="14"/>
  <c r="G24" i="14"/>
  <c r="H24" i="14"/>
  <c r="I24" i="14"/>
  <c r="J24" i="14"/>
  <c r="K24" i="14"/>
  <c r="L24" i="14"/>
  <c r="M24" i="14"/>
  <c r="A25" i="14"/>
  <c r="B25" i="14"/>
  <c r="C25" i="14"/>
  <c r="D25" i="14"/>
  <c r="E25" i="14"/>
  <c r="F25" i="14"/>
  <c r="G25" i="14"/>
  <c r="H25" i="14"/>
  <c r="I25" i="14"/>
  <c r="J25" i="14"/>
  <c r="K25" i="14"/>
  <c r="L25" i="14"/>
  <c r="M2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B1EE2F-E172-41A3-9C50-BD5481973361}" name="Query - DATE TABLE" description="Connection to the 'DATE TABLE' query in the workbook." type="100" refreshedVersion="8" minRefreshableVersion="5">
    <extLst>
      <ext xmlns:x15="http://schemas.microsoft.com/office/spreadsheetml/2010/11/main" uri="{DE250136-89BD-433C-8126-D09CA5730AF9}">
        <x15:connection id="688356c9-025d-4b61-bdda-44bfb90e2043"/>
      </ext>
    </extLst>
  </connection>
  <connection id="2" xr16:uid="{9F25173E-9A0E-472F-9D96-B04EB8EE927B}" name="Query - Input Data" description="Connection to the 'Input Data' query in the workbook." type="100" refreshedVersion="8" minRefreshableVersion="5">
    <extLst>
      <ext xmlns:x15="http://schemas.microsoft.com/office/spreadsheetml/2010/11/main" uri="{DE250136-89BD-433C-8126-D09CA5730AF9}">
        <x15:connection id="d3b11b0f-de06-44c1-982a-e71c540fefb9">
          <x15:oledbPr connection="Provider=Microsoft.Mashup.OleDb.1;Data Source=$Workbook$;Location=&quot;Input Data&quot;;Extended Properties=&quot;&quot;">
            <x15:dbTables>
              <x15:dbTable name="Input Data"/>
            </x15:dbTables>
          </x15:oledbPr>
        </x15:connection>
      </ext>
    </extLst>
  </connection>
  <connection id="3" xr16:uid="{0CADC683-D9A9-4775-A3E4-B313DCDABC79}" name="Query - Master Data" description="Connection to the 'Master Data' query in the workbook." type="100" refreshedVersion="8" minRefreshableVersion="5">
    <extLst>
      <ext xmlns:x15="http://schemas.microsoft.com/office/spreadsheetml/2010/11/main" uri="{DE250136-89BD-433C-8126-D09CA5730AF9}">
        <x15:connection id="74dad400-c03c-45b5-ad36-a1071b687e47">
          <x15:oledbPr connection="Provider=Microsoft.Mashup.OleDb.1;Data Source=$Workbook$;Location=&quot;Master Data&quot;;Extended Properties=&quot;&quot;">
            <x15:dbTables>
              <x15:dbTable name="Master Data"/>
            </x15:dbTables>
          </x15:oledbPr>
        </x15:connection>
      </ext>
    </extLst>
  </connection>
  <connection id="4" xr16:uid="{C5957CF3-58C0-4FCD-8F3C-4EB745B55FA3}" name="Query - Product Category" description="Connection to the 'Product Category' query in the workbook." type="100" refreshedVersion="8" minRefreshableVersion="5">
    <extLst>
      <ext xmlns:x15="http://schemas.microsoft.com/office/spreadsheetml/2010/11/main" uri="{DE250136-89BD-433C-8126-D09CA5730AF9}">
        <x15:connection id="5faf8d31-4a2c-4389-b581-b8ddcffb4425">
          <x15:oledbPr connection="Provider=Microsoft.Mashup.OleDb.1;Data Source=$Workbook$;Location=&quot;Product Category&quot;;Extended Properties=&quot;&quot;">
            <x15:dbTables>
              <x15:dbTable name="Product Category"/>
            </x15:dbTables>
          </x15:oledbPr>
        </x15:connection>
      </ext>
    </extLst>
  </connection>
  <connection id="5" xr16:uid="{6ADE4C74-92AB-4192-8AA3-3D1A0A878C73}" name="Query - Product Name" description="Connection to the 'Product Name' query in the workbook." type="100" refreshedVersion="8" minRefreshableVersion="5">
    <extLst>
      <ext xmlns:x15="http://schemas.microsoft.com/office/spreadsheetml/2010/11/main" uri="{DE250136-89BD-433C-8126-D09CA5730AF9}">
        <x15:connection id="37a688f8-da63-4d7b-b688-307653c876c4">
          <x15:oledbPr connection="Provider=Microsoft.Mashup.OleDb.1;Data Source=$Workbook$;Location=&quot;Product Name&quot;;Extended Properties=&quot;&quot;">
            <x15:dbTables>
              <x15:dbTable name="Product Name"/>
            </x15:dbTables>
          </x15:oledbPr>
        </x15:connection>
      </ext>
    </extLst>
  </connection>
  <connection id="6" xr16:uid="{B8D3F661-AB9B-4706-B243-2517911D879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<sst xmlns="http://schemas.openxmlformats.org/spreadsheetml/2006/main" count="108" uniqueCount="46">
  <si>
    <t>Row Labels</t>
  </si>
  <si>
    <t>Grand Total</t>
  </si>
  <si>
    <t>TotalSales</t>
  </si>
  <si>
    <t>TotalSalesLY</t>
  </si>
  <si>
    <t>Ft</t>
  </si>
  <si>
    <t>Kg</t>
  </si>
  <si>
    <t>Lt</t>
  </si>
  <si>
    <t>No.</t>
  </si>
  <si>
    <t>TotalQuantitySold</t>
  </si>
  <si>
    <t>Column Labels</t>
  </si>
  <si>
    <t>RunningTotalSales</t>
  </si>
  <si>
    <t>Total_COGS</t>
  </si>
  <si>
    <t>Total_COGS_LY</t>
  </si>
  <si>
    <t>TotalProfit</t>
  </si>
  <si>
    <t>TotalProfit_LY</t>
  </si>
  <si>
    <t>RunningProfit</t>
  </si>
  <si>
    <t>Agriculture &amp; Animal Feed</t>
  </si>
  <si>
    <t>Basic Food and Fresh Goods</t>
  </si>
  <si>
    <t>Beverages &amp; Packaged Goods</t>
  </si>
  <si>
    <t>Household Supplies</t>
  </si>
  <si>
    <t>Tools &amp; Technical Equipment</t>
  </si>
  <si>
    <t>Bathroom Cleaner – Extra Strength</t>
  </si>
  <si>
    <t>Cow Feed – High Energy Mix</t>
  </si>
  <si>
    <t>Fertilizer – Nitrogen Boost</t>
  </si>
  <si>
    <t>Granulated Sugar – Premium Grade</t>
  </si>
  <si>
    <t>Laundry Powder – Heavy Duty</t>
  </si>
  <si>
    <t>Measuring Tape – 148 Ft</t>
  </si>
  <si>
    <t>Microfiber Mop – Extendable Handle</t>
  </si>
  <si>
    <t>Plaster – Smooth Finish</t>
  </si>
  <si>
    <t>Seed Bag – Wheat Premium</t>
  </si>
  <si>
    <t>Tile Adhesive – Waterproof</t>
  </si>
  <si>
    <t>Whole Wheat Bread – Family Size</t>
  </si>
  <si>
    <t>Window Cleaner – Industrial Grade</t>
  </si>
  <si>
    <t>Cash</t>
  </si>
  <si>
    <t>Online</t>
  </si>
  <si>
    <t>Direct Sales</t>
  </si>
  <si>
    <t>Wholesaler</t>
  </si>
  <si>
    <t>ProfitMargin</t>
  </si>
  <si>
    <t>Cheap 47-87</t>
  </si>
  <si>
    <t>Expensive 129-169</t>
  </si>
  <si>
    <t>Moderate 88-128</t>
  </si>
  <si>
    <t>Very Cheap 6-46</t>
  </si>
  <si>
    <t>Very Expensive 170-MAX</t>
  </si>
  <si>
    <t>Potato Chips – Salted Classic</t>
  </si>
  <si>
    <t>Orange Juice – 100% Natural</t>
  </si>
  <si>
    <t>Chocolate Bar – Family Pack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</si>
</sst>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4" fontId="0" fillId="0" borderId="0" xfId="0" applyNumberFormat="1"/>
    <xf numFmtId="3" fontId="0" fillId="0" borderId="0" xfId="0" applyNumberFormat="1"/>
    <xf numFmtId="9" fontId="0" fillId="0" borderId="0" xfId="0" applyNumberFormat="1"/>
    <xf numFmtId="0" fontId="0" fillId="2" borderId="0" xfId="0" applyFill="1"/>
    <xf numFmtId="0" fontId="0" fillId="0" borderId="0" xfId="0" applyNumberFormat="1"/>
  </cellXfs>
  <cellStyles count="1">
    <cellStyle name="Normal" xfId="0" builtinId="0"/>
  </cellStyles>
  <dxfs count="3">
    <dxf>
      <font>
        <color rgb="FFFF0000"/>
      </font>
    </dxf>
    <dxf>
      <font>
        <b/>
        <sz val="11"/>
        <color theme="1"/>
      </font>
    </dxf>
    <dxf>
      <fill>
        <gradientFill degree="90">
          <stop position="0">
            <color theme="0" tint="-5.0965910824915313E-2"/>
          </stop>
          <stop position="1">
            <color theme="4" tint="0.40000610370189521"/>
          </stop>
        </gradient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28C3AB65-0E54-44A3-91DB-4046E7931C1B}">
      <tableStyleElement type="wholeTable" dxfId="2"/>
      <tableStyleElement type="headerRow" dxfId="1"/>
    </tableStyle>
  </tableStyles>
  <colors>
    <mruColors>
      <color rgb="FF31F736"/>
      <color rgb="FFFFFF99"/>
      <color rgb="FFED734D"/>
      <color rgb="FFFF66FF"/>
      <color rgb="FFFF3399"/>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9.xml"/><Relationship Id="rId21" Type="http://schemas.openxmlformats.org/officeDocument/2006/relationships/pivotCacheDefinition" Target="pivotCache/pivotCacheDefinition4.xml"/><Relationship Id="rId42" Type="http://schemas.microsoft.com/office/2011/relationships/timelineCache" Target="timelineCaches/timelineCache1.xml"/><Relationship Id="rId47" Type="http://schemas.openxmlformats.org/officeDocument/2006/relationships/powerPivotData" Target="model/item.data"/><Relationship Id="rId63" Type="http://schemas.openxmlformats.org/officeDocument/2006/relationships/customXml" Target="../customXml/item14.xml"/><Relationship Id="rId68" Type="http://schemas.openxmlformats.org/officeDocument/2006/relationships/customXml" Target="../customXml/item19.xml"/><Relationship Id="rId84" Type="http://schemas.openxmlformats.org/officeDocument/2006/relationships/customXml" Target="../customXml/item35.xml"/><Relationship Id="rId89" Type="http://schemas.openxmlformats.org/officeDocument/2006/relationships/customXml" Target="../customXml/item40.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5.xml"/><Relationship Id="rId37" Type="http://schemas.openxmlformats.org/officeDocument/2006/relationships/pivotCacheDefinition" Target="pivotCache/pivotCacheDefinition20.xml"/><Relationship Id="rId53" Type="http://schemas.openxmlformats.org/officeDocument/2006/relationships/customXml" Target="../customXml/item4.xml"/><Relationship Id="rId58" Type="http://schemas.openxmlformats.org/officeDocument/2006/relationships/customXml" Target="../customXml/item9.xml"/><Relationship Id="rId74" Type="http://schemas.openxmlformats.org/officeDocument/2006/relationships/customXml" Target="../customXml/item25.xml"/><Relationship Id="rId79" Type="http://schemas.openxmlformats.org/officeDocument/2006/relationships/customXml" Target="../customXml/item30.xml"/><Relationship Id="rId5" Type="http://schemas.openxmlformats.org/officeDocument/2006/relationships/worksheet" Target="worksheets/sheet5.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openxmlformats.org/officeDocument/2006/relationships/pivotCacheDefinition" Target="pivotCache/pivotCacheDefinition18.xml"/><Relationship Id="rId43" Type="http://schemas.openxmlformats.org/officeDocument/2006/relationships/theme" Target="theme/theme1.xml"/><Relationship Id="rId48" Type="http://schemas.microsoft.com/office/2017/10/relationships/person" Target="persons/person.xml"/><Relationship Id="rId56" Type="http://schemas.openxmlformats.org/officeDocument/2006/relationships/customXml" Target="../customXml/item7.xml"/><Relationship Id="rId64" Type="http://schemas.openxmlformats.org/officeDocument/2006/relationships/customXml" Target="../customXml/item15.xml"/><Relationship Id="rId69" Type="http://schemas.openxmlformats.org/officeDocument/2006/relationships/customXml" Target="../customXml/item20.xml"/><Relationship Id="rId77"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2.xml"/><Relationship Id="rId72" Type="http://schemas.openxmlformats.org/officeDocument/2006/relationships/customXml" Target="../customXml/item23.xml"/><Relationship Id="rId80" Type="http://schemas.openxmlformats.org/officeDocument/2006/relationships/customXml" Target="../customXml/item31.xml"/><Relationship Id="rId85" Type="http://schemas.openxmlformats.org/officeDocument/2006/relationships/customXml" Target="../customXml/item3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pivotCacheDefinition" Target="pivotCache/pivotCacheDefinition16.xml"/><Relationship Id="rId38" Type="http://schemas.microsoft.com/office/2007/relationships/slicerCache" Target="slicerCaches/slicerCache1.xml"/><Relationship Id="rId46" Type="http://schemas.openxmlformats.org/officeDocument/2006/relationships/sharedStrings" Target="sharedStrings.xml"/><Relationship Id="rId59" Type="http://schemas.openxmlformats.org/officeDocument/2006/relationships/customXml" Target="../customXml/item10.xml"/><Relationship Id="rId67" Type="http://schemas.openxmlformats.org/officeDocument/2006/relationships/customXml" Target="../customXml/item18.xml"/><Relationship Id="rId20" Type="http://schemas.openxmlformats.org/officeDocument/2006/relationships/pivotCacheDefinition" Target="pivotCache/pivotCacheDefinition3.xml"/><Relationship Id="rId41" Type="http://schemas.openxmlformats.org/officeDocument/2006/relationships/pivotCacheDefinition" Target="pivotCache/pivotCacheDefinition21.xml"/><Relationship Id="rId54" Type="http://schemas.openxmlformats.org/officeDocument/2006/relationships/customXml" Target="../customXml/item5.xml"/><Relationship Id="rId62" Type="http://schemas.openxmlformats.org/officeDocument/2006/relationships/customXml" Target="../customXml/item13.xml"/><Relationship Id="rId70" Type="http://schemas.openxmlformats.org/officeDocument/2006/relationships/customXml" Target="../customXml/item21.xml"/><Relationship Id="rId75" Type="http://schemas.openxmlformats.org/officeDocument/2006/relationships/customXml" Target="../customXml/item26.xml"/><Relationship Id="rId83" Type="http://schemas.openxmlformats.org/officeDocument/2006/relationships/customXml" Target="../customXml/item34.xml"/><Relationship Id="rId88"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pivotCacheDefinition" Target="pivotCache/pivotCacheDefinition19.xml"/><Relationship Id="rId49" Type="http://schemas.openxmlformats.org/officeDocument/2006/relationships/calcChain" Target="calcChain.xml"/><Relationship Id="rId57" Type="http://schemas.openxmlformats.org/officeDocument/2006/relationships/customXml" Target="../customXml/item8.xml"/><Relationship Id="rId10" Type="http://schemas.openxmlformats.org/officeDocument/2006/relationships/worksheet" Target="worksheets/sheet10.xml"/><Relationship Id="rId31" Type="http://schemas.openxmlformats.org/officeDocument/2006/relationships/pivotCacheDefinition" Target="pivotCache/pivotCacheDefinition14.xml"/><Relationship Id="rId44" Type="http://schemas.openxmlformats.org/officeDocument/2006/relationships/connections" Target="connections.xml"/><Relationship Id="rId52" Type="http://schemas.openxmlformats.org/officeDocument/2006/relationships/customXml" Target="../customXml/item3.xml"/><Relationship Id="rId60" Type="http://schemas.openxmlformats.org/officeDocument/2006/relationships/customXml" Target="../customXml/item11.xml"/><Relationship Id="rId65" Type="http://schemas.openxmlformats.org/officeDocument/2006/relationships/customXml" Target="../customXml/item16.xml"/><Relationship Id="rId73" Type="http://schemas.openxmlformats.org/officeDocument/2006/relationships/customXml" Target="../customXml/item24.xml"/><Relationship Id="rId78" Type="http://schemas.openxmlformats.org/officeDocument/2006/relationships/customXml" Target="../customXml/item29.xml"/><Relationship Id="rId81" Type="http://schemas.openxmlformats.org/officeDocument/2006/relationships/customXml" Target="../customXml/item32.xml"/><Relationship Id="rId86"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9" Type="http://schemas.microsoft.com/office/2007/relationships/slicerCache" Target="slicerCaches/slicerCache2.xml"/><Relationship Id="rId34" Type="http://schemas.openxmlformats.org/officeDocument/2006/relationships/pivotCacheDefinition" Target="pivotCache/pivotCacheDefinition17.xml"/><Relationship Id="rId50" Type="http://schemas.openxmlformats.org/officeDocument/2006/relationships/customXml" Target="../customXml/item1.xml"/><Relationship Id="rId55" Type="http://schemas.openxmlformats.org/officeDocument/2006/relationships/customXml" Target="../customXml/item6.xml"/><Relationship Id="rId76" Type="http://schemas.openxmlformats.org/officeDocument/2006/relationships/customXml" Target="../customXml/item27.xml"/><Relationship Id="rId7" Type="http://schemas.openxmlformats.org/officeDocument/2006/relationships/worksheet" Target="worksheets/sheet7.xml"/><Relationship Id="rId71" Type="http://schemas.openxmlformats.org/officeDocument/2006/relationships/customXml" Target="../customXml/item22.xml"/><Relationship Id="rId2" Type="http://schemas.openxmlformats.org/officeDocument/2006/relationships/worksheet" Target="worksheets/sheet2.xml"/><Relationship Id="rId29" Type="http://schemas.openxmlformats.org/officeDocument/2006/relationships/pivotCacheDefinition" Target="pivotCache/pivotCacheDefinition12.xml"/><Relationship Id="rId24" Type="http://schemas.openxmlformats.org/officeDocument/2006/relationships/pivotCacheDefinition" Target="pivotCache/pivotCacheDefinition7.xml"/><Relationship Id="rId40" Type="http://schemas.microsoft.com/office/2007/relationships/slicerCache" Target="slicerCaches/slicerCache3.xml"/><Relationship Id="rId45" Type="http://schemas.openxmlformats.org/officeDocument/2006/relationships/styles" Target="styles.xml"/><Relationship Id="rId66" Type="http://schemas.openxmlformats.org/officeDocument/2006/relationships/customXml" Target="../customXml/item17.xml"/><Relationship Id="rId87" Type="http://schemas.openxmlformats.org/officeDocument/2006/relationships/customXml" Target="../customXml/item38.xml"/><Relationship Id="rId61" Type="http://schemas.openxmlformats.org/officeDocument/2006/relationships/customXml" Target="../customXml/item12.xml"/><Relationship Id="rId82" Type="http://schemas.openxmlformats.org/officeDocument/2006/relationships/customXml" Target="../customXml/item33.xml"/><Relationship Id="rId1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DASHBOARD.xlsx]SalesYoY!PivotTable1</c:name>
    <c:fmtId val="14"/>
  </c:pivotSource>
  <c:chart>
    <c:autoTitleDeleted val="0"/>
    <c:pivotFmts>
      <c:pivotFmt>
        <c:idx val="0"/>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1.4862739673380178E-3"/>
              <c:y val="-9.0200016761577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FF00"/>
            </a:solidFill>
            <a:round/>
          </a:ln>
          <a:effectLst>
            <a:outerShdw blurRad="57150" dist="19050" dir="5400000" algn="ctr" rotWithShape="0">
              <a:srgbClr val="000000">
                <a:alpha val="63000"/>
              </a:srgbClr>
            </a:outerShdw>
          </a:effectLst>
        </c:spPr>
        <c:marker>
          <c:symbol val="none"/>
        </c:marker>
        <c:dLbl>
          <c:idx val="0"/>
          <c:spPr>
            <a:solidFill>
              <a:schemeClr val="tx1">
                <a:lumMod val="95000"/>
                <a:lumOff val="5000"/>
              </a:schemeClr>
            </a:solidFill>
            <a:ln>
              <a:noFill/>
            </a:ln>
            <a:effectLst>
              <a:glow>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1.4862739673380178E-3"/>
              <c:y val="-9.0200016761577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FF00"/>
            </a:solidFill>
            <a:round/>
          </a:ln>
          <a:effectLst>
            <a:outerShdw blurRad="57150" dist="19050" dir="5400000" algn="ctr" rotWithShape="0">
              <a:srgbClr val="000000">
                <a:alpha val="63000"/>
              </a:srgbClr>
            </a:outerShdw>
          </a:effectLst>
        </c:spPr>
        <c:marker>
          <c:symbol val="none"/>
        </c:marker>
        <c:dLbl>
          <c:idx val="0"/>
          <c:spPr>
            <a:solidFill>
              <a:schemeClr val="tx1">
                <a:lumMod val="95000"/>
                <a:lumOff val="5000"/>
              </a:schemeClr>
            </a:solidFill>
            <a:ln>
              <a:noFill/>
            </a:ln>
            <a:effectLst>
              <a:glow>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a:noFill/>
          </a:ln>
          <a:effectLst>
            <a:outerShdw blurRad="57150" dist="19050" dir="5400000" algn="ctr" rotWithShape="0">
              <a:srgbClr val="000000">
                <a:alpha val="63000"/>
              </a:srgbClr>
            </a:outerShdw>
          </a:effectLst>
        </c:spPr>
        <c:dLbl>
          <c:idx val="0"/>
          <c:layout>
            <c:manualLayout>
              <c:x val="-1.4862739673380178E-3"/>
              <c:y val="-9.0200016761577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rgbClr val="FFFF00"/>
            </a:solidFill>
            <a:round/>
          </a:ln>
          <a:effectLst>
            <a:outerShdw blurRad="57150" dist="19050" dir="5400000" algn="ctr" rotWithShape="0">
              <a:srgbClr val="000000">
                <a:alpha val="63000"/>
              </a:srgbClr>
            </a:outerShdw>
          </a:effectLst>
        </c:spPr>
        <c:marker>
          <c:symbol val="none"/>
        </c:marker>
        <c:dLbl>
          <c:idx val="0"/>
          <c:spPr>
            <a:solidFill>
              <a:schemeClr val="tx1">
                <a:lumMod val="95000"/>
                <a:lumOff val="5000"/>
              </a:schemeClr>
            </a:solidFill>
            <a:ln>
              <a:noFill/>
            </a:ln>
            <a:effectLst>
              <a:glow>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681306896252373E-2"/>
          <c:y val="0.13962243451870535"/>
          <c:w val="0.87272433700243379"/>
          <c:h val="0.76804445112959818"/>
        </c:manualLayout>
      </c:layout>
      <c:barChart>
        <c:barDir val="col"/>
        <c:grouping val="clustered"/>
        <c:varyColors val="0"/>
        <c:ser>
          <c:idx val="0"/>
          <c:order val="0"/>
          <c:tx>
            <c:strRef>
              <c:f>SalesYoY!$B$1</c:f>
              <c:strCache>
                <c:ptCount val="1"/>
                <c:pt idx="0">
                  <c:v>TotalSalesLY</c:v>
                </c:pt>
              </c:strCache>
            </c:strRef>
          </c:tx>
          <c:spPr>
            <a:solidFill>
              <a:schemeClr val="accent4">
                <a:lumMod val="20000"/>
                <a:lumOff val="80000"/>
              </a:schemeClr>
            </a:solidFill>
            <a:ln>
              <a:noFill/>
            </a:ln>
            <a:effectLst>
              <a:outerShdw blurRad="57150" dist="19050" dir="5400000" algn="ctr" rotWithShape="0">
                <a:srgbClr val="000000">
                  <a:alpha val="63000"/>
                </a:srgbClr>
              </a:outerShdw>
            </a:effectLst>
          </c:spPr>
          <c:invertIfNegative val="0"/>
          <c:cat>
            <c:multiLvlStrRef>
              <c:f>SalesYoY!$A$2:$A$28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SalesYoY!$B$2:$B$28</c:f>
              <c:numCache>
                <c:formatCode>#,##0.00</c:formatCode>
                <c:ptCount val="24"/>
                <c:pt idx="12">
                  <c:v>17765.34</c:v>
                </c:pt>
                <c:pt idx="13">
                  <c:v>12598.569999999998</c:v>
                </c:pt>
                <c:pt idx="14">
                  <c:v>16419.79</c:v>
                </c:pt>
                <c:pt idx="15">
                  <c:v>15252.43</c:v>
                </c:pt>
                <c:pt idx="16">
                  <c:v>7957.4600000000009</c:v>
                </c:pt>
                <c:pt idx="17">
                  <c:v>16442.170000000002</c:v>
                </c:pt>
                <c:pt idx="18">
                  <c:v>19054.62</c:v>
                </c:pt>
                <c:pt idx="19">
                  <c:v>14155.349999999999</c:v>
                </c:pt>
                <c:pt idx="20">
                  <c:v>18853.82</c:v>
                </c:pt>
                <c:pt idx="21">
                  <c:v>20453.900000000005</c:v>
                </c:pt>
                <c:pt idx="22">
                  <c:v>9702.4</c:v>
                </c:pt>
                <c:pt idx="23">
                  <c:v>18628.47</c:v>
                </c:pt>
              </c:numCache>
            </c:numRef>
          </c:val>
          <c:extLst>
            <c:ext xmlns:c16="http://schemas.microsoft.com/office/drawing/2014/chart" uri="{C3380CC4-5D6E-409C-BE32-E72D297353CC}">
              <c16:uniqueId val="{00000000-48F6-426A-B688-CC7B83600A9D}"/>
            </c:ext>
          </c:extLst>
        </c:ser>
        <c:ser>
          <c:idx val="1"/>
          <c:order val="1"/>
          <c:tx>
            <c:strRef>
              <c:f>SalesYoY!$C$1</c:f>
              <c:strCache>
                <c:ptCount val="1"/>
                <c:pt idx="0">
                  <c:v>RunningTotalSales</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00-4E8F-46C8-AFBA-E0803E9F9B91}"/>
              </c:ext>
            </c:extLst>
          </c:dPt>
          <c:dPt>
            <c:idx val="15"/>
            <c:invertIfNegative val="0"/>
            <c:bubble3D val="0"/>
            <c:extLst>
              <c:ext xmlns:c16="http://schemas.microsoft.com/office/drawing/2014/chart" uri="{C3380CC4-5D6E-409C-BE32-E72D297353CC}">
                <c16:uniqueId val="{00000001-7883-43A5-B7F6-37224D526547}"/>
              </c:ext>
            </c:extLst>
          </c:dPt>
          <c:dLbls>
            <c:dLbl>
              <c:idx val="15"/>
              <c:layout>
                <c:manualLayout>
                  <c:x val="-1.4862739673380178E-3"/>
                  <c:y val="-9.0200016761577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83-43A5-B7F6-37224D5265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SalesYoY!$A$2:$A$28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SalesYoY!$C$2:$C$28</c:f>
              <c:numCache>
                <c:formatCode>#,##0.00</c:formatCode>
                <c:ptCount val="24"/>
                <c:pt idx="0">
                  <c:v>17765.339999999997</c:v>
                </c:pt>
                <c:pt idx="1">
                  <c:v>12598.570000000002</c:v>
                </c:pt>
                <c:pt idx="2">
                  <c:v>16419.79</c:v>
                </c:pt>
                <c:pt idx="3">
                  <c:v>15252.430000000002</c:v>
                </c:pt>
                <c:pt idx="4">
                  <c:v>7957.4600000000009</c:v>
                </c:pt>
                <c:pt idx="5">
                  <c:v>16442.169999999998</c:v>
                </c:pt>
                <c:pt idx="6">
                  <c:v>19054.619999999995</c:v>
                </c:pt>
                <c:pt idx="7">
                  <c:v>14155.35</c:v>
                </c:pt>
                <c:pt idx="8">
                  <c:v>18853.819999999996</c:v>
                </c:pt>
                <c:pt idx="9">
                  <c:v>20453.900000000005</c:v>
                </c:pt>
                <c:pt idx="10">
                  <c:v>9702.4</c:v>
                </c:pt>
                <c:pt idx="11">
                  <c:v>18628.47</c:v>
                </c:pt>
                <c:pt idx="12">
                  <c:v>23581.62</c:v>
                </c:pt>
                <c:pt idx="13">
                  <c:v>18258.73</c:v>
                </c:pt>
                <c:pt idx="14">
                  <c:v>12196.86</c:v>
                </c:pt>
                <c:pt idx="15">
                  <c:v>11326.68</c:v>
                </c:pt>
                <c:pt idx="16">
                  <c:v>22952.989999999998</c:v>
                </c:pt>
                <c:pt idx="17">
                  <c:v>14091.539999999999</c:v>
                </c:pt>
                <c:pt idx="18">
                  <c:v>16197.17</c:v>
                </c:pt>
                <c:pt idx="19">
                  <c:v>21195.050000000003</c:v>
                </c:pt>
                <c:pt idx="20">
                  <c:v>16388.989999999998</c:v>
                </c:pt>
                <c:pt idx="21">
                  <c:v>13046.79</c:v>
                </c:pt>
                <c:pt idx="22">
                  <c:v>26421.669999999995</c:v>
                </c:pt>
                <c:pt idx="23">
                  <c:v>18469.509999999998</c:v>
                </c:pt>
              </c:numCache>
            </c:numRef>
          </c:val>
          <c:extLst>
            <c:ext xmlns:c16="http://schemas.microsoft.com/office/drawing/2014/chart" uri="{C3380CC4-5D6E-409C-BE32-E72D297353CC}">
              <c16:uniqueId val="{00000002-48F6-426A-B688-CC7B83600A9D}"/>
            </c:ext>
          </c:extLst>
        </c:ser>
        <c:dLbls>
          <c:showLegendKey val="0"/>
          <c:showVal val="0"/>
          <c:showCatName val="0"/>
          <c:showSerName val="0"/>
          <c:showPercent val="0"/>
          <c:showBubbleSize val="0"/>
        </c:dLbls>
        <c:gapWidth val="16"/>
        <c:axId val="517013728"/>
        <c:axId val="517011808"/>
      </c:barChart>
      <c:lineChart>
        <c:grouping val="standard"/>
        <c:varyColors val="0"/>
        <c:ser>
          <c:idx val="2"/>
          <c:order val="2"/>
          <c:tx>
            <c:strRef>
              <c:f>SalesYoY!$D$1</c:f>
              <c:strCache>
                <c:ptCount val="1"/>
                <c:pt idx="0">
                  <c:v>RunningTotalSales</c:v>
                </c:pt>
              </c:strCache>
            </c:strRef>
          </c:tx>
          <c:spPr>
            <a:ln w="34925" cap="rnd">
              <a:solidFill>
                <a:srgbClr val="FFFF00"/>
              </a:solidFill>
              <a:round/>
            </a:ln>
            <a:effectLst>
              <a:outerShdw blurRad="57150" dist="19050" dir="5400000" algn="ctr" rotWithShape="0">
                <a:srgbClr val="000000">
                  <a:alpha val="63000"/>
                </a:srgbClr>
              </a:outerShdw>
            </a:effectLst>
          </c:spPr>
          <c:marker>
            <c:symbol val="none"/>
          </c:marker>
          <c:dLbls>
            <c:spPr>
              <a:solidFill>
                <a:schemeClr val="tx1">
                  <a:lumMod val="95000"/>
                  <a:lumOff val="5000"/>
                </a:schemeClr>
              </a:solidFill>
              <a:ln>
                <a:noFill/>
              </a:ln>
              <a:effectLst>
                <a:glow>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SalesYoY!$A$2:$A$28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SalesYoY!$D$2:$D$28</c:f>
              <c:numCache>
                <c:formatCode>#,##0.00</c:formatCode>
                <c:ptCount val="24"/>
                <c:pt idx="0">
                  <c:v>17765.339999999997</c:v>
                </c:pt>
                <c:pt idx="1">
                  <c:v>30363.909999999996</c:v>
                </c:pt>
                <c:pt idx="2">
                  <c:v>46783.7</c:v>
                </c:pt>
                <c:pt idx="3">
                  <c:v>62036.13</c:v>
                </c:pt>
                <c:pt idx="4">
                  <c:v>69993.59</c:v>
                </c:pt>
                <c:pt idx="5">
                  <c:v>86435.76</c:v>
                </c:pt>
                <c:pt idx="6">
                  <c:v>105490.37999999999</c:v>
                </c:pt>
                <c:pt idx="7">
                  <c:v>119645.73</c:v>
                </c:pt>
                <c:pt idx="8">
                  <c:v>138499.54999999999</c:v>
                </c:pt>
                <c:pt idx="9">
                  <c:v>158953.44999999998</c:v>
                </c:pt>
                <c:pt idx="10">
                  <c:v>168655.84999999998</c:v>
                </c:pt>
                <c:pt idx="11">
                  <c:v>187284.31999999998</c:v>
                </c:pt>
                <c:pt idx="12">
                  <c:v>23581.62</c:v>
                </c:pt>
                <c:pt idx="13">
                  <c:v>41840.35</c:v>
                </c:pt>
                <c:pt idx="14">
                  <c:v>54037.21</c:v>
                </c:pt>
                <c:pt idx="15">
                  <c:v>65363.89</c:v>
                </c:pt>
                <c:pt idx="16">
                  <c:v>88316.88</c:v>
                </c:pt>
                <c:pt idx="17">
                  <c:v>102408.42</c:v>
                </c:pt>
                <c:pt idx="18">
                  <c:v>118605.59</c:v>
                </c:pt>
                <c:pt idx="19">
                  <c:v>139800.64000000001</c:v>
                </c:pt>
                <c:pt idx="20">
                  <c:v>156189.63</c:v>
                </c:pt>
                <c:pt idx="21">
                  <c:v>169236.42</c:v>
                </c:pt>
                <c:pt idx="22">
                  <c:v>195658.09</c:v>
                </c:pt>
                <c:pt idx="23">
                  <c:v>214127.6</c:v>
                </c:pt>
              </c:numCache>
            </c:numRef>
          </c:val>
          <c:smooth val="0"/>
          <c:extLst>
            <c:ext xmlns:c16="http://schemas.microsoft.com/office/drawing/2014/chart" uri="{C3380CC4-5D6E-409C-BE32-E72D297353CC}">
              <c16:uniqueId val="{00000003-48F6-426A-B688-CC7B83600A9D}"/>
            </c:ext>
          </c:extLst>
        </c:ser>
        <c:dLbls>
          <c:showLegendKey val="0"/>
          <c:showVal val="0"/>
          <c:showCatName val="0"/>
          <c:showSerName val="0"/>
          <c:showPercent val="0"/>
          <c:showBubbleSize val="0"/>
        </c:dLbls>
        <c:marker val="1"/>
        <c:smooth val="0"/>
        <c:axId val="693311584"/>
        <c:axId val="693313504"/>
      </c:lineChart>
      <c:catAx>
        <c:axId val="517013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517011808"/>
        <c:crosses val="autoZero"/>
        <c:auto val="1"/>
        <c:lblAlgn val="ctr"/>
        <c:lblOffset val="100"/>
        <c:noMultiLvlLbl val="0"/>
      </c:catAx>
      <c:valAx>
        <c:axId val="5170118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517013728"/>
        <c:crosses val="autoZero"/>
        <c:crossBetween val="between"/>
      </c:valAx>
      <c:valAx>
        <c:axId val="693313504"/>
        <c:scaling>
          <c:orientation val="minMax"/>
          <c:max val="400000"/>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693311584"/>
        <c:crosses val="max"/>
        <c:crossBetween val="between"/>
      </c:valAx>
      <c:catAx>
        <c:axId val="693311584"/>
        <c:scaling>
          <c:orientation val="minMax"/>
        </c:scaling>
        <c:delete val="1"/>
        <c:axPos val="b"/>
        <c:numFmt formatCode="General" sourceLinked="1"/>
        <c:majorTickMark val="out"/>
        <c:minorTickMark val="none"/>
        <c:tickLblPos val="nextTo"/>
        <c:crossAx val="693313504"/>
        <c:crosses val="autoZero"/>
        <c:auto val="1"/>
        <c:lblAlgn val="ctr"/>
        <c:lblOffset val="100"/>
        <c:noMultiLvlLbl val="0"/>
      </c:catAx>
      <c:spPr>
        <a:noFill/>
        <a:ln>
          <a:noFill/>
        </a:ln>
        <a:effectLst/>
      </c:spPr>
    </c:plotArea>
    <c:legend>
      <c:legendPos val="t"/>
      <c:overlay val="0"/>
      <c:spPr>
        <a:noFill/>
        <a:ln>
          <a:solidFill>
            <a:srgbClr val="92D050">
              <a:alpha val="99000"/>
            </a:srgbClr>
          </a:solid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DASHBOARD.xlsx]YoY Sales Growth!PivotTable3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YoY Sales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sr-Latn-RS"/>
        </a:p>
      </c:txPr>
    </c:title>
    <c:autoTitleDeleted val="0"/>
    <c:pivotFmts>
      <c:pivotFmt>
        <c:idx val="0"/>
        <c:spPr>
          <a:solidFill>
            <a:srgbClr val="2E75B6"/>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75B6"/>
          </a:solidFill>
          <a:ln>
            <a:noFill/>
          </a:ln>
          <a:effectLst>
            <a:outerShdw blurRad="57150" dist="19050" dir="5400000" algn="ctr" rotWithShape="0">
              <a:srgbClr val="000000">
                <a:alpha val="63000"/>
              </a:srgbClr>
            </a:outerShdw>
          </a:effectLst>
        </c:spPr>
        <c:dLbl>
          <c:idx val="0"/>
          <c:layout>
            <c:manualLayout>
              <c:x val="2.9850746268656717E-3"/>
              <c:y val="-8.203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75B6"/>
          </a:solidFill>
          <a:ln>
            <a:noFill/>
          </a:ln>
          <a:effectLst>
            <a:outerShdw blurRad="57150" dist="19050" dir="5400000" algn="ctr" rotWithShape="0">
              <a:srgbClr val="000000">
                <a:alpha val="63000"/>
              </a:srgbClr>
            </a:outerShdw>
          </a:effectLst>
        </c:spPr>
        <c:dLbl>
          <c:idx val="0"/>
          <c:layout>
            <c:manualLayout>
              <c:x val="5.9701492537312341E-3"/>
              <c:y val="-8.59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E75B6"/>
          </a:solidFill>
          <a:ln>
            <a:noFill/>
          </a:ln>
          <a:effectLst>
            <a:outerShdw blurRad="57150" dist="19050" dir="5400000" algn="ctr" rotWithShape="0">
              <a:srgbClr val="000000">
                <a:alpha val="63000"/>
              </a:srgbClr>
            </a:outerShdw>
          </a:effectLst>
        </c:spPr>
        <c:dLbl>
          <c:idx val="0"/>
          <c:layout>
            <c:manualLayout>
              <c:x val="-1.4925373134328358E-3"/>
              <c:y val="1.1718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E75B6"/>
          </a:solidFill>
          <a:ln>
            <a:noFill/>
          </a:ln>
          <a:effectLst>
            <a:outerShdw blurRad="57150" dist="19050" dir="5400000" algn="ctr" rotWithShape="0">
              <a:srgbClr val="000000">
                <a:alpha val="63000"/>
              </a:srgbClr>
            </a:outerShdw>
          </a:effectLst>
        </c:spPr>
        <c:dLbl>
          <c:idx val="0"/>
          <c:layout>
            <c:manualLayout>
              <c:x val="-5.9701492537313433E-3"/>
              <c:y val="-6.640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E75B6"/>
          </a:solidFill>
          <a:ln>
            <a:noFill/>
          </a:ln>
          <a:effectLst>
            <a:outerShdw blurRad="57150" dist="19050" dir="5400000" algn="ctr" rotWithShape="0">
              <a:srgbClr val="000000">
                <a:alpha val="63000"/>
              </a:srgbClr>
            </a:outerShdw>
          </a:effectLst>
        </c:spPr>
        <c:dLbl>
          <c:idx val="0"/>
          <c:layout>
            <c:manualLayout>
              <c:x val="-8.9552238805970692E-3"/>
              <c:y val="-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E75B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E75B6"/>
          </a:solidFill>
          <a:ln>
            <a:noFill/>
          </a:ln>
          <a:effectLst>
            <a:outerShdw blurRad="57150" dist="19050" dir="5400000" algn="ctr" rotWithShape="0">
              <a:srgbClr val="000000">
                <a:alpha val="63000"/>
              </a:srgbClr>
            </a:outerShdw>
          </a:effectLst>
        </c:spPr>
        <c:dLbl>
          <c:idx val="0"/>
          <c:layout>
            <c:manualLayout>
              <c:x val="-8.9552238805970692E-3"/>
              <c:y val="-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E75B6"/>
          </a:solidFill>
          <a:ln>
            <a:noFill/>
          </a:ln>
          <a:effectLst>
            <a:outerShdw blurRad="57150" dist="19050" dir="5400000" algn="ctr" rotWithShape="0">
              <a:srgbClr val="000000">
                <a:alpha val="63000"/>
              </a:srgbClr>
            </a:outerShdw>
          </a:effectLst>
        </c:spPr>
        <c:dLbl>
          <c:idx val="0"/>
          <c:layout>
            <c:manualLayout>
              <c:x val="2.9850746268656717E-3"/>
              <c:y val="-8.203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E75B6"/>
          </a:solidFill>
          <a:ln>
            <a:noFill/>
          </a:ln>
          <a:effectLst>
            <a:outerShdw blurRad="57150" dist="19050" dir="5400000" algn="ctr" rotWithShape="0">
              <a:srgbClr val="000000">
                <a:alpha val="63000"/>
              </a:srgbClr>
            </a:outerShdw>
          </a:effectLst>
        </c:spPr>
        <c:dLbl>
          <c:idx val="0"/>
          <c:layout>
            <c:manualLayout>
              <c:x val="-1.4925373134328358E-3"/>
              <c:y val="1.1718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E75B6"/>
          </a:solidFill>
          <a:ln>
            <a:noFill/>
          </a:ln>
          <a:effectLst>
            <a:outerShdw blurRad="57150" dist="19050" dir="5400000" algn="ctr" rotWithShape="0">
              <a:srgbClr val="000000">
                <a:alpha val="63000"/>
              </a:srgbClr>
            </a:outerShdw>
          </a:effectLst>
        </c:spPr>
        <c:dLbl>
          <c:idx val="0"/>
          <c:layout>
            <c:manualLayout>
              <c:x val="5.9701492537312341E-3"/>
              <c:y val="-8.59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E75B6"/>
          </a:solidFill>
          <a:ln>
            <a:noFill/>
          </a:ln>
          <a:effectLst>
            <a:outerShdw blurRad="57150" dist="19050" dir="5400000" algn="ctr" rotWithShape="0">
              <a:srgbClr val="000000">
                <a:alpha val="63000"/>
              </a:srgbClr>
            </a:outerShdw>
          </a:effectLst>
        </c:spPr>
        <c:dLbl>
          <c:idx val="0"/>
          <c:layout>
            <c:manualLayout>
              <c:x val="-5.9701492537313433E-3"/>
              <c:y val="-6.640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E75B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E75B6"/>
          </a:solidFill>
          <a:ln>
            <a:noFill/>
          </a:ln>
          <a:effectLst>
            <a:outerShdw blurRad="57150" dist="19050" dir="5400000" algn="ctr" rotWithShape="0">
              <a:srgbClr val="000000">
                <a:alpha val="63000"/>
              </a:srgbClr>
            </a:outerShdw>
          </a:effectLst>
        </c:spPr>
        <c:dLbl>
          <c:idx val="0"/>
          <c:layout>
            <c:manualLayout>
              <c:x val="-8.9552238805970692E-3"/>
              <c:y val="-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E75B6"/>
          </a:solidFill>
          <a:ln>
            <a:noFill/>
          </a:ln>
          <a:effectLst>
            <a:outerShdw blurRad="57150" dist="19050" dir="5400000" algn="ctr" rotWithShape="0">
              <a:srgbClr val="000000">
                <a:alpha val="63000"/>
              </a:srgbClr>
            </a:outerShdw>
          </a:effectLst>
        </c:spPr>
        <c:dLbl>
          <c:idx val="0"/>
          <c:layout>
            <c:manualLayout>
              <c:x val="2.9850746268656717E-3"/>
              <c:y val="-8.203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E75B6"/>
          </a:solidFill>
          <a:ln>
            <a:noFill/>
          </a:ln>
          <a:effectLst>
            <a:outerShdw blurRad="57150" dist="19050" dir="5400000" algn="ctr" rotWithShape="0">
              <a:srgbClr val="000000">
                <a:alpha val="63000"/>
              </a:srgbClr>
            </a:outerShdw>
          </a:effectLst>
        </c:spPr>
        <c:dLbl>
          <c:idx val="0"/>
          <c:layout>
            <c:manualLayout>
              <c:x val="-1.4925373134328358E-3"/>
              <c:y val="1.1718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E75B6"/>
          </a:solidFill>
          <a:ln>
            <a:noFill/>
          </a:ln>
          <a:effectLst>
            <a:outerShdw blurRad="57150" dist="19050" dir="5400000" algn="ctr" rotWithShape="0">
              <a:srgbClr val="000000">
                <a:alpha val="63000"/>
              </a:srgbClr>
            </a:outerShdw>
          </a:effectLst>
        </c:spPr>
        <c:dLbl>
          <c:idx val="0"/>
          <c:layout>
            <c:manualLayout>
              <c:x val="5.9701492537312341E-3"/>
              <c:y val="-8.59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E75B6"/>
          </a:solidFill>
          <a:ln>
            <a:noFill/>
          </a:ln>
          <a:effectLst>
            <a:outerShdw blurRad="57150" dist="19050" dir="5400000" algn="ctr" rotWithShape="0">
              <a:srgbClr val="000000">
                <a:alpha val="63000"/>
              </a:srgbClr>
            </a:outerShdw>
          </a:effectLst>
        </c:spPr>
        <c:dLbl>
          <c:idx val="0"/>
          <c:layout>
            <c:manualLayout>
              <c:x val="-5.9701492537313433E-3"/>
              <c:y val="-6.640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'YoY Sales Growth'!$B$1</c:f>
              <c:strCache>
                <c:ptCount val="1"/>
                <c:pt idx="0">
                  <c:v>Total</c:v>
                </c:pt>
              </c:strCache>
            </c:strRef>
          </c:tx>
          <c:spPr>
            <a:solidFill>
              <a:srgbClr val="2E75B6"/>
            </a:solidFill>
            <a:ln>
              <a:noFill/>
            </a:ln>
            <a:effectLst>
              <a:outerShdw blurRad="57150" dist="19050" dir="5400000" algn="ctr" rotWithShape="0">
                <a:srgbClr val="000000">
                  <a:alpha val="63000"/>
                </a:srgbClr>
              </a:outerShdw>
            </a:effectLst>
          </c:spPr>
          <c:invertIfNegative val="1"/>
          <c:dPt>
            <c:idx val="0"/>
            <c:invertIfNegative val="1"/>
            <c:bubble3D val="0"/>
            <c:extLst>
              <c:ext xmlns:c16="http://schemas.microsoft.com/office/drawing/2014/chart" uri="{C3380CC4-5D6E-409C-BE32-E72D297353CC}">
                <c16:uniqueId val="{00000000-13CF-4DEF-99EE-902483ED452D}"/>
              </c:ext>
            </c:extLst>
          </c:dPt>
          <c:dPt>
            <c:idx val="3"/>
            <c:invertIfNegative val="1"/>
            <c:bubble3D val="0"/>
            <c:extLst>
              <c:ext xmlns:c16="http://schemas.microsoft.com/office/drawing/2014/chart" uri="{C3380CC4-5D6E-409C-BE32-E72D297353CC}">
                <c16:uniqueId val="{00000001-13CF-4DEF-99EE-902483ED452D}"/>
              </c:ext>
            </c:extLst>
          </c:dPt>
          <c:dPt>
            <c:idx val="5"/>
            <c:invertIfNegative val="1"/>
            <c:bubble3D val="0"/>
            <c:extLst>
              <c:ext xmlns:c16="http://schemas.microsoft.com/office/drawing/2014/chart" uri="{C3380CC4-5D6E-409C-BE32-E72D297353CC}">
                <c16:uniqueId val="{00000002-13CF-4DEF-99EE-902483ED452D}"/>
              </c:ext>
            </c:extLst>
          </c:dPt>
          <c:dPt>
            <c:idx val="6"/>
            <c:invertIfNegative val="1"/>
            <c:bubble3D val="0"/>
            <c:extLst>
              <c:ext xmlns:c16="http://schemas.microsoft.com/office/drawing/2014/chart" uri="{C3380CC4-5D6E-409C-BE32-E72D297353CC}">
                <c16:uniqueId val="{00000003-13CF-4DEF-99EE-902483ED452D}"/>
              </c:ext>
            </c:extLst>
          </c:dPt>
          <c:dPt>
            <c:idx val="11"/>
            <c:invertIfNegative val="1"/>
            <c:bubble3D val="0"/>
            <c:extLst>
              <c:ext xmlns:c16="http://schemas.microsoft.com/office/drawing/2014/chart" uri="{C3380CC4-5D6E-409C-BE32-E72D297353CC}">
                <c16:uniqueId val="{00000004-13CF-4DEF-99EE-902483ED452D}"/>
              </c:ext>
            </c:extLst>
          </c:dPt>
          <c:dPt>
            <c:idx val="12"/>
            <c:invertIfNegative val="1"/>
            <c:bubble3D val="0"/>
            <c:extLst>
              <c:ext xmlns:c16="http://schemas.microsoft.com/office/drawing/2014/chart" uri="{C3380CC4-5D6E-409C-BE32-E72D297353CC}">
                <c16:uniqueId val="{00000005-2D7A-406C-B219-F9C691D3616C}"/>
              </c:ext>
            </c:extLst>
          </c:dPt>
          <c:dPt>
            <c:idx val="15"/>
            <c:invertIfNegative val="1"/>
            <c:bubble3D val="0"/>
            <c:extLst>
              <c:ext xmlns:c16="http://schemas.microsoft.com/office/drawing/2014/chart" uri="{C3380CC4-5D6E-409C-BE32-E72D297353CC}">
                <c16:uniqueId val="{00000006-2D7A-406C-B219-F9C691D3616C}"/>
              </c:ext>
            </c:extLst>
          </c:dPt>
          <c:dPt>
            <c:idx val="17"/>
            <c:invertIfNegative val="1"/>
            <c:bubble3D val="0"/>
            <c:extLst>
              <c:ext xmlns:c16="http://schemas.microsoft.com/office/drawing/2014/chart" uri="{C3380CC4-5D6E-409C-BE32-E72D297353CC}">
                <c16:uniqueId val="{00000007-2D7A-406C-B219-F9C691D3616C}"/>
              </c:ext>
            </c:extLst>
          </c:dPt>
          <c:dPt>
            <c:idx val="18"/>
            <c:invertIfNegative val="1"/>
            <c:bubble3D val="0"/>
            <c:extLst>
              <c:ext xmlns:c16="http://schemas.microsoft.com/office/drawing/2014/chart" uri="{C3380CC4-5D6E-409C-BE32-E72D297353CC}">
                <c16:uniqueId val="{00000008-2D7A-406C-B219-F9C691D3616C}"/>
              </c:ext>
            </c:extLst>
          </c:dPt>
          <c:dPt>
            <c:idx val="23"/>
            <c:invertIfNegative val="1"/>
            <c:bubble3D val="0"/>
            <c:extLst>
              <c:ext xmlns:c16="http://schemas.microsoft.com/office/drawing/2014/chart" uri="{C3380CC4-5D6E-409C-BE32-E72D297353CC}">
                <c16:uniqueId val="{00000009-2D7A-406C-B219-F9C691D3616C}"/>
              </c:ext>
            </c:extLst>
          </c:dPt>
          <c:dLbls>
            <c:dLbl>
              <c:idx val="12"/>
              <c:layout>
                <c:manualLayout>
                  <c:x val="-8.9552238805970692E-3"/>
                  <c:y val="-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7A-406C-B219-F9C691D3616C}"/>
                </c:ext>
              </c:extLst>
            </c:dLbl>
            <c:dLbl>
              <c:idx val="15"/>
              <c:layout>
                <c:manualLayout>
                  <c:x val="2.9850746268656717E-3"/>
                  <c:y val="-8.203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D7A-406C-B219-F9C691D3616C}"/>
                </c:ext>
              </c:extLst>
            </c:dLbl>
            <c:dLbl>
              <c:idx val="17"/>
              <c:layout>
                <c:manualLayout>
                  <c:x val="-1.4925373134328358E-3"/>
                  <c:y val="1.1718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D7A-406C-B219-F9C691D3616C}"/>
                </c:ext>
              </c:extLst>
            </c:dLbl>
            <c:dLbl>
              <c:idx val="18"/>
              <c:layout>
                <c:manualLayout>
                  <c:x val="5.9701492537312341E-3"/>
                  <c:y val="-8.59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D7A-406C-B219-F9C691D3616C}"/>
                </c:ext>
              </c:extLst>
            </c:dLbl>
            <c:dLbl>
              <c:idx val="23"/>
              <c:layout>
                <c:manualLayout>
                  <c:x val="-5.9701492537313433E-3"/>
                  <c:y val="-6.640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D7A-406C-B219-F9C691D361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'YoY Sales Growth'!$A$2:$A$28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'YoY Sales Growth'!$B$2:$B$28</c:f>
              <c:numCache>
                <c:formatCode>#,##0.00</c:formatCode>
                <c:ptCount val="24"/>
                <c:pt idx="12">
                  <c:v>5816.2800000000025</c:v>
                </c:pt>
                <c:pt idx="13">
                  <c:v>5660.159999999998</c:v>
                </c:pt>
                <c:pt idx="14">
                  <c:v>-4222.93</c:v>
                </c:pt>
                <c:pt idx="15">
                  <c:v>-3925.7500000000018</c:v>
                </c:pt>
                <c:pt idx="16">
                  <c:v>14995.529999999997</c:v>
                </c:pt>
                <c:pt idx="17">
                  <c:v>-2350.6299999999992</c:v>
                </c:pt>
                <c:pt idx="18">
                  <c:v>-2857.4499999999953</c:v>
                </c:pt>
                <c:pt idx="19">
                  <c:v>7039.7000000000025</c:v>
                </c:pt>
                <c:pt idx="20">
                  <c:v>-2464.8299999999981</c:v>
                </c:pt>
                <c:pt idx="21">
                  <c:v>-7407.1100000000042</c:v>
                </c:pt>
                <c:pt idx="22">
                  <c:v>16719.269999999997</c:v>
                </c:pt>
                <c:pt idx="23">
                  <c:v>-158.96000000000276</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a:outerShdw blurRad="57150" dist="19050" dir="5400000" algn="ctr" rotWithShape="0">
                      <a:srgbClr val="000000">
                        <a:alpha val="63000"/>
                      </a:srgbClr>
                    </a:outerShdw>
                  </a:effectLst>
                </c14:spPr>
              </c14:invertSolidFillFmt>
            </c:ext>
            <c:ext xmlns:c16="http://schemas.microsoft.com/office/drawing/2014/chart" uri="{C3380CC4-5D6E-409C-BE32-E72D297353CC}">
              <c16:uniqueId val="{00000005-7B30-45FE-B4AF-C48743F3DAF4}"/>
            </c:ext>
          </c:extLst>
        </c:ser>
        <c:dLbls>
          <c:showLegendKey val="0"/>
          <c:showVal val="0"/>
          <c:showCatName val="0"/>
          <c:showSerName val="0"/>
          <c:showPercent val="0"/>
          <c:showBubbleSize val="0"/>
        </c:dLbls>
        <c:gapWidth val="100"/>
        <c:overlap val="-24"/>
        <c:axId val="1248194368"/>
        <c:axId val="1248204448"/>
      </c:barChart>
      <c:catAx>
        <c:axId val="1248194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248204448"/>
        <c:crosses val="autoZero"/>
        <c:auto val="1"/>
        <c:lblAlgn val="ctr"/>
        <c:lblOffset val="100"/>
        <c:noMultiLvlLbl val="0"/>
      </c:catAx>
      <c:valAx>
        <c:axId val="1248204448"/>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24819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DASHBOARD.xlsx]Sales in Quantity!PivotTable2</c:name>
    <c:fmtId val="5"/>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31750" cap="rnd" cmpd="sng" algn="ctr">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31750" cap="rnd" cmpd="sng" algn="ctr">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in Quantity'!$B$1:$B$2</c:f>
              <c:strCache>
                <c:ptCount val="1"/>
                <c:pt idx="0">
                  <c:v>Ft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'Sales in Quantity'!$A$3:$A$29</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'Sales in Quantity'!$B$3:$B$29</c:f>
              <c:numCache>
                <c:formatCode>#,##0</c:formatCode>
                <c:ptCount val="24"/>
                <c:pt idx="0">
                  <c:v>32</c:v>
                </c:pt>
                <c:pt idx="1">
                  <c:v>34</c:v>
                </c:pt>
                <c:pt idx="2">
                  <c:v>47</c:v>
                </c:pt>
                <c:pt idx="3">
                  <c:v>48</c:v>
                </c:pt>
                <c:pt idx="4">
                  <c:v>16</c:v>
                </c:pt>
                <c:pt idx="5">
                  <c:v>54</c:v>
                </c:pt>
                <c:pt idx="6">
                  <c:v>60</c:v>
                </c:pt>
                <c:pt idx="7">
                  <c:v>24</c:v>
                </c:pt>
                <c:pt idx="8">
                  <c:v>69</c:v>
                </c:pt>
                <c:pt idx="9">
                  <c:v>55</c:v>
                </c:pt>
                <c:pt idx="10">
                  <c:v>9</c:v>
                </c:pt>
                <c:pt idx="11">
                  <c:v>68</c:v>
                </c:pt>
                <c:pt idx="12">
                  <c:v>78</c:v>
                </c:pt>
                <c:pt idx="13">
                  <c:v>48</c:v>
                </c:pt>
                <c:pt idx="14">
                  <c:v>22</c:v>
                </c:pt>
                <c:pt idx="15">
                  <c:v>11</c:v>
                </c:pt>
                <c:pt idx="16">
                  <c:v>55</c:v>
                </c:pt>
                <c:pt idx="17">
                  <c:v>35</c:v>
                </c:pt>
                <c:pt idx="18">
                  <c:v>42</c:v>
                </c:pt>
                <c:pt idx="19">
                  <c:v>67</c:v>
                </c:pt>
                <c:pt idx="20">
                  <c:v>21</c:v>
                </c:pt>
                <c:pt idx="21">
                  <c:v>26</c:v>
                </c:pt>
                <c:pt idx="22">
                  <c:v>61</c:v>
                </c:pt>
                <c:pt idx="23">
                  <c:v>38</c:v>
                </c:pt>
              </c:numCache>
            </c:numRef>
          </c:val>
          <c:smooth val="0"/>
          <c:extLst>
            <c:ext xmlns:c16="http://schemas.microsoft.com/office/drawing/2014/chart" uri="{C3380CC4-5D6E-409C-BE32-E72D297353CC}">
              <c16:uniqueId val="{00000000-8D11-49BF-95DE-544602D1CBDA}"/>
            </c:ext>
          </c:extLst>
        </c:ser>
        <c:ser>
          <c:idx val="1"/>
          <c:order val="1"/>
          <c:tx>
            <c:strRef>
              <c:f>'Sales in Quantity'!$C$1:$C$2</c:f>
              <c:strCache>
                <c:ptCount val="1"/>
                <c:pt idx="0">
                  <c:v>Kg</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'Sales in Quantity'!$A$3:$A$29</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'Sales in Quantity'!$C$3:$C$29</c:f>
              <c:numCache>
                <c:formatCode>#,##0</c:formatCode>
                <c:ptCount val="24"/>
                <c:pt idx="0">
                  <c:v>106</c:v>
                </c:pt>
                <c:pt idx="1">
                  <c:v>47</c:v>
                </c:pt>
                <c:pt idx="2">
                  <c:v>46</c:v>
                </c:pt>
                <c:pt idx="3">
                  <c:v>47</c:v>
                </c:pt>
                <c:pt idx="4">
                  <c:v>36</c:v>
                </c:pt>
                <c:pt idx="5">
                  <c:v>29</c:v>
                </c:pt>
                <c:pt idx="6">
                  <c:v>71</c:v>
                </c:pt>
                <c:pt idx="7">
                  <c:v>55</c:v>
                </c:pt>
                <c:pt idx="8">
                  <c:v>54</c:v>
                </c:pt>
                <c:pt idx="9">
                  <c:v>80</c:v>
                </c:pt>
                <c:pt idx="10">
                  <c:v>57</c:v>
                </c:pt>
                <c:pt idx="11">
                  <c:v>46</c:v>
                </c:pt>
                <c:pt idx="12">
                  <c:v>74</c:v>
                </c:pt>
                <c:pt idx="13">
                  <c:v>84</c:v>
                </c:pt>
                <c:pt idx="14">
                  <c:v>55</c:v>
                </c:pt>
                <c:pt idx="15">
                  <c:v>57</c:v>
                </c:pt>
                <c:pt idx="16">
                  <c:v>89</c:v>
                </c:pt>
                <c:pt idx="17">
                  <c:v>55</c:v>
                </c:pt>
                <c:pt idx="18">
                  <c:v>75</c:v>
                </c:pt>
                <c:pt idx="19">
                  <c:v>62</c:v>
                </c:pt>
                <c:pt idx="20">
                  <c:v>109</c:v>
                </c:pt>
                <c:pt idx="21">
                  <c:v>77</c:v>
                </c:pt>
                <c:pt idx="22">
                  <c:v>102</c:v>
                </c:pt>
                <c:pt idx="23">
                  <c:v>95</c:v>
                </c:pt>
              </c:numCache>
            </c:numRef>
          </c:val>
          <c:smooth val="0"/>
          <c:extLst>
            <c:ext xmlns:c16="http://schemas.microsoft.com/office/drawing/2014/chart" uri="{C3380CC4-5D6E-409C-BE32-E72D297353CC}">
              <c16:uniqueId val="{00000001-8D11-49BF-95DE-544602D1CBDA}"/>
            </c:ext>
          </c:extLst>
        </c:ser>
        <c:ser>
          <c:idx val="2"/>
          <c:order val="2"/>
          <c:tx>
            <c:strRef>
              <c:f>'Sales in Quantity'!$D$1:$D$2</c:f>
              <c:strCache>
                <c:ptCount val="1"/>
                <c:pt idx="0">
                  <c:v>Lt</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'Sales in Quantity'!$A$3:$A$29</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'Sales in Quantity'!$D$3:$D$29</c:f>
              <c:numCache>
                <c:formatCode>#,##0</c:formatCode>
                <c:ptCount val="24"/>
                <c:pt idx="0">
                  <c:v>46</c:v>
                </c:pt>
                <c:pt idx="1">
                  <c:v>18</c:v>
                </c:pt>
                <c:pt idx="2">
                  <c:v>42</c:v>
                </c:pt>
                <c:pt idx="3">
                  <c:v>14</c:v>
                </c:pt>
                <c:pt idx="4">
                  <c:v>7</c:v>
                </c:pt>
                <c:pt idx="5">
                  <c:v>44</c:v>
                </c:pt>
                <c:pt idx="6">
                  <c:v>45</c:v>
                </c:pt>
                <c:pt idx="7">
                  <c:v>61</c:v>
                </c:pt>
                <c:pt idx="8">
                  <c:v>8</c:v>
                </c:pt>
                <c:pt idx="9">
                  <c:v>39</c:v>
                </c:pt>
                <c:pt idx="10">
                  <c:v>29</c:v>
                </c:pt>
                <c:pt idx="11">
                  <c:v>50</c:v>
                </c:pt>
                <c:pt idx="12">
                  <c:v>29</c:v>
                </c:pt>
                <c:pt idx="13">
                  <c:v>3</c:v>
                </c:pt>
                <c:pt idx="14">
                  <c:v>23</c:v>
                </c:pt>
                <c:pt idx="15">
                  <c:v>23</c:v>
                </c:pt>
                <c:pt idx="16">
                  <c:v>79</c:v>
                </c:pt>
                <c:pt idx="17">
                  <c:v>27</c:v>
                </c:pt>
                <c:pt idx="18">
                  <c:v>16</c:v>
                </c:pt>
                <c:pt idx="19">
                  <c:v>35</c:v>
                </c:pt>
                <c:pt idx="20">
                  <c:v>16</c:v>
                </c:pt>
                <c:pt idx="21">
                  <c:v>20</c:v>
                </c:pt>
                <c:pt idx="22">
                  <c:v>63</c:v>
                </c:pt>
                <c:pt idx="23">
                  <c:v>28</c:v>
                </c:pt>
              </c:numCache>
            </c:numRef>
          </c:val>
          <c:smooth val="0"/>
          <c:extLst>
            <c:ext xmlns:c16="http://schemas.microsoft.com/office/drawing/2014/chart" uri="{C3380CC4-5D6E-409C-BE32-E72D297353CC}">
              <c16:uniqueId val="{00000002-8D11-49BF-95DE-544602D1CBDA}"/>
            </c:ext>
          </c:extLst>
        </c:ser>
        <c:ser>
          <c:idx val="3"/>
          <c:order val="3"/>
          <c:tx>
            <c:strRef>
              <c:f>'Sales in Quantity'!$E$1:$E$2</c:f>
              <c:strCache>
                <c:ptCount val="1"/>
                <c:pt idx="0">
                  <c:v>No.</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'Sales in Quantity'!$A$3:$A$29</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'Sales in Quantity'!$E$3:$E$29</c:f>
              <c:numCache>
                <c:formatCode>#,##0</c:formatCode>
                <c:ptCount val="24"/>
                <c:pt idx="0">
                  <c:v>29</c:v>
                </c:pt>
                <c:pt idx="1">
                  <c:v>34</c:v>
                </c:pt>
                <c:pt idx="2">
                  <c:v>48</c:v>
                </c:pt>
                <c:pt idx="3">
                  <c:v>34</c:v>
                </c:pt>
                <c:pt idx="4">
                  <c:v>68</c:v>
                </c:pt>
                <c:pt idx="5">
                  <c:v>86</c:v>
                </c:pt>
                <c:pt idx="6">
                  <c:v>11</c:v>
                </c:pt>
                <c:pt idx="7">
                  <c:v>48</c:v>
                </c:pt>
                <c:pt idx="8">
                  <c:v>21</c:v>
                </c:pt>
                <c:pt idx="9">
                  <c:v>28</c:v>
                </c:pt>
                <c:pt idx="10">
                  <c:v>15</c:v>
                </c:pt>
                <c:pt idx="11">
                  <c:v>20</c:v>
                </c:pt>
                <c:pt idx="12">
                  <c:v>13</c:v>
                </c:pt>
                <c:pt idx="13">
                  <c:v>32</c:v>
                </c:pt>
                <c:pt idx="14">
                  <c:v>28</c:v>
                </c:pt>
                <c:pt idx="15">
                  <c:v>62</c:v>
                </c:pt>
                <c:pt idx="16">
                  <c:v>24</c:v>
                </c:pt>
                <c:pt idx="17">
                  <c:v>34</c:v>
                </c:pt>
                <c:pt idx="18">
                  <c:v>39</c:v>
                </c:pt>
                <c:pt idx="19">
                  <c:v>60</c:v>
                </c:pt>
                <c:pt idx="20">
                  <c:v>48</c:v>
                </c:pt>
                <c:pt idx="21">
                  <c:v>11</c:v>
                </c:pt>
                <c:pt idx="22">
                  <c:v>42</c:v>
                </c:pt>
                <c:pt idx="23">
                  <c:v>52</c:v>
                </c:pt>
              </c:numCache>
            </c:numRef>
          </c:val>
          <c:smooth val="0"/>
          <c:extLst>
            <c:ext xmlns:c16="http://schemas.microsoft.com/office/drawing/2014/chart" uri="{C3380CC4-5D6E-409C-BE32-E72D297353CC}">
              <c16:uniqueId val="{0000000C-8D11-49BF-95DE-544602D1CBDA}"/>
            </c:ext>
          </c:extLst>
        </c:ser>
        <c:dLbls>
          <c:dLblPos val="ctr"/>
          <c:showLegendKey val="0"/>
          <c:showVal val="1"/>
          <c:showCatName val="0"/>
          <c:showSerName val="0"/>
          <c:showPercent val="0"/>
          <c:showBubbleSize val="0"/>
        </c:dLbls>
        <c:marker val="1"/>
        <c:smooth val="0"/>
        <c:axId val="1457970128"/>
        <c:axId val="1457960528"/>
      </c:lineChart>
      <c:catAx>
        <c:axId val="1457970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sr-Latn-RS"/>
          </a:p>
        </c:txPr>
        <c:crossAx val="1457960528"/>
        <c:crosses val="autoZero"/>
        <c:auto val="1"/>
        <c:lblAlgn val="ctr"/>
        <c:lblOffset val="100"/>
        <c:noMultiLvlLbl val="0"/>
      </c:catAx>
      <c:valAx>
        <c:axId val="14579605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457970128"/>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DASHBOARD.xlsx]COGS YoY!PivotTable4</c:name>
    <c:fmtId val="4"/>
  </c:pivotSource>
  <c:chart>
    <c:autoTitleDeleted val="0"/>
    <c:pivotFmts>
      <c:pivotFmt>
        <c:idx val="0"/>
        <c:spPr>
          <a:solidFill>
            <a:srgbClr val="FF0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6FF"/>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6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66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'COGS YoY'!$B$1</c:f>
              <c:strCache>
                <c:ptCount val="1"/>
                <c:pt idx="0">
                  <c:v>Total_COGS_LY</c:v>
                </c:pt>
              </c:strCache>
            </c:strRef>
          </c:tx>
          <c:spPr>
            <a:solidFill>
              <a:srgbClr val="FF66FF"/>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'COGS YoY'!$A$2:$A$28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'COGS YoY'!$B$2:$B$28</c:f>
              <c:numCache>
                <c:formatCode>#,##0.00</c:formatCode>
                <c:ptCount val="24"/>
                <c:pt idx="12">
                  <c:v>15263</c:v>
                </c:pt>
                <c:pt idx="13">
                  <c:v>10386</c:v>
                </c:pt>
                <c:pt idx="14">
                  <c:v>13685</c:v>
                </c:pt>
                <c:pt idx="15">
                  <c:v>12183</c:v>
                </c:pt>
                <c:pt idx="16">
                  <c:v>6807</c:v>
                </c:pt>
                <c:pt idx="17">
                  <c:v>13417</c:v>
                </c:pt>
                <c:pt idx="18">
                  <c:v>16400</c:v>
                </c:pt>
                <c:pt idx="19">
                  <c:v>12632</c:v>
                </c:pt>
                <c:pt idx="20">
                  <c:v>15310</c:v>
                </c:pt>
                <c:pt idx="21">
                  <c:v>16815</c:v>
                </c:pt>
                <c:pt idx="22">
                  <c:v>8322</c:v>
                </c:pt>
                <c:pt idx="23">
                  <c:v>15749</c:v>
                </c:pt>
              </c:numCache>
            </c:numRef>
          </c:val>
          <c:extLst>
            <c:ext xmlns:c16="http://schemas.microsoft.com/office/drawing/2014/chart" uri="{C3380CC4-5D6E-409C-BE32-E72D297353CC}">
              <c16:uniqueId val="{00000000-BE73-4DE6-AE67-A47FBFFC34BA}"/>
            </c:ext>
          </c:extLst>
        </c:ser>
        <c:ser>
          <c:idx val="1"/>
          <c:order val="1"/>
          <c:tx>
            <c:strRef>
              <c:f>'COGS YoY'!$C$1</c:f>
              <c:strCache>
                <c:ptCount val="1"/>
                <c:pt idx="0">
                  <c:v>Total_COGS</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'COGS YoY'!$A$2:$A$28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'COGS YoY'!$C$2:$C$28</c:f>
              <c:numCache>
                <c:formatCode>#,##0.00</c:formatCode>
                <c:ptCount val="24"/>
                <c:pt idx="0">
                  <c:v>15263</c:v>
                </c:pt>
                <c:pt idx="1">
                  <c:v>10386</c:v>
                </c:pt>
                <c:pt idx="2">
                  <c:v>13685</c:v>
                </c:pt>
                <c:pt idx="3">
                  <c:v>12183</c:v>
                </c:pt>
                <c:pt idx="4">
                  <c:v>6807</c:v>
                </c:pt>
                <c:pt idx="5">
                  <c:v>13417</c:v>
                </c:pt>
                <c:pt idx="6">
                  <c:v>16400</c:v>
                </c:pt>
                <c:pt idx="7">
                  <c:v>12632</c:v>
                </c:pt>
                <c:pt idx="8">
                  <c:v>15310</c:v>
                </c:pt>
                <c:pt idx="9">
                  <c:v>16815</c:v>
                </c:pt>
                <c:pt idx="10">
                  <c:v>8322</c:v>
                </c:pt>
                <c:pt idx="11">
                  <c:v>15749</c:v>
                </c:pt>
                <c:pt idx="12">
                  <c:v>19027</c:v>
                </c:pt>
                <c:pt idx="13">
                  <c:v>14955</c:v>
                </c:pt>
                <c:pt idx="14">
                  <c:v>9752</c:v>
                </c:pt>
                <c:pt idx="15">
                  <c:v>9099</c:v>
                </c:pt>
                <c:pt idx="16">
                  <c:v>19719</c:v>
                </c:pt>
                <c:pt idx="17">
                  <c:v>11462</c:v>
                </c:pt>
                <c:pt idx="18">
                  <c:v>13478</c:v>
                </c:pt>
                <c:pt idx="19">
                  <c:v>17199</c:v>
                </c:pt>
                <c:pt idx="20">
                  <c:v>13448</c:v>
                </c:pt>
                <c:pt idx="21">
                  <c:v>11027</c:v>
                </c:pt>
                <c:pt idx="22">
                  <c:v>20984</c:v>
                </c:pt>
                <c:pt idx="23">
                  <c:v>15385</c:v>
                </c:pt>
              </c:numCache>
            </c:numRef>
          </c:val>
          <c:extLst>
            <c:ext xmlns:c16="http://schemas.microsoft.com/office/drawing/2014/chart" uri="{C3380CC4-5D6E-409C-BE32-E72D297353CC}">
              <c16:uniqueId val="{00000001-BE73-4DE6-AE67-A47FBFFC34BA}"/>
            </c:ext>
          </c:extLst>
        </c:ser>
        <c:dLbls>
          <c:showLegendKey val="0"/>
          <c:showVal val="0"/>
          <c:showCatName val="0"/>
          <c:showSerName val="0"/>
          <c:showPercent val="0"/>
          <c:showBubbleSize val="0"/>
        </c:dLbls>
        <c:gapWidth val="100"/>
        <c:overlap val="-24"/>
        <c:axId val="1605099104"/>
        <c:axId val="1605099584"/>
      </c:barChart>
      <c:catAx>
        <c:axId val="1605099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605099584"/>
        <c:crosses val="autoZero"/>
        <c:auto val="1"/>
        <c:lblAlgn val="ctr"/>
        <c:lblOffset val="100"/>
        <c:noMultiLvlLbl val="0"/>
      </c:catAx>
      <c:valAx>
        <c:axId val="160509958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6050991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DASHBOARD.xlsx]Profit!PivotTable5</c:name>
    <c:fmtId val="2"/>
  </c:pivotSource>
  <c:chart>
    <c:autoTitleDeleted val="0"/>
    <c:pivotFmts>
      <c:pivotFmt>
        <c:idx val="0"/>
        <c:spPr>
          <a:solidFill>
            <a:schemeClr val="accent6">
              <a:lumMod val="40000"/>
              <a:lumOff val="60000"/>
            </a:schemeClr>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solidFill>
              <a:srgbClr val="00B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solidFill>
              <a:schemeClr val="bg2">
                <a:lumMod val="1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1F736"/>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dLbl>
          <c:idx val="0"/>
          <c:layout>
            <c:manualLayout>
              <c:x val="6.9707226356049805E-3"/>
              <c:y val="-2.2625244983104354E-2"/>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dLbl>
          <c:idx val="0"/>
          <c:layout>
            <c:manualLayout>
              <c:x val="-2.3700456961056982E-2"/>
              <c:y val="-0.13072363768015821"/>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c:spPr>
        <c:dLbl>
          <c:idx val="0"/>
          <c:layout>
            <c:manualLayout>
              <c:x val="-2.3700456961056982E-2"/>
              <c:y val="-0.13072363768015821"/>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40000"/>
              <a:lumOff val="60000"/>
            </a:schemeClr>
          </a:solidFill>
          <a:ln>
            <a:noFill/>
          </a:ln>
          <a:effectLst/>
        </c:spPr>
        <c:dLbl>
          <c:idx val="0"/>
          <c:layout>
            <c:manualLayout>
              <c:x val="6.9707226356049805E-3"/>
              <c:y val="-2.2625244983104354E-2"/>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solidFill>
              <a:srgbClr val="00B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FF00"/>
            </a:solidFill>
            <a:round/>
          </a:ln>
          <a:effectLst/>
        </c:spPr>
        <c:marker>
          <c:symbol val="none"/>
        </c:marker>
        <c:dLbl>
          <c:idx val="0"/>
          <c:spPr>
            <a:solidFill>
              <a:schemeClr val="bg2">
                <a:lumMod val="1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1F736"/>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40000"/>
              <a:lumOff val="60000"/>
            </a:schemeClr>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a:noFill/>
          </a:ln>
          <a:effectLst/>
        </c:spPr>
        <c:dLbl>
          <c:idx val="0"/>
          <c:layout>
            <c:manualLayout>
              <c:x val="-2.3700456961056982E-2"/>
              <c:y val="-0.13072363768015821"/>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40000"/>
              <a:lumOff val="60000"/>
            </a:schemeClr>
          </a:solidFill>
          <a:ln>
            <a:noFill/>
          </a:ln>
          <a:effectLst/>
        </c:spPr>
        <c:dLbl>
          <c:idx val="0"/>
          <c:layout>
            <c:manualLayout>
              <c:x val="6.9707226356049805E-3"/>
              <c:y val="-2.2625244983104354E-2"/>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marker>
          <c:symbol val="none"/>
        </c:marker>
        <c:dLbl>
          <c:idx val="0"/>
          <c:spPr>
            <a:solidFill>
              <a:srgbClr val="00B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FFFF00"/>
            </a:solidFill>
            <a:round/>
          </a:ln>
          <a:effectLst/>
        </c:spPr>
        <c:marker>
          <c:symbol val="none"/>
        </c:marker>
        <c:dLbl>
          <c:idx val="0"/>
          <c:spPr>
            <a:solidFill>
              <a:schemeClr val="bg2">
                <a:lumMod val="1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1F736"/>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981398741301115E-2"/>
          <c:y val="7.034046022788279E-2"/>
          <c:w val="0.73924096404984274"/>
          <c:h val="0.77260223374312809"/>
        </c:manualLayout>
      </c:layout>
      <c:barChart>
        <c:barDir val="col"/>
        <c:grouping val="clustered"/>
        <c:varyColors val="0"/>
        <c:ser>
          <c:idx val="0"/>
          <c:order val="0"/>
          <c:tx>
            <c:strRef>
              <c:f>Profit!$B$1</c:f>
              <c:strCache>
                <c:ptCount val="1"/>
                <c:pt idx="0">
                  <c:v>TotalProfit_LY</c:v>
                </c:pt>
              </c:strCache>
            </c:strRef>
          </c:tx>
          <c:spPr>
            <a:solidFill>
              <a:schemeClr val="accent6">
                <a:lumMod val="40000"/>
                <a:lumOff val="60000"/>
              </a:schemeClr>
            </a:solidFill>
            <a:ln>
              <a:noFill/>
            </a:ln>
            <a:effectLst/>
          </c:spPr>
          <c:invertIfNegative val="0"/>
          <c:dPt>
            <c:idx val="0"/>
            <c:invertIfNegative val="0"/>
            <c:bubble3D val="0"/>
            <c:extLst>
              <c:ext xmlns:c16="http://schemas.microsoft.com/office/drawing/2014/chart" uri="{C3380CC4-5D6E-409C-BE32-E72D297353CC}">
                <c16:uniqueId val="{00000000-6A7E-4A2B-898E-37765AF73E91}"/>
              </c:ext>
            </c:extLst>
          </c:dPt>
          <c:dPt>
            <c:idx val="9"/>
            <c:invertIfNegative val="0"/>
            <c:bubble3D val="0"/>
            <c:extLst>
              <c:ext xmlns:c16="http://schemas.microsoft.com/office/drawing/2014/chart" uri="{C3380CC4-5D6E-409C-BE32-E72D297353CC}">
                <c16:uniqueId val="{00000001-6A7E-4A2B-898E-37765AF73E91}"/>
              </c:ext>
            </c:extLst>
          </c:dPt>
          <c:dPt>
            <c:idx val="12"/>
            <c:invertIfNegative val="0"/>
            <c:bubble3D val="0"/>
            <c:extLst>
              <c:ext xmlns:c16="http://schemas.microsoft.com/office/drawing/2014/chart" uri="{C3380CC4-5D6E-409C-BE32-E72D297353CC}">
                <c16:uniqueId val="{00000002-D2CB-47E3-AB56-D1985D5C3BF4}"/>
              </c:ext>
            </c:extLst>
          </c:dPt>
          <c:dPt>
            <c:idx val="21"/>
            <c:invertIfNegative val="0"/>
            <c:bubble3D val="0"/>
            <c:extLst>
              <c:ext xmlns:c16="http://schemas.microsoft.com/office/drawing/2014/chart" uri="{C3380CC4-5D6E-409C-BE32-E72D297353CC}">
                <c16:uniqueId val="{00000003-D2CB-47E3-AB56-D1985D5C3BF4}"/>
              </c:ext>
            </c:extLst>
          </c:dPt>
          <c:dLbls>
            <c:dLbl>
              <c:idx val="12"/>
              <c:layout>
                <c:manualLayout>
                  <c:x val="-2.3700456961056982E-2"/>
                  <c:y val="-0.130723637680158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2CB-47E3-AB56-D1985D5C3BF4}"/>
                </c:ext>
              </c:extLst>
            </c:dLbl>
            <c:dLbl>
              <c:idx val="21"/>
              <c:layout>
                <c:manualLayout>
                  <c:x val="6.9707226356049805E-3"/>
                  <c:y val="-2.26252449831043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CB-47E3-AB56-D1985D5C3BF4}"/>
                </c:ext>
              </c:extLst>
            </c:dLbl>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Profit!$A$2:$A$28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Profit!$B$2:$B$28</c:f>
              <c:numCache>
                <c:formatCode>#,##0.00</c:formatCode>
                <c:ptCount val="24"/>
                <c:pt idx="12">
                  <c:v>2502.34</c:v>
                </c:pt>
                <c:pt idx="13">
                  <c:v>2212.5699999999979</c:v>
                </c:pt>
                <c:pt idx="14">
                  <c:v>2734.7900000000009</c:v>
                </c:pt>
                <c:pt idx="15">
                  <c:v>3069.4300000000003</c:v>
                </c:pt>
                <c:pt idx="16">
                  <c:v>1150.4600000000009</c:v>
                </c:pt>
                <c:pt idx="17">
                  <c:v>3025.1700000000019</c:v>
                </c:pt>
                <c:pt idx="18">
                  <c:v>2654.619999999999</c:v>
                </c:pt>
                <c:pt idx="19">
                  <c:v>1523.3499999999985</c:v>
                </c:pt>
                <c:pt idx="20">
                  <c:v>3543.8199999999997</c:v>
                </c:pt>
                <c:pt idx="21">
                  <c:v>3638.9000000000051</c:v>
                </c:pt>
                <c:pt idx="22">
                  <c:v>1380.3999999999996</c:v>
                </c:pt>
                <c:pt idx="23">
                  <c:v>2879.4700000000012</c:v>
                </c:pt>
              </c:numCache>
            </c:numRef>
          </c:val>
          <c:extLst>
            <c:ext xmlns:c16="http://schemas.microsoft.com/office/drawing/2014/chart" uri="{C3380CC4-5D6E-409C-BE32-E72D297353CC}">
              <c16:uniqueId val="{00000002-226E-4C76-9049-FEF9F1C0F046}"/>
            </c:ext>
          </c:extLst>
        </c:ser>
        <c:ser>
          <c:idx val="1"/>
          <c:order val="1"/>
          <c:tx>
            <c:strRef>
              <c:f>Profit!$C$1</c:f>
              <c:strCache>
                <c:ptCount val="1"/>
                <c:pt idx="0">
                  <c:v>TotalProfit</c:v>
                </c:pt>
              </c:strCache>
            </c:strRef>
          </c:tx>
          <c:spPr>
            <a:solidFill>
              <a:srgbClr val="00B050"/>
            </a:solidFill>
            <a:ln>
              <a:noFill/>
            </a:ln>
            <a:effectLst/>
          </c:spPr>
          <c:invertIfNegative val="0"/>
          <c:dLbls>
            <c:spPr>
              <a:solidFill>
                <a:srgbClr val="00B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Profit!$A$2:$A$28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Profit!$C$2:$C$28</c:f>
              <c:numCache>
                <c:formatCode>#,##0.00</c:formatCode>
                <c:ptCount val="24"/>
                <c:pt idx="0">
                  <c:v>2502.3399999999965</c:v>
                </c:pt>
                <c:pt idx="1">
                  <c:v>2212.5700000000015</c:v>
                </c:pt>
                <c:pt idx="2">
                  <c:v>2734.7900000000009</c:v>
                </c:pt>
                <c:pt idx="3">
                  <c:v>3069.4300000000021</c:v>
                </c:pt>
                <c:pt idx="4">
                  <c:v>1150.4600000000009</c:v>
                </c:pt>
                <c:pt idx="5">
                  <c:v>3025.1699999999983</c:v>
                </c:pt>
                <c:pt idx="6">
                  <c:v>2654.6199999999953</c:v>
                </c:pt>
                <c:pt idx="7">
                  <c:v>1523.3500000000004</c:v>
                </c:pt>
                <c:pt idx="8">
                  <c:v>3543.8199999999961</c:v>
                </c:pt>
                <c:pt idx="9">
                  <c:v>3638.9000000000051</c:v>
                </c:pt>
                <c:pt idx="10">
                  <c:v>1380.3999999999996</c:v>
                </c:pt>
                <c:pt idx="11">
                  <c:v>2879.4700000000012</c:v>
                </c:pt>
                <c:pt idx="12">
                  <c:v>4554.619999999999</c:v>
                </c:pt>
                <c:pt idx="13">
                  <c:v>3303.7299999999996</c:v>
                </c:pt>
                <c:pt idx="14">
                  <c:v>2444.8600000000006</c:v>
                </c:pt>
                <c:pt idx="15">
                  <c:v>2227.6800000000003</c:v>
                </c:pt>
                <c:pt idx="16">
                  <c:v>3233.989999999998</c:v>
                </c:pt>
                <c:pt idx="17">
                  <c:v>2629.5399999999991</c:v>
                </c:pt>
                <c:pt idx="18">
                  <c:v>2719.17</c:v>
                </c:pt>
                <c:pt idx="19">
                  <c:v>3996.0500000000029</c:v>
                </c:pt>
                <c:pt idx="20">
                  <c:v>2940.989999999998</c:v>
                </c:pt>
                <c:pt idx="21">
                  <c:v>2019.7900000000009</c:v>
                </c:pt>
                <c:pt idx="22">
                  <c:v>5437.6699999999946</c:v>
                </c:pt>
                <c:pt idx="23">
                  <c:v>3084.5099999999984</c:v>
                </c:pt>
              </c:numCache>
            </c:numRef>
          </c:val>
          <c:extLst>
            <c:ext xmlns:c16="http://schemas.microsoft.com/office/drawing/2014/chart" uri="{C3380CC4-5D6E-409C-BE32-E72D297353CC}">
              <c16:uniqueId val="{00000003-226E-4C76-9049-FEF9F1C0F046}"/>
            </c:ext>
          </c:extLst>
        </c:ser>
        <c:dLbls>
          <c:showLegendKey val="0"/>
          <c:showVal val="0"/>
          <c:showCatName val="0"/>
          <c:showSerName val="0"/>
          <c:showPercent val="0"/>
          <c:showBubbleSize val="0"/>
        </c:dLbls>
        <c:gapWidth val="219"/>
        <c:overlap val="-27"/>
        <c:axId val="1371983904"/>
        <c:axId val="1371975264"/>
      </c:barChart>
      <c:lineChart>
        <c:grouping val="standard"/>
        <c:varyColors val="0"/>
        <c:ser>
          <c:idx val="2"/>
          <c:order val="2"/>
          <c:tx>
            <c:strRef>
              <c:f>Profit!$D$1</c:f>
              <c:strCache>
                <c:ptCount val="1"/>
                <c:pt idx="0">
                  <c:v>RunningProfit</c:v>
                </c:pt>
              </c:strCache>
            </c:strRef>
          </c:tx>
          <c:spPr>
            <a:ln w="28575" cap="rnd">
              <a:solidFill>
                <a:srgbClr val="FFFF00"/>
              </a:solidFill>
              <a:round/>
            </a:ln>
            <a:effectLst/>
          </c:spPr>
          <c:marker>
            <c:symbol val="none"/>
          </c:marker>
          <c:dLbls>
            <c:spPr>
              <a:solidFill>
                <a:schemeClr val="bg2">
                  <a:lumMod val="1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1F736"/>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Profit!$A$2:$A$28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Profit!$D$2:$D$28</c:f>
              <c:numCache>
                <c:formatCode>#,##0.00</c:formatCode>
                <c:ptCount val="24"/>
                <c:pt idx="0">
                  <c:v>2502.3399999999965</c:v>
                </c:pt>
                <c:pt idx="1">
                  <c:v>4714.909999999998</c:v>
                </c:pt>
                <c:pt idx="2">
                  <c:v>7449.6999999999989</c:v>
                </c:pt>
                <c:pt idx="3">
                  <c:v>10519.130000000001</c:v>
                </c:pt>
                <c:pt idx="4">
                  <c:v>11669.590000000002</c:v>
                </c:pt>
                <c:pt idx="5">
                  <c:v>14694.76</c:v>
                </c:pt>
                <c:pt idx="6">
                  <c:v>17349.379999999997</c:v>
                </c:pt>
                <c:pt idx="7">
                  <c:v>18872.729999999996</c:v>
                </c:pt>
                <c:pt idx="8">
                  <c:v>22416.549999999992</c:v>
                </c:pt>
                <c:pt idx="9">
                  <c:v>26055.449999999997</c:v>
                </c:pt>
                <c:pt idx="10">
                  <c:v>27435.85</c:v>
                </c:pt>
                <c:pt idx="11">
                  <c:v>30315.32</c:v>
                </c:pt>
                <c:pt idx="12">
                  <c:v>4554.619999999999</c:v>
                </c:pt>
                <c:pt idx="13">
                  <c:v>7858.3499999999985</c:v>
                </c:pt>
                <c:pt idx="14">
                  <c:v>10303.209999999999</c:v>
                </c:pt>
                <c:pt idx="15">
                  <c:v>12530.89</c:v>
                </c:pt>
                <c:pt idx="16">
                  <c:v>15764.879999999997</c:v>
                </c:pt>
                <c:pt idx="17">
                  <c:v>18394.419999999998</c:v>
                </c:pt>
                <c:pt idx="18">
                  <c:v>21113.589999999997</c:v>
                </c:pt>
                <c:pt idx="19">
                  <c:v>25109.64</c:v>
                </c:pt>
                <c:pt idx="20">
                  <c:v>28050.629999999997</c:v>
                </c:pt>
                <c:pt idx="21">
                  <c:v>30070.42</c:v>
                </c:pt>
                <c:pt idx="22">
                  <c:v>35508.089999999997</c:v>
                </c:pt>
                <c:pt idx="23">
                  <c:v>38592.599999999991</c:v>
                </c:pt>
              </c:numCache>
            </c:numRef>
          </c:val>
          <c:smooth val="0"/>
          <c:extLst>
            <c:ext xmlns:c16="http://schemas.microsoft.com/office/drawing/2014/chart" uri="{C3380CC4-5D6E-409C-BE32-E72D297353CC}">
              <c16:uniqueId val="{00000004-226E-4C76-9049-FEF9F1C0F046}"/>
            </c:ext>
          </c:extLst>
        </c:ser>
        <c:dLbls>
          <c:showLegendKey val="0"/>
          <c:showVal val="0"/>
          <c:showCatName val="0"/>
          <c:showSerName val="0"/>
          <c:showPercent val="0"/>
          <c:showBubbleSize val="0"/>
        </c:dLbls>
        <c:marker val="1"/>
        <c:smooth val="0"/>
        <c:axId val="970589040"/>
        <c:axId val="970578000"/>
      </c:lineChart>
      <c:catAx>
        <c:axId val="137198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371975264"/>
        <c:crosses val="autoZero"/>
        <c:auto val="1"/>
        <c:lblAlgn val="ctr"/>
        <c:lblOffset val="100"/>
        <c:noMultiLvlLbl val="0"/>
      </c:catAx>
      <c:valAx>
        <c:axId val="1371975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371983904"/>
        <c:crosses val="autoZero"/>
        <c:crossBetween val="between"/>
      </c:valAx>
      <c:valAx>
        <c:axId val="970578000"/>
        <c:scaling>
          <c:orientation val="minMax"/>
          <c:max val="70000"/>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970589040"/>
        <c:crosses val="max"/>
        <c:crossBetween val="between"/>
      </c:valAx>
      <c:catAx>
        <c:axId val="970589040"/>
        <c:scaling>
          <c:orientation val="minMax"/>
        </c:scaling>
        <c:delete val="1"/>
        <c:axPos val="b"/>
        <c:numFmt formatCode="General" sourceLinked="1"/>
        <c:majorTickMark val="out"/>
        <c:minorTickMark val="none"/>
        <c:tickLblPos val="nextTo"/>
        <c:crossAx val="970578000"/>
        <c:crosses val="autoZero"/>
        <c:auto val="1"/>
        <c:lblAlgn val="ctr"/>
        <c:lblOffset val="100"/>
        <c:noMultiLvlLbl val="0"/>
      </c:catAx>
      <c:spPr>
        <a:noFill/>
        <a:ln>
          <a:noFill/>
        </a:ln>
        <a:effectLst/>
      </c:spPr>
    </c:plotArea>
    <c:legend>
      <c:legendPos val="t"/>
      <c:overlay val="0"/>
      <c:spPr>
        <a:solidFill>
          <a:schemeClr val="accent1">
            <a:lumMod val="60000"/>
            <a:lumOff val="4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tileRect/>
    </a:gradFill>
    <a:ln w="9525" cap="flat" cmpd="sng" algn="ctr">
      <a:solidFill>
        <a:schemeClr val="accent1">
          <a:lumMod val="60000"/>
          <a:lumOff val="40000"/>
        </a:schemeClr>
      </a:solidFill>
      <a:round/>
    </a:ln>
    <a:effectLst>
      <a:glow>
        <a:schemeClr val="bg1">
          <a:lumMod val="85000"/>
        </a:schemeClr>
      </a:glow>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DASHBOARD.xlsx]Profit Growth YoY!PivotTable6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YoY Profit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sr-Latn-RS"/>
        </a:p>
      </c:txPr>
    </c:title>
    <c:autoTitleDeleted val="0"/>
    <c:pivotFmts>
      <c:pivotFmt>
        <c:idx val="0"/>
        <c:spPr>
          <a:solidFill>
            <a:srgbClr val="92D05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Growth YoY'!$B$1</c:f>
              <c:strCache>
                <c:ptCount val="1"/>
                <c:pt idx="0">
                  <c:v>Total</c:v>
                </c:pt>
              </c:strCache>
            </c:strRef>
          </c:tx>
          <c:spPr>
            <a:solidFill>
              <a:srgbClr val="92D050"/>
            </a:solidFill>
            <a:ln>
              <a:noFill/>
            </a:ln>
            <a:effectLst>
              <a:outerShdw blurRad="57150" dist="19050" dir="5400000" algn="ctr" rotWithShape="0">
                <a:srgbClr val="000000">
                  <a:alpha val="63000"/>
                </a:srgbClr>
              </a:out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'Profit Growth YoY'!$A$2:$A$28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'Profit Growth YoY'!$B$2:$B$28</c:f>
              <c:numCache>
                <c:formatCode>#,##0.00</c:formatCode>
                <c:ptCount val="24"/>
                <c:pt idx="12">
                  <c:v>2052.2800000000025</c:v>
                </c:pt>
                <c:pt idx="13">
                  <c:v>1091.159999999998</c:v>
                </c:pt>
                <c:pt idx="14">
                  <c:v>-289.93000000000029</c:v>
                </c:pt>
                <c:pt idx="15">
                  <c:v>-841.75000000000182</c:v>
                </c:pt>
                <c:pt idx="16">
                  <c:v>2083.529999999997</c:v>
                </c:pt>
                <c:pt idx="17">
                  <c:v>-395.6299999999992</c:v>
                </c:pt>
                <c:pt idx="18">
                  <c:v>64.550000000004729</c:v>
                </c:pt>
                <c:pt idx="19">
                  <c:v>2472.7000000000025</c:v>
                </c:pt>
                <c:pt idx="20">
                  <c:v>-602.82999999999811</c:v>
                </c:pt>
                <c:pt idx="21">
                  <c:v>-1619.1100000000042</c:v>
                </c:pt>
                <c:pt idx="22">
                  <c:v>4057.269999999995</c:v>
                </c:pt>
                <c:pt idx="23">
                  <c:v>205.03999999999724</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a:outerShdw blurRad="57150" dist="19050" dir="5400000" algn="ctr" rotWithShape="0">
                      <a:srgbClr val="000000">
                        <a:alpha val="63000"/>
                      </a:srgbClr>
                    </a:outerShdw>
                  </a:effectLst>
                </c14:spPr>
              </c14:invertSolidFillFmt>
            </c:ext>
            <c:ext xmlns:c16="http://schemas.microsoft.com/office/drawing/2014/chart" uri="{C3380CC4-5D6E-409C-BE32-E72D297353CC}">
              <c16:uniqueId val="{00000000-7BDA-4A82-BBE2-FB3AEE023BCC}"/>
            </c:ext>
          </c:extLst>
        </c:ser>
        <c:dLbls>
          <c:showLegendKey val="0"/>
          <c:showVal val="0"/>
          <c:showCatName val="0"/>
          <c:showSerName val="0"/>
          <c:showPercent val="0"/>
          <c:showBubbleSize val="0"/>
        </c:dLbls>
        <c:gapWidth val="100"/>
        <c:overlap val="-24"/>
        <c:axId val="1248196288"/>
        <c:axId val="1248201568"/>
      </c:barChart>
      <c:catAx>
        <c:axId val="1248196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248201568"/>
        <c:crosses val="autoZero"/>
        <c:auto val="1"/>
        <c:lblAlgn val="ctr"/>
        <c:lblOffset val="100"/>
        <c:noMultiLvlLbl val="0"/>
      </c:catAx>
      <c:valAx>
        <c:axId val="124820156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24819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DASHBOARD.xlsx]Profit by Categories!PivotTable7</c:name>
    <c:fmtId val="4"/>
  </c:pivotSource>
  <c:chart>
    <c:autoTitleDeleted val="1"/>
    <c:pivotFmts>
      <c:pivotFmt>
        <c:idx val="0"/>
        <c:spPr>
          <a:solidFill>
            <a:schemeClr val="tx1">
              <a:lumMod val="95000"/>
              <a:lumOff val="5000"/>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85922414083974"/>
          <c:y val="5.8891802504804573E-2"/>
          <c:w val="0.44712999449373597"/>
          <c:h val="0.91142859861380587"/>
        </c:manualLayout>
      </c:layout>
      <c:barChart>
        <c:barDir val="bar"/>
        <c:grouping val="clustered"/>
        <c:varyColors val="0"/>
        <c:ser>
          <c:idx val="0"/>
          <c:order val="0"/>
          <c:tx>
            <c:strRef>
              <c:f>'Profit by Categories'!$B$1</c:f>
              <c:strCache>
                <c:ptCount val="1"/>
                <c:pt idx="0">
                  <c:v>Total</c:v>
                </c:pt>
              </c:strCache>
            </c:strRef>
          </c:tx>
          <c:spPr>
            <a:solidFill>
              <a:schemeClr val="tx1">
                <a:lumMod val="95000"/>
                <a:lumOff val="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Categories'!$A$2:$A$7</c:f>
              <c:strCache>
                <c:ptCount val="5"/>
                <c:pt idx="0">
                  <c:v>Beverages &amp; Packaged Goods</c:v>
                </c:pt>
                <c:pt idx="1">
                  <c:v>Basic Food and Fresh Goods</c:v>
                </c:pt>
                <c:pt idx="2">
                  <c:v>Agriculture &amp; Animal Feed</c:v>
                </c:pt>
                <c:pt idx="3">
                  <c:v>Household Supplies</c:v>
                </c:pt>
                <c:pt idx="4">
                  <c:v>Tools &amp; Technical Equipment</c:v>
                </c:pt>
              </c:strCache>
            </c:strRef>
          </c:cat>
          <c:val>
            <c:numRef>
              <c:f>'Profit by Categories'!$B$2:$B$7</c:f>
              <c:numCache>
                <c:formatCode>#,##0.00</c:formatCode>
                <c:ptCount val="5"/>
                <c:pt idx="0">
                  <c:v>7118.5100000000093</c:v>
                </c:pt>
                <c:pt idx="1">
                  <c:v>9985.9499999999971</c:v>
                </c:pt>
                <c:pt idx="2">
                  <c:v>16663.189999999973</c:v>
                </c:pt>
                <c:pt idx="3">
                  <c:v>17548.869999999995</c:v>
                </c:pt>
                <c:pt idx="4">
                  <c:v>17591.400000000009</c:v>
                </c:pt>
              </c:numCache>
            </c:numRef>
          </c:val>
          <c:extLst>
            <c:ext xmlns:c16="http://schemas.microsoft.com/office/drawing/2014/chart" uri="{C3380CC4-5D6E-409C-BE32-E72D297353CC}">
              <c16:uniqueId val="{00000000-0ABA-4973-94BC-30520AE083EC}"/>
            </c:ext>
          </c:extLst>
        </c:ser>
        <c:dLbls>
          <c:dLblPos val="inEnd"/>
          <c:showLegendKey val="0"/>
          <c:showVal val="1"/>
          <c:showCatName val="0"/>
          <c:showSerName val="0"/>
          <c:showPercent val="0"/>
          <c:showBubbleSize val="0"/>
        </c:dLbls>
        <c:gapWidth val="65"/>
        <c:axId val="896486272"/>
        <c:axId val="896486752"/>
      </c:barChart>
      <c:catAx>
        <c:axId val="8964862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solidFill>
                    <a:schemeClr val="tx1">
                      <a:lumMod val="95000"/>
                      <a:lumOff val="5000"/>
                    </a:schemeClr>
                  </a:solidFill>
                </a:ln>
                <a:solidFill>
                  <a:schemeClr val="tx1">
                    <a:lumMod val="95000"/>
                    <a:lumOff val="5000"/>
                  </a:schemeClr>
                </a:solidFill>
                <a:latin typeface="+mn-lt"/>
                <a:ea typeface="+mn-ea"/>
                <a:cs typeface="+mn-cs"/>
              </a:defRPr>
            </a:pPr>
            <a:endParaRPr lang="sr-Latn-RS"/>
          </a:p>
        </c:txPr>
        <c:crossAx val="896486752"/>
        <c:crosses val="autoZero"/>
        <c:auto val="1"/>
        <c:lblAlgn val="ctr"/>
        <c:lblOffset val="100"/>
        <c:noMultiLvlLbl val="0"/>
      </c:catAx>
      <c:valAx>
        <c:axId val="896486752"/>
        <c:scaling>
          <c:orientation val="minMax"/>
        </c:scaling>
        <c:delete val="1"/>
        <c:axPos val="b"/>
        <c:numFmt formatCode="#,##0.00" sourceLinked="1"/>
        <c:majorTickMark val="none"/>
        <c:minorTickMark val="none"/>
        <c:tickLblPos val="nextTo"/>
        <c:crossAx val="89648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DASHBOARD.xlsx]Profit of top 15 products!PivotTable8</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15 products by profit</a:t>
            </a:r>
          </a:p>
        </c:rich>
      </c:tx>
      <c:layout>
        <c:manualLayout>
          <c:xMode val="edge"/>
          <c:yMode val="edge"/>
          <c:x val="0.34566782669499319"/>
          <c:y val="3.79832525024647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sr-Latn-R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808339747241542"/>
          <c:y val="8.2062956735192233E-2"/>
          <c:w val="0.40130685287069634"/>
          <c:h val="0.90172829500772678"/>
        </c:manualLayout>
      </c:layout>
      <c:barChart>
        <c:barDir val="bar"/>
        <c:grouping val="clustered"/>
        <c:varyColors val="0"/>
        <c:ser>
          <c:idx val="0"/>
          <c:order val="0"/>
          <c:tx>
            <c:strRef>
              <c:f>'Profit of top 15 products'!$B$1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of top 15 products'!$A$2:$A$17</c:f>
              <c:strCache>
                <c:ptCount val="15"/>
                <c:pt idx="0">
                  <c:v>Potato Chips – Salted Classic</c:v>
                </c:pt>
                <c:pt idx="1">
                  <c:v>Orange Juice – 100% Natural</c:v>
                </c:pt>
                <c:pt idx="2">
                  <c:v>Microfiber Mop – Extendable Handle</c:v>
                </c:pt>
                <c:pt idx="3">
                  <c:v>Cow Feed – High Energy Mix</c:v>
                </c:pt>
                <c:pt idx="4">
                  <c:v>Whole Wheat Bread – Family Size</c:v>
                </c:pt>
                <c:pt idx="5">
                  <c:v>Chocolate Bar – Family Pack</c:v>
                </c:pt>
                <c:pt idx="6">
                  <c:v>Laundry Powder – Heavy Duty</c:v>
                </c:pt>
                <c:pt idx="7">
                  <c:v>Plaster – Smooth Finish</c:v>
                </c:pt>
                <c:pt idx="8">
                  <c:v>Bathroom Cleaner – Extra Strength</c:v>
                </c:pt>
                <c:pt idx="9">
                  <c:v>Granulated Sugar – Premium Grade</c:v>
                </c:pt>
                <c:pt idx="10">
                  <c:v>Tile Adhesive – Waterproof</c:v>
                </c:pt>
                <c:pt idx="11">
                  <c:v>Fertilizer – Nitrogen Boost</c:v>
                </c:pt>
                <c:pt idx="12">
                  <c:v>Seed Bag – Wheat Premium</c:v>
                </c:pt>
                <c:pt idx="13">
                  <c:v>Window Cleaner – Industrial Grade</c:v>
                </c:pt>
                <c:pt idx="14">
                  <c:v>Measuring Tape – 148 Ft</c:v>
                </c:pt>
              </c:strCache>
            </c:strRef>
          </c:cat>
          <c:val>
            <c:numRef>
              <c:f>'Profit of top 15 products'!$B$2:$B$17</c:f>
              <c:numCache>
                <c:formatCode>#,##0.00</c:formatCode>
                <c:ptCount val="15"/>
                <c:pt idx="0">
                  <c:v>1439.8999999999996</c:v>
                </c:pt>
                <c:pt idx="1">
                  <c:v>1601.25</c:v>
                </c:pt>
                <c:pt idx="2">
                  <c:v>1628.0000000000036</c:v>
                </c:pt>
                <c:pt idx="3">
                  <c:v>1688.3999999999996</c:v>
                </c:pt>
                <c:pt idx="4">
                  <c:v>2283.6100000000006</c:v>
                </c:pt>
                <c:pt idx="5">
                  <c:v>2411.6399999999994</c:v>
                </c:pt>
                <c:pt idx="6">
                  <c:v>2603.9100000000017</c:v>
                </c:pt>
                <c:pt idx="7">
                  <c:v>2815.7999999999993</c:v>
                </c:pt>
                <c:pt idx="8">
                  <c:v>3020.6400000000012</c:v>
                </c:pt>
                <c:pt idx="9">
                  <c:v>3553.2000000000007</c:v>
                </c:pt>
                <c:pt idx="10">
                  <c:v>3958.7200000000012</c:v>
                </c:pt>
                <c:pt idx="11">
                  <c:v>4736.1599999999962</c:v>
                </c:pt>
                <c:pt idx="12">
                  <c:v>5334</c:v>
                </c:pt>
                <c:pt idx="13">
                  <c:v>5760</c:v>
                </c:pt>
                <c:pt idx="14">
                  <c:v>6073.9200000000019</c:v>
                </c:pt>
              </c:numCache>
            </c:numRef>
          </c:val>
          <c:extLst>
            <c:ext xmlns:c16="http://schemas.microsoft.com/office/drawing/2014/chart" uri="{C3380CC4-5D6E-409C-BE32-E72D297353CC}">
              <c16:uniqueId val="{00000000-ACEE-4184-880F-51839B6A7F32}"/>
            </c:ext>
          </c:extLst>
        </c:ser>
        <c:dLbls>
          <c:dLblPos val="inEnd"/>
          <c:showLegendKey val="0"/>
          <c:showVal val="1"/>
          <c:showCatName val="0"/>
          <c:showSerName val="0"/>
          <c:showPercent val="0"/>
          <c:showBubbleSize val="0"/>
        </c:dLbls>
        <c:gapWidth val="65"/>
        <c:axId val="1371969984"/>
        <c:axId val="1371957024"/>
      </c:barChart>
      <c:catAx>
        <c:axId val="1371969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solidFill>
                    <a:schemeClr val="tx1">
                      <a:lumMod val="95000"/>
                      <a:lumOff val="5000"/>
                    </a:schemeClr>
                  </a:solidFill>
                </a:ln>
                <a:solidFill>
                  <a:schemeClr val="tx1">
                    <a:lumMod val="95000"/>
                    <a:lumOff val="5000"/>
                  </a:schemeClr>
                </a:solidFill>
                <a:latin typeface="+mn-lt"/>
                <a:ea typeface="+mn-ea"/>
                <a:cs typeface="+mn-cs"/>
              </a:defRPr>
            </a:pPr>
            <a:endParaRPr lang="sr-Latn-RS"/>
          </a:p>
        </c:txPr>
        <c:crossAx val="1371957024"/>
        <c:crosses val="autoZero"/>
        <c:auto val="1"/>
        <c:lblAlgn val="ctr"/>
        <c:lblOffset val="100"/>
        <c:noMultiLvlLbl val="0"/>
      </c:catAx>
      <c:valAx>
        <c:axId val="1371957024"/>
        <c:scaling>
          <c:orientation val="minMax"/>
        </c:scaling>
        <c:delete val="1"/>
        <c:axPos val="b"/>
        <c:numFmt formatCode="#,##0.00" sourceLinked="1"/>
        <c:majorTickMark val="none"/>
        <c:minorTickMark val="none"/>
        <c:tickLblPos val="nextTo"/>
        <c:crossAx val="137196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DASHBOARD.xlsx]Profit Cash or Online!PivotTable9</c:name>
    <c:fmtId val="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r-Latn-R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lumMod val="60000"/>
              <a:lumOff val="40000"/>
            </a:schemeClr>
          </a:solidFill>
          <a:ln>
            <a:solidFill>
              <a:srgbClr val="92D050"/>
            </a:solid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r-Latn-R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4">
              <a:lumMod val="60000"/>
              <a:lumOff val="40000"/>
            </a:schemeClr>
          </a:solidFill>
          <a:ln>
            <a:solidFill>
              <a:srgbClr val="92D050"/>
            </a:solid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r-Latn-R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4">
              <a:lumMod val="60000"/>
              <a:lumOff val="40000"/>
            </a:schemeClr>
          </a:solidFill>
          <a:ln>
            <a:solidFill>
              <a:srgbClr val="92D050"/>
            </a:solidFill>
          </a:ln>
          <a:effectLst>
            <a:outerShdw blurRad="254000" sx="102000" sy="102000" algn="ctr" rotWithShape="0">
              <a:prstClr val="black">
                <a:alpha val="20000"/>
              </a:prstClr>
            </a:outerShdw>
          </a:effectLst>
        </c:spPr>
      </c:pivotFmt>
    </c:pivotFmts>
    <c:plotArea>
      <c:layout/>
      <c:pieChart>
        <c:varyColors val="1"/>
        <c:ser>
          <c:idx val="0"/>
          <c:order val="0"/>
          <c:tx>
            <c:strRef>
              <c:f>'Profit Cash or Online'!$B$1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B4F-4FDB-BCD0-BD89381B60E9}"/>
              </c:ext>
            </c:extLst>
          </c:dPt>
          <c:dPt>
            <c:idx val="1"/>
            <c:bubble3D val="0"/>
            <c:spPr>
              <a:solidFill>
                <a:schemeClr val="accent4">
                  <a:lumMod val="60000"/>
                  <a:lumOff val="40000"/>
                </a:schemeClr>
              </a:solidFill>
              <a:ln>
                <a:solidFill>
                  <a:srgbClr val="92D05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B4F-4FDB-BCD0-BD89381B60E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r-Latn-R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'Profit Cash or Online'!$A$2:$A$4</c:f>
              <c:strCache>
                <c:ptCount val="2"/>
                <c:pt idx="0">
                  <c:v>Cash</c:v>
                </c:pt>
                <c:pt idx="1">
                  <c:v>Online</c:v>
                </c:pt>
              </c:strCache>
            </c:strRef>
          </c:cat>
          <c:val>
            <c:numRef>
              <c:f>'Profit Cash or Online'!$B$2:$B$4</c:f>
              <c:numCache>
                <c:formatCode>#,##0.00</c:formatCode>
                <c:ptCount val="2"/>
                <c:pt idx="0">
                  <c:v>35120.899999999965</c:v>
                </c:pt>
                <c:pt idx="1">
                  <c:v>33787.01999999996</c:v>
                </c:pt>
              </c:numCache>
            </c:numRef>
          </c:val>
          <c:extLst>
            <c:ext xmlns:c16="http://schemas.microsoft.com/office/drawing/2014/chart" uri="{C3380CC4-5D6E-409C-BE32-E72D297353CC}">
              <c16:uniqueId val="{00000004-3B4F-4FDB-BCD0-BD89381B60E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DASHBOARD.xlsx]Profit by sale type!PivotTable10</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FFF00"/>
                  </a:solidFill>
                  <a:latin typeface="+mn-lt"/>
                  <a:ea typeface="+mn-ea"/>
                  <a:cs typeface="+mn-cs"/>
                </a:defRPr>
              </a:pPr>
              <a:endParaRPr lang="sr-Latn-R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910681453625267"/>
          <c:y val="0.21561064374390312"/>
          <c:w val="0.74331260647426733"/>
          <c:h val="0.74353830353145656"/>
        </c:manualLayout>
      </c:layout>
      <c:doughnutChart>
        <c:varyColors val="1"/>
        <c:ser>
          <c:idx val="0"/>
          <c:order val="0"/>
          <c:tx>
            <c:strRef>
              <c:f>'Profit by sale type'!$B$1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021-4186-A8C3-293D89A21A6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21-4186-A8C3-293D89A21A6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021-4186-A8C3-293D89A21A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FFF00"/>
                    </a:solidFill>
                    <a:latin typeface="+mn-lt"/>
                    <a:ea typeface="+mn-ea"/>
                    <a:cs typeface="+mn-cs"/>
                  </a:defRPr>
                </a:pPr>
                <a:endParaRPr lang="sr-Latn-R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by sale type'!$A$2:$A$5</c:f>
              <c:strCache>
                <c:ptCount val="3"/>
                <c:pt idx="0">
                  <c:v>Direct Sales</c:v>
                </c:pt>
                <c:pt idx="1">
                  <c:v>Online</c:v>
                </c:pt>
                <c:pt idx="2">
                  <c:v>Wholesaler</c:v>
                </c:pt>
              </c:strCache>
            </c:strRef>
          </c:cat>
          <c:val>
            <c:numRef>
              <c:f>'Profit by sale type'!$B$2:$B$5</c:f>
              <c:numCache>
                <c:formatCode>#,##0.00</c:formatCode>
                <c:ptCount val="3"/>
                <c:pt idx="0">
                  <c:v>36230.150000000052</c:v>
                </c:pt>
                <c:pt idx="1">
                  <c:v>22120.870000000024</c:v>
                </c:pt>
                <c:pt idx="2">
                  <c:v>10556.900000000009</c:v>
                </c:pt>
              </c:numCache>
            </c:numRef>
          </c:val>
          <c:extLst>
            <c:ext xmlns:c16="http://schemas.microsoft.com/office/drawing/2014/chart" uri="{C3380CC4-5D6E-409C-BE32-E72D297353CC}">
              <c16:uniqueId val="{00000006-A021-4186-A8C3-293D89A21A61}"/>
            </c:ext>
          </c:extLst>
        </c:ser>
        <c:dLbls>
          <c:showLegendKey val="0"/>
          <c:showVal val="0"/>
          <c:showCatName val="0"/>
          <c:showSerName val="0"/>
          <c:showPercent val="0"/>
          <c:showBubbleSize val="0"/>
          <c:showLeaderLines val="1"/>
        </c:dLbls>
        <c:firstSliceAng val="0"/>
        <c:holeSize val="75"/>
      </c:doughnutChart>
      <c:spPr>
        <a:noFill/>
        <a:ln w="25400">
          <a:noFill/>
        </a:ln>
        <a:effectLst>
          <a:glow rad="127000">
            <a:schemeClr val="accent1"/>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92D050"/>
      </a:solid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DASHBOARD.xlsx]Profit Margin!PivotTable11</c:name>
    <c:fmtId val="4"/>
  </c:pivotSource>
  <c:chart>
    <c:title>
      <c:tx>
        <c:rich>
          <a:bodyPr rot="0" spcFirstLastPara="1" vertOverflow="ellipsis" vert="horz" wrap="square" anchor="ctr" anchorCtr="1"/>
          <a:lstStyle/>
          <a:p>
            <a:pPr>
              <a:defRPr sz="1500" b="1" i="0" u="none" strike="noStrike" kern="1200" cap="all" spc="100" normalizeH="0" baseline="0">
                <a:solidFill>
                  <a:schemeClr val="tx1">
                    <a:lumMod val="95000"/>
                    <a:lumOff val="5000"/>
                  </a:schemeClr>
                </a:solidFill>
                <a:latin typeface="+mn-lt"/>
                <a:ea typeface="+mn-ea"/>
                <a:cs typeface="+mn-cs"/>
              </a:defRPr>
            </a:pPr>
            <a:r>
              <a:rPr lang="en-US">
                <a:solidFill>
                  <a:schemeClr val="tx1">
                    <a:lumMod val="95000"/>
                    <a:lumOff val="5000"/>
                  </a:schemeClr>
                </a:solidFill>
              </a:rPr>
              <a:t>Profit Margin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lumMod val="95000"/>
                  <a:lumOff val="5000"/>
                </a:schemeClr>
              </a:solidFill>
              <a:latin typeface="+mn-lt"/>
              <a:ea typeface="+mn-ea"/>
              <a:cs typeface="+mn-cs"/>
            </a:defRPr>
          </a:pPr>
          <a:endParaRPr lang="sr-Latn-R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'Profit Margin'!$B$1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'Profit Margin'!$A$2:$A$28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'Profit Margin'!$B$2:$B$28</c:f>
              <c:numCache>
                <c:formatCode>0%</c:formatCode>
                <c:ptCount val="24"/>
                <c:pt idx="0">
                  <c:v>0.14085517079887</c:v>
                </c:pt>
                <c:pt idx="1">
                  <c:v>0.17562072520928973</c:v>
                </c:pt>
                <c:pt idx="2">
                  <c:v>0.16655450526468371</c:v>
                </c:pt>
                <c:pt idx="3">
                  <c:v>0.20124203159758816</c:v>
                </c:pt>
                <c:pt idx="4">
                  <c:v>0.14457628439225592</c:v>
                </c:pt>
                <c:pt idx="5">
                  <c:v>0.18398848813751462</c:v>
                </c:pt>
                <c:pt idx="6">
                  <c:v>0.13931634427766054</c:v>
                </c:pt>
                <c:pt idx="7">
                  <c:v>0.10761655487147971</c:v>
                </c:pt>
                <c:pt idx="8">
                  <c:v>0.18796296983847288</c:v>
                </c:pt>
                <c:pt idx="9">
                  <c:v>0.1779073917443619</c:v>
                </c:pt>
                <c:pt idx="10">
                  <c:v>0.14227407651715038</c:v>
                </c:pt>
                <c:pt idx="11">
                  <c:v>0.15457361769377737</c:v>
                </c:pt>
                <c:pt idx="12">
                  <c:v>0.1931427951090722</c:v>
                </c:pt>
                <c:pt idx="13">
                  <c:v>0.18093974772615617</c:v>
                </c:pt>
                <c:pt idx="14">
                  <c:v>0.20044995187285911</c:v>
                </c:pt>
                <c:pt idx="15">
                  <c:v>0.19667546006420242</c:v>
                </c:pt>
                <c:pt idx="16">
                  <c:v>0.14089624053336836</c:v>
                </c:pt>
                <c:pt idx="17">
                  <c:v>0.18660416107820715</c:v>
                </c:pt>
                <c:pt idx="18">
                  <c:v>0.16787932706762973</c:v>
                </c:pt>
                <c:pt idx="19">
                  <c:v>0.18853694612657212</c:v>
                </c:pt>
                <c:pt idx="20">
                  <c:v>0.17944913017824762</c:v>
                </c:pt>
                <c:pt idx="21">
                  <c:v>0.15481126008773044</c:v>
                </c:pt>
                <c:pt idx="22">
                  <c:v>0.20580341817909298</c:v>
                </c:pt>
                <c:pt idx="23">
                  <c:v>0.16700551341102166</c:v>
                </c:pt>
              </c:numCache>
            </c:numRef>
          </c:val>
          <c:extLst>
            <c:ext xmlns:c16="http://schemas.microsoft.com/office/drawing/2014/chart" uri="{C3380CC4-5D6E-409C-BE32-E72D297353CC}">
              <c16:uniqueId val="{00000000-7C9D-4A20-B19C-40464CA225E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529823"/>
        <c:axId val="11525503"/>
      </c:areaChart>
      <c:catAx>
        <c:axId val="115298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sr-Latn-RS"/>
          </a:p>
        </c:txPr>
        <c:crossAx val="11525503"/>
        <c:crosses val="autoZero"/>
        <c:auto val="1"/>
        <c:lblAlgn val="ctr"/>
        <c:lblOffset val="100"/>
        <c:noMultiLvlLbl val="0"/>
      </c:catAx>
      <c:valAx>
        <c:axId val="11525503"/>
        <c:scaling>
          <c:orientation val="minMax"/>
        </c:scaling>
        <c:delete val="1"/>
        <c:axPos val="l"/>
        <c:numFmt formatCode="0%" sourceLinked="1"/>
        <c:majorTickMark val="out"/>
        <c:minorTickMark val="none"/>
        <c:tickLblPos val="nextTo"/>
        <c:crossAx val="115298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gradFill>
    <a:ln w="9525" cap="flat" cmpd="sng" algn="ctr">
      <a:solidFill>
        <a:schemeClr val="accent1"/>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Month And Price Category</a:t>
            </a:r>
            <a:endParaRPr lang="sr-Latn-R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sr-Latn-RS"/>
        </a:p>
      </c:txPr>
    </c:title>
    <c:autoTitleDeleted val="0"/>
    <c:plotArea>
      <c:layout/>
      <c:barChart>
        <c:barDir val="col"/>
        <c:grouping val="clustered"/>
        <c:varyColors val="0"/>
        <c:ser>
          <c:idx val="1"/>
          <c:order val="1"/>
          <c:tx>
            <c:strRef>
              <c:f>'Profit by Month and Price Cat'!$A$20</c:f>
              <c:strCache>
                <c:ptCount val="1"/>
                <c:pt idx="0">
                  <c:v>Cheap 47-87</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'Profit by Month and Price Cat'!$B$20:$M$20</c:f>
              <c:numCache>
                <c:formatCode>#,##0.00</c:formatCode>
                <c:ptCount val="12"/>
                <c:pt idx="0">
                  <c:v>1061.369999999999</c:v>
                </c:pt>
                <c:pt idx="1">
                  <c:v>918.49000000000069</c:v>
                </c:pt>
                <c:pt idx="2">
                  <c:v>701.77000000000044</c:v>
                </c:pt>
                <c:pt idx="3">
                  <c:v>822.72000000000025</c:v>
                </c:pt>
                <c:pt idx="4">
                  <c:v>1013.1899999999996</c:v>
                </c:pt>
                <c:pt idx="5">
                  <c:v>837.4399999999996</c:v>
                </c:pt>
                <c:pt idx="6">
                  <c:v>1284.1800000000003</c:v>
                </c:pt>
                <c:pt idx="7">
                  <c:v>1188.6599999999999</c:v>
                </c:pt>
                <c:pt idx="8">
                  <c:v>1319.0599999999995</c:v>
                </c:pt>
                <c:pt idx="9">
                  <c:v>848.55000000000109</c:v>
                </c:pt>
                <c:pt idx="10">
                  <c:v>945.67000000000007</c:v>
                </c:pt>
                <c:pt idx="11">
                  <c:v>888.93000000000211</c:v>
                </c:pt>
              </c:numCache>
            </c:numRef>
          </c:val>
          <c:extLst>
            <c:ext xmlns:c16="http://schemas.microsoft.com/office/drawing/2014/chart" uri="{C3380CC4-5D6E-409C-BE32-E72D297353CC}">
              <c16:uniqueId val="{00000000-7308-4C00-874D-E04D3BBF3863}"/>
            </c:ext>
          </c:extLst>
        </c:ser>
        <c:ser>
          <c:idx val="2"/>
          <c:order val="2"/>
          <c:tx>
            <c:strRef>
              <c:f>'Profit by Month and Price Cat'!$A$21</c:f>
              <c:strCache>
                <c:ptCount val="1"/>
                <c:pt idx="0">
                  <c:v>Expensive 129-169</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'Profit by Month and Price Cat'!$B$21:$M$21</c:f>
              <c:numCache>
                <c:formatCode>#,##0.00</c:formatCode>
                <c:ptCount val="12"/>
                <c:pt idx="0">
                  <c:v>3053.8499999999985</c:v>
                </c:pt>
                <c:pt idx="1">
                  <c:v>2449.2199999999993</c:v>
                </c:pt>
                <c:pt idx="2">
                  <c:v>1463.2199999999993</c:v>
                </c:pt>
                <c:pt idx="3">
                  <c:v>1691.4300000000003</c:v>
                </c:pt>
                <c:pt idx="4">
                  <c:v>1505.4100000000017</c:v>
                </c:pt>
                <c:pt idx="5">
                  <c:v>2605.1800000000003</c:v>
                </c:pt>
                <c:pt idx="6">
                  <c:v>1784.0300000000007</c:v>
                </c:pt>
                <c:pt idx="7">
                  <c:v>1278.0900000000001</c:v>
                </c:pt>
                <c:pt idx="8">
                  <c:v>2008.4399999999987</c:v>
                </c:pt>
                <c:pt idx="9">
                  <c:v>2257.9799999999996</c:v>
                </c:pt>
                <c:pt idx="10">
                  <c:v>1101.6000000000004</c:v>
                </c:pt>
                <c:pt idx="11">
                  <c:v>1477.6399999999994</c:v>
                </c:pt>
              </c:numCache>
            </c:numRef>
          </c:val>
          <c:extLst>
            <c:ext xmlns:c16="http://schemas.microsoft.com/office/drawing/2014/chart" uri="{C3380CC4-5D6E-409C-BE32-E72D297353CC}">
              <c16:uniqueId val="{00000001-7308-4C00-874D-E04D3BBF3863}"/>
            </c:ext>
          </c:extLst>
        </c:ser>
        <c:ser>
          <c:idx val="3"/>
          <c:order val="3"/>
          <c:tx>
            <c:strRef>
              <c:f>'Profit by Month and Price Cat'!$A$22</c:f>
              <c:strCache>
                <c:ptCount val="1"/>
                <c:pt idx="0">
                  <c:v>Moderate 88-128</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'Profit by Month and Price Cat'!$B$22:$M$22</c:f>
              <c:numCache>
                <c:formatCode>#,##0.00</c:formatCode>
                <c:ptCount val="12"/>
                <c:pt idx="0">
                  <c:v>1364.3199999999997</c:v>
                </c:pt>
                <c:pt idx="1">
                  <c:v>1258.3099999999986</c:v>
                </c:pt>
                <c:pt idx="2">
                  <c:v>1387.2600000000002</c:v>
                </c:pt>
                <c:pt idx="3">
                  <c:v>724.3799999999992</c:v>
                </c:pt>
                <c:pt idx="4">
                  <c:v>1246.3100000000013</c:v>
                </c:pt>
                <c:pt idx="5">
                  <c:v>1117.5100000000002</c:v>
                </c:pt>
                <c:pt idx="6">
                  <c:v>1200.9600000000009</c:v>
                </c:pt>
                <c:pt idx="7">
                  <c:v>1101.3300000000008</c:v>
                </c:pt>
                <c:pt idx="8">
                  <c:v>1477.4799999999996</c:v>
                </c:pt>
                <c:pt idx="9">
                  <c:v>612.04</c:v>
                </c:pt>
                <c:pt idx="10">
                  <c:v>2268.2499999999982</c:v>
                </c:pt>
                <c:pt idx="11">
                  <c:v>988.84000000000015</c:v>
                </c:pt>
              </c:numCache>
            </c:numRef>
          </c:val>
          <c:extLst>
            <c:ext xmlns:c16="http://schemas.microsoft.com/office/drawing/2014/chart" uri="{C3380CC4-5D6E-409C-BE32-E72D297353CC}">
              <c16:uniqueId val="{00000002-7308-4C00-874D-E04D3BBF3863}"/>
            </c:ext>
          </c:extLst>
        </c:ser>
        <c:ser>
          <c:idx val="4"/>
          <c:order val="4"/>
          <c:tx>
            <c:strRef>
              <c:f>'Profit by Month and Price Cat'!$A$23</c:f>
              <c:strCache>
                <c:ptCount val="1"/>
                <c:pt idx="0">
                  <c:v>Very Cheap 6-46</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'Profit by Month and Price Cat'!$B$23:$M$23</c:f>
              <c:numCache>
                <c:formatCode>#,##0.00</c:formatCode>
                <c:ptCount val="12"/>
                <c:pt idx="0">
                  <c:v>95.300000000000011</c:v>
                </c:pt>
                <c:pt idx="1">
                  <c:v>197.64</c:v>
                </c:pt>
                <c:pt idx="2">
                  <c:v>386.35999999999967</c:v>
                </c:pt>
                <c:pt idx="3">
                  <c:v>369.57999999999993</c:v>
                </c:pt>
                <c:pt idx="4">
                  <c:v>260.73999999999978</c:v>
                </c:pt>
                <c:pt idx="5">
                  <c:v>399.90000000000009</c:v>
                </c:pt>
                <c:pt idx="6">
                  <c:v>147.61999999999989</c:v>
                </c:pt>
                <c:pt idx="7">
                  <c:v>425.40000000000055</c:v>
                </c:pt>
                <c:pt idx="8">
                  <c:v>199.02999999999997</c:v>
                </c:pt>
                <c:pt idx="9">
                  <c:v>114.19999999999999</c:v>
                </c:pt>
                <c:pt idx="10">
                  <c:v>203.35000000000014</c:v>
                </c:pt>
                <c:pt idx="11">
                  <c:v>285.6099999999999</c:v>
                </c:pt>
              </c:numCache>
            </c:numRef>
          </c:val>
          <c:extLst>
            <c:ext xmlns:c16="http://schemas.microsoft.com/office/drawing/2014/chart" uri="{C3380CC4-5D6E-409C-BE32-E72D297353CC}">
              <c16:uniqueId val="{00000003-7308-4C00-874D-E04D3BBF3863}"/>
            </c:ext>
          </c:extLst>
        </c:ser>
        <c:ser>
          <c:idx val="5"/>
          <c:order val="5"/>
          <c:tx>
            <c:strRef>
              <c:f>'Profit by Month and Price Cat'!$A$24</c:f>
              <c:strCache>
                <c:ptCount val="1"/>
                <c:pt idx="0">
                  <c:v>Very Expensive 170-MAX</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'Profit by Month and Price Cat'!$B$24:$M$24</c:f>
              <c:numCache>
                <c:formatCode>#,##0.00</c:formatCode>
                <c:ptCount val="12"/>
                <c:pt idx="0">
                  <c:v>1482.12</c:v>
                </c:pt>
                <c:pt idx="1">
                  <c:v>692.63999999999987</c:v>
                </c:pt>
                <c:pt idx="2">
                  <c:v>1241.04</c:v>
                </c:pt>
                <c:pt idx="3">
                  <c:v>1689.0000000000009</c:v>
                </c:pt>
                <c:pt idx="4">
                  <c:v>358.79999999999995</c:v>
                </c:pt>
                <c:pt idx="5">
                  <c:v>694.67999999999984</c:v>
                </c:pt>
                <c:pt idx="6">
                  <c:v>957</c:v>
                </c:pt>
                <c:pt idx="7">
                  <c:v>1525.92</c:v>
                </c:pt>
                <c:pt idx="8">
                  <c:v>1480.8000000000002</c:v>
                </c:pt>
                <c:pt idx="9">
                  <c:v>1825.92</c:v>
                </c:pt>
                <c:pt idx="10">
                  <c:v>2299.2000000000007</c:v>
                </c:pt>
                <c:pt idx="11">
                  <c:v>2322.9599999999991</c:v>
                </c:pt>
              </c:numCache>
            </c:numRef>
          </c:val>
          <c:extLst>
            <c:ext xmlns:c16="http://schemas.microsoft.com/office/drawing/2014/chart" uri="{C3380CC4-5D6E-409C-BE32-E72D297353CC}">
              <c16:uniqueId val="{00000004-7308-4C00-874D-E04D3BBF3863}"/>
            </c:ext>
          </c:extLst>
        </c:ser>
        <c:dLbls>
          <c:showLegendKey val="0"/>
          <c:showVal val="0"/>
          <c:showCatName val="0"/>
          <c:showSerName val="0"/>
          <c:showPercent val="0"/>
          <c:showBubbleSize val="0"/>
        </c:dLbls>
        <c:gapWidth val="0"/>
        <c:overlap val="-100"/>
        <c:axId val="262264559"/>
        <c:axId val="262265039"/>
        <c:extLst>
          <c:ext xmlns:c15="http://schemas.microsoft.com/office/drawing/2012/chart" uri="{02D57815-91ED-43cb-92C2-25804820EDAC}">
            <c15:filteredBarSeries>
              <c15:ser>
                <c:idx val="0"/>
                <c:order val="0"/>
                <c:tx>
                  <c:strRef>
                    <c:extLst>
                      <c:ext uri="{02D57815-91ED-43cb-92C2-25804820EDAC}">
                        <c15:formulaRef>
                          <c15:sqref>'Profit by Month and Price Cat'!$A$19</c15:sqref>
                        </c15:formulaRef>
                      </c:ext>
                    </c:extLst>
                    <c:strCache>
                      <c:ptCount val="1"/>
                      <c:pt idx="0">
                        <c:v>Row Labels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extLst>
                      <c:ext uri="{02D57815-91ED-43cb-92C2-25804820EDAC}">
                        <c15:formulaRef>
                          <c15:sqref>'Profit by Month and Price Cat'!$B$19:$M$19</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extLst>
                  <c:ext xmlns:c16="http://schemas.microsoft.com/office/drawing/2014/chart" uri="{C3380CC4-5D6E-409C-BE32-E72D297353CC}">
                    <c16:uniqueId val="{00000006-7308-4C00-874D-E04D3BBF3863}"/>
                  </c:ext>
                </c:extLst>
              </c15:ser>
            </c15:filteredBarSeries>
          </c:ext>
        </c:extLst>
      </c:barChart>
      <c:barChart>
        <c:barDir val="col"/>
        <c:grouping val="clustered"/>
        <c:varyColors val="0"/>
        <c:ser>
          <c:idx val="6"/>
          <c:order val="6"/>
          <c:tx>
            <c:strRef>
              <c:f>'Profit by Month and Price Cat'!$A$25</c:f>
              <c:strCache>
                <c:ptCount val="1"/>
                <c:pt idx="0">
                  <c:v>Grand Total</c:v>
                </c:pt>
              </c:strCache>
            </c:strRef>
          </c:tx>
          <c:spPr>
            <a:solidFill>
              <a:schemeClr val="accent6">
                <a:lumMod val="60000"/>
                <a:lumOff val="40000"/>
                <a:alpha val="23000"/>
              </a:schemeClr>
            </a:solidFill>
            <a:ln>
              <a:solidFill>
                <a:schemeClr val="accent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'Profit by Month and Price Cat'!$B$25:$M$25</c:f>
              <c:numCache>
                <c:formatCode>#,##0.00</c:formatCode>
                <c:ptCount val="12"/>
                <c:pt idx="0">
                  <c:v>7056.9599999999991</c:v>
                </c:pt>
                <c:pt idx="1">
                  <c:v>5516.3000000000029</c:v>
                </c:pt>
                <c:pt idx="2">
                  <c:v>5179.6499999999942</c:v>
                </c:pt>
                <c:pt idx="3">
                  <c:v>5297.1100000000042</c:v>
                </c:pt>
                <c:pt idx="4">
                  <c:v>4384.4500000000007</c:v>
                </c:pt>
                <c:pt idx="5">
                  <c:v>5654.7099999999991</c:v>
                </c:pt>
                <c:pt idx="6">
                  <c:v>5373.7899999999936</c:v>
                </c:pt>
                <c:pt idx="7">
                  <c:v>5519.3999999999942</c:v>
                </c:pt>
                <c:pt idx="8">
                  <c:v>6484.8099999999977</c:v>
                </c:pt>
                <c:pt idx="9">
                  <c:v>5658.6900000000023</c:v>
                </c:pt>
                <c:pt idx="10">
                  <c:v>6818.07</c:v>
                </c:pt>
                <c:pt idx="11">
                  <c:v>5963.9800000000032</c:v>
                </c:pt>
              </c:numCache>
            </c:numRef>
          </c:val>
          <c:extLst>
            <c:ext xmlns:c16="http://schemas.microsoft.com/office/drawing/2014/chart" uri="{C3380CC4-5D6E-409C-BE32-E72D297353CC}">
              <c16:uniqueId val="{00000005-7308-4C00-874D-E04D3BBF3863}"/>
            </c:ext>
          </c:extLst>
        </c:ser>
        <c:dLbls>
          <c:showLegendKey val="0"/>
          <c:showVal val="0"/>
          <c:showCatName val="0"/>
          <c:showSerName val="0"/>
          <c:showPercent val="0"/>
          <c:showBubbleSize val="0"/>
        </c:dLbls>
        <c:gapWidth val="0"/>
        <c:overlap val="100"/>
        <c:axId val="280688863"/>
        <c:axId val="280683103"/>
      </c:barChart>
      <c:catAx>
        <c:axId val="262264559"/>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262265039"/>
        <c:crosses val="autoZero"/>
        <c:auto val="1"/>
        <c:lblAlgn val="ctr"/>
        <c:lblOffset val="100"/>
        <c:noMultiLvlLbl val="0"/>
      </c:catAx>
      <c:valAx>
        <c:axId val="26226503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262264559"/>
        <c:crosses val="autoZero"/>
        <c:crossBetween val="between"/>
      </c:valAx>
      <c:valAx>
        <c:axId val="280683103"/>
        <c:scaling>
          <c:orientation val="minMax"/>
          <c:max val="7100"/>
          <c:min val="0"/>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280688863"/>
        <c:crosses val="max"/>
        <c:crossBetween val="between"/>
      </c:valAx>
      <c:catAx>
        <c:axId val="280688863"/>
        <c:scaling>
          <c:orientation val="minMax"/>
        </c:scaling>
        <c:delete val="1"/>
        <c:axPos val="b"/>
        <c:majorTickMark val="none"/>
        <c:minorTickMark val="none"/>
        <c:tickLblPos val="nextTo"/>
        <c:crossAx val="2806831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Profit By</a:t>
            </a:r>
            <a:r>
              <a:rPr lang="en-US" baseline="0"/>
              <a:t> Months And Categories</a:t>
            </a:r>
            <a:endParaRPr lang="sr-Latn-R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sr-Latn-RS"/>
        </a:p>
      </c:txPr>
    </c:title>
    <c:autoTitleDeleted val="0"/>
    <c:plotArea>
      <c:layout/>
      <c:barChart>
        <c:barDir val="col"/>
        <c:grouping val="clustered"/>
        <c:varyColors val="0"/>
        <c:ser>
          <c:idx val="1"/>
          <c:order val="1"/>
          <c:tx>
            <c:strRef>
              <c:f>'Profit by M and Categories'!$A$37</c:f>
              <c:strCache>
                <c:ptCount val="1"/>
                <c:pt idx="0">
                  <c:v>Agriculture &amp; Animal Feed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val>
            <c:numRef>
              <c:f>'Profit by M and Categories'!$B$37:$M$37</c:f>
              <c:numCache>
                <c:formatCode>#,##0.00</c:formatCode>
                <c:ptCount val="12"/>
                <c:pt idx="0">
                  <c:v>2229.6799999999985</c:v>
                </c:pt>
                <c:pt idx="1">
                  <c:v>613.72000000000025</c:v>
                </c:pt>
                <c:pt idx="2">
                  <c:v>934.13999999999942</c:v>
                </c:pt>
                <c:pt idx="3">
                  <c:v>1067.7600000000002</c:v>
                </c:pt>
                <c:pt idx="4">
                  <c:v>971.27999999999975</c:v>
                </c:pt>
                <c:pt idx="5">
                  <c:v>1602.8400000000001</c:v>
                </c:pt>
                <c:pt idx="6">
                  <c:v>1653.9599999999991</c:v>
                </c:pt>
                <c:pt idx="7">
                  <c:v>526.19999999999982</c:v>
                </c:pt>
                <c:pt idx="8">
                  <c:v>2360.3600000000006</c:v>
                </c:pt>
                <c:pt idx="9">
                  <c:v>669.60000000000036</c:v>
                </c:pt>
                <c:pt idx="10">
                  <c:v>1770.6900000000005</c:v>
                </c:pt>
                <c:pt idx="11">
                  <c:v>2262.9599999999973</c:v>
                </c:pt>
              </c:numCache>
            </c:numRef>
          </c:val>
          <c:extLst>
            <c:ext xmlns:c16="http://schemas.microsoft.com/office/drawing/2014/chart" uri="{C3380CC4-5D6E-409C-BE32-E72D297353CC}">
              <c16:uniqueId val="{00000000-23AE-47E7-85AE-D2F949D8E022}"/>
            </c:ext>
          </c:extLst>
        </c:ser>
        <c:ser>
          <c:idx val="2"/>
          <c:order val="2"/>
          <c:tx>
            <c:strRef>
              <c:f>'Profit by M and Categories'!$A$38</c:f>
              <c:strCache>
                <c:ptCount val="1"/>
                <c:pt idx="0">
                  <c:v>Basic Food and Fresh Goods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val>
            <c:numRef>
              <c:f>'Profit by M and Categories'!$B$38:$M$38</c:f>
              <c:numCache>
                <c:formatCode>#,##0.00</c:formatCode>
                <c:ptCount val="12"/>
                <c:pt idx="0">
                  <c:v>757.70000000000073</c:v>
                </c:pt>
                <c:pt idx="1">
                  <c:v>1824.4400000000023</c:v>
                </c:pt>
                <c:pt idx="2">
                  <c:v>566.81999999999971</c:v>
                </c:pt>
                <c:pt idx="3">
                  <c:v>736.84999999999945</c:v>
                </c:pt>
                <c:pt idx="4">
                  <c:v>854.70000000000073</c:v>
                </c:pt>
                <c:pt idx="5">
                  <c:v>883.45000000000073</c:v>
                </c:pt>
                <c:pt idx="6">
                  <c:v>1112.3199999999988</c:v>
                </c:pt>
                <c:pt idx="7">
                  <c:v>653.43000000000029</c:v>
                </c:pt>
                <c:pt idx="8">
                  <c:v>828.79999999999927</c:v>
                </c:pt>
                <c:pt idx="9">
                  <c:v>873.10999999999967</c:v>
                </c:pt>
                <c:pt idx="10">
                  <c:v>387.47000000000025</c:v>
                </c:pt>
                <c:pt idx="11">
                  <c:v>506.86000000000058</c:v>
                </c:pt>
              </c:numCache>
            </c:numRef>
          </c:val>
          <c:extLst>
            <c:ext xmlns:c16="http://schemas.microsoft.com/office/drawing/2014/chart" uri="{C3380CC4-5D6E-409C-BE32-E72D297353CC}">
              <c16:uniqueId val="{00000001-23AE-47E7-85AE-D2F949D8E022}"/>
            </c:ext>
          </c:extLst>
        </c:ser>
        <c:ser>
          <c:idx val="3"/>
          <c:order val="3"/>
          <c:tx>
            <c:strRef>
              <c:f>'Profit by M and Categories'!$A$39</c:f>
              <c:strCache>
                <c:ptCount val="1"/>
                <c:pt idx="0">
                  <c:v>Beverages &amp; Packaged Goods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val>
            <c:numRef>
              <c:f>'Profit by M and Categories'!$B$39:$M$39</c:f>
              <c:numCache>
                <c:formatCode>#,##0.00</c:formatCode>
                <c:ptCount val="12"/>
                <c:pt idx="0">
                  <c:v>558.44999999999982</c:v>
                </c:pt>
                <c:pt idx="1">
                  <c:v>121.26999999999998</c:v>
                </c:pt>
                <c:pt idx="2">
                  <c:v>723.18000000000029</c:v>
                </c:pt>
                <c:pt idx="3">
                  <c:v>287.98</c:v>
                </c:pt>
                <c:pt idx="4">
                  <c:v>696.22000000000025</c:v>
                </c:pt>
                <c:pt idx="5">
                  <c:v>1301.8599999999988</c:v>
                </c:pt>
                <c:pt idx="6">
                  <c:v>267.73999999999978</c:v>
                </c:pt>
                <c:pt idx="7">
                  <c:v>1081.9300000000003</c:v>
                </c:pt>
                <c:pt idx="8">
                  <c:v>502.39000000000033</c:v>
                </c:pt>
                <c:pt idx="9">
                  <c:v>1052.1599999999999</c:v>
                </c:pt>
                <c:pt idx="10">
                  <c:v>259.25</c:v>
                </c:pt>
                <c:pt idx="11">
                  <c:v>266.07999999999993</c:v>
                </c:pt>
              </c:numCache>
            </c:numRef>
          </c:val>
          <c:extLst>
            <c:ext xmlns:c16="http://schemas.microsoft.com/office/drawing/2014/chart" uri="{C3380CC4-5D6E-409C-BE32-E72D297353CC}">
              <c16:uniqueId val="{00000002-23AE-47E7-85AE-D2F949D8E022}"/>
            </c:ext>
          </c:extLst>
        </c:ser>
        <c:ser>
          <c:idx val="4"/>
          <c:order val="4"/>
          <c:tx>
            <c:strRef>
              <c:f>'Profit by M and Categories'!$A$40</c:f>
              <c:strCache>
                <c:ptCount val="1"/>
                <c:pt idx="0">
                  <c:v>Household Supplies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val>
            <c:numRef>
              <c:f>'Profit by M and Categories'!$B$40:$M$40</c:f>
              <c:numCache>
                <c:formatCode>#,##0.00</c:formatCode>
                <c:ptCount val="12"/>
                <c:pt idx="0">
                  <c:v>1895.6399999999994</c:v>
                </c:pt>
                <c:pt idx="1">
                  <c:v>1321.2599999999984</c:v>
                </c:pt>
                <c:pt idx="2">
                  <c:v>659.25999999999976</c:v>
                </c:pt>
                <c:pt idx="3">
                  <c:v>1724.9499999999998</c:v>
                </c:pt>
                <c:pt idx="4">
                  <c:v>1197.3300000000017</c:v>
                </c:pt>
                <c:pt idx="5">
                  <c:v>1111.5000000000009</c:v>
                </c:pt>
                <c:pt idx="6">
                  <c:v>786.39999999999964</c:v>
                </c:pt>
                <c:pt idx="7">
                  <c:v>1279.6499999999996</c:v>
                </c:pt>
                <c:pt idx="8">
                  <c:v>1183.9799999999996</c:v>
                </c:pt>
                <c:pt idx="9">
                  <c:v>1770</c:v>
                </c:pt>
                <c:pt idx="10">
                  <c:v>2867.1199999999972</c:v>
                </c:pt>
                <c:pt idx="11">
                  <c:v>1751.7800000000007</c:v>
                </c:pt>
              </c:numCache>
            </c:numRef>
          </c:val>
          <c:extLst>
            <c:ext xmlns:c16="http://schemas.microsoft.com/office/drawing/2014/chart" uri="{C3380CC4-5D6E-409C-BE32-E72D297353CC}">
              <c16:uniqueId val="{00000003-23AE-47E7-85AE-D2F949D8E022}"/>
            </c:ext>
          </c:extLst>
        </c:ser>
        <c:ser>
          <c:idx val="5"/>
          <c:order val="5"/>
          <c:tx>
            <c:strRef>
              <c:f>'Profit by M and Categories'!$A$41</c:f>
              <c:strCache>
                <c:ptCount val="1"/>
                <c:pt idx="0">
                  <c:v>Tools &amp; Technical Equipment</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val>
            <c:numRef>
              <c:f>'Profit by M and Categories'!$B$41:$M$41</c:f>
              <c:numCache>
                <c:formatCode>#,##0.00</c:formatCode>
                <c:ptCount val="12"/>
                <c:pt idx="0">
                  <c:v>1615.4899999999998</c:v>
                </c:pt>
                <c:pt idx="1">
                  <c:v>1635.6099999999988</c:v>
                </c:pt>
                <c:pt idx="2">
                  <c:v>2296.25</c:v>
                </c:pt>
                <c:pt idx="3">
                  <c:v>1479.5699999999988</c:v>
                </c:pt>
                <c:pt idx="4">
                  <c:v>664.92000000000007</c:v>
                </c:pt>
                <c:pt idx="5">
                  <c:v>755.05999999999949</c:v>
                </c:pt>
                <c:pt idx="6">
                  <c:v>1553.3700000000008</c:v>
                </c:pt>
                <c:pt idx="7">
                  <c:v>1978.1899999999987</c:v>
                </c:pt>
                <c:pt idx="8">
                  <c:v>1609.2800000000007</c:v>
                </c:pt>
                <c:pt idx="9">
                  <c:v>1293.8199999999997</c:v>
                </c:pt>
                <c:pt idx="10">
                  <c:v>1533.5400000000009</c:v>
                </c:pt>
                <c:pt idx="11">
                  <c:v>1176.2999999999993</c:v>
                </c:pt>
              </c:numCache>
            </c:numRef>
          </c:val>
          <c:extLst>
            <c:ext xmlns:c16="http://schemas.microsoft.com/office/drawing/2014/chart" uri="{C3380CC4-5D6E-409C-BE32-E72D297353CC}">
              <c16:uniqueId val="{00000004-23AE-47E7-85AE-D2F949D8E022}"/>
            </c:ext>
          </c:extLst>
        </c:ser>
        <c:dLbls>
          <c:showLegendKey val="0"/>
          <c:showVal val="0"/>
          <c:showCatName val="0"/>
          <c:showSerName val="0"/>
          <c:showPercent val="0"/>
          <c:showBubbleSize val="0"/>
        </c:dLbls>
        <c:gapWidth val="315"/>
        <c:overlap val="-40"/>
        <c:axId val="289632479"/>
        <c:axId val="289632959"/>
        <c:extLst>
          <c:ext xmlns:c15="http://schemas.microsoft.com/office/drawing/2012/chart" uri="{02D57815-91ED-43cb-92C2-25804820EDAC}">
            <c15:filteredBarSeries>
              <c15:ser>
                <c:idx val="0"/>
                <c:order val="0"/>
                <c:tx>
                  <c:strRef>
                    <c:extLst>
                      <c:ext uri="{02D57815-91ED-43cb-92C2-25804820EDAC}">
                        <c15:formulaRef>
                          <c15:sqref>'Profit by M and Categories'!$A$36</c15:sqref>
                        </c15:formulaRef>
                      </c:ext>
                    </c:extLst>
                    <c:strCache>
                      <c:ptCount val="1"/>
                      <c:pt idx="0">
                        <c:v>Row Labels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val>
                  <c:numRef>
                    <c:extLst>
                      <c:ext uri="{02D57815-91ED-43cb-92C2-25804820EDAC}">
                        <c15:formulaRef>
                          <c15:sqref>'Profit by M and Categories'!$B$36:$M$36</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extLst>
                  <c:ext xmlns:c16="http://schemas.microsoft.com/office/drawing/2014/chart" uri="{C3380CC4-5D6E-409C-BE32-E72D297353CC}">
                    <c16:uniqueId val="{00000006-23AE-47E7-85AE-D2F949D8E022}"/>
                  </c:ext>
                </c:extLst>
              </c15:ser>
            </c15:filteredBarSeries>
          </c:ext>
        </c:extLst>
      </c:barChart>
      <c:barChart>
        <c:barDir val="col"/>
        <c:grouping val="clustered"/>
        <c:varyColors val="0"/>
        <c:ser>
          <c:idx val="6"/>
          <c:order val="6"/>
          <c:tx>
            <c:strRef>
              <c:f>'Profit by M and Categories'!$A$42</c:f>
              <c:strCache>
                <c:ptCount val="1"/>
                <c:pt idx="0">
                  <c:v>Grand Total</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'Profit by M and Categories'!$B$42:$M$42</c:f>
              <c:numCache>
                <c:formatCode>#,##0.00</c:formatCode>
                <c:ptCount val="12"/>
                <c:pt idx="0">
                  <c:v>7056.9599999999991</c:v>
                </c:pt>
                <c:pt idx="1">
                  <c:v>5516.3000000000029</c:v>
                </c:pt>
                <c:pt idx="2">
                  <c:v>5179.6499999999942</c:v>
                </c:pt>
                <c:pt idx="3">
                  <c:v>5297.1100000000042</c:v>
                </c:pt>
                <c:pt idx="4">
                  <c:v>4384.4500000000007</c:v>
                </c:pt>
                <c:pt idx="5">
                  <c:v>5654.7099999999991</c:v>
                </c:pt>
                <c:pt idx="6">
                  <c:v>5373.7899999999936</c:v>
                </c:pt>
                <c:pt idx="7">
                  <c:v>5519.3999999999942</c:v>
                </c:pt>
                <c:pt idx="8">
                  <c:v>6484.8099999999977</c:v>
                </c:pt>
                <c:pt idx="9">
                  <c:v>5658.6900000000023</c:v>
                </c:pt>
                <c:pt idx="10">
                  <c:v>6818.07</c:v>
                </c:pt>
                <c:pt idx="11">
                  <c:v>5963.9800000000032</c:v>
                </c:pt>
              </c:numCache>
            </c:numRef>
          </c:val>
          <c:extLst>
            <c:ext xmlns:c16="http://schemas.microsoft.com/office/drawing/2014/chart" uri="{C3380CC4-5D6E-409C-BE32-E72D297353CC}">
              <c16:uniqueId val="{00000005-23AE-47E7-85AE-D2F949D8E022}"/>
            </c:ext>
          </c:extLst>
        </c:ser>
        <c:dLbls>
          <c:showLegendKey val="0"/>
          <c:showVal val="0"/>
          <c:showCatName val="0"/>
          <c:showSerName val="0"/>
          <c:showPercent val="0"/>
          <c:showBubbleSize val="0"/>
        </c:dLbls>
        <c:gapWidth val="24"/>
        <c:overlap val="100"/>
        <c:axId val="751141967"/>
        <c:axId val="751141007"/>
      </c:barChart>
      <c:catAx>
        <c:axId val="2896324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289632959"/>
        <c:crosses val="autoZero"/>
        <c:auto val="1"/>
        <c:lblAlgn val="ctr"/>
        <c:lblOffset val="100"/>
        <c:noMultiLvlLbl val="0"/>
      </c:catAx>
      <c:valAx>
        <c:axId val="2896329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289632479"/>
        <c:crosses val="autoZero"/>
        <c:crossBetween val="between"/>
      </c:valAx>
      <c:valAx>
        <c:axId val="75114100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751141967"/>
        <c:crosses val="max"/>
        <c:crossBetween val="between"/>
      </c:valAx>
      <c:catAx>
        <c:axId val="751141967"/>
        <c:scaling>
          <c:orientation val="minMax"/>
        </c:scaling>
        <c:delete val="1"/>
        <c:axPos val="b"/>
        <c:majorTickMark val="out"/>
        <c:minorTickMark val="none"/>
        <c:tickLblPos val="nextTo"/>
        <c:crossAx val="75114100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sr-Latn-R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DASHBOARD.xlsx]Profit by M and Sale Type!PivotTable2</c:name>
    <c:fmtId val="4"/>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solidFill>
              <a:schemeClr val="bg1">
                <a:lumMod val="6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4.9099836333878766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75455417066154E-3"/>
              <c:y val="-2.6186579378068741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75455417066154E-3"/>
              <c:y val="3.2733224222585927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309190978135335E-17"/>
              <c:y val="2.618657937806862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3.2733224222585927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75455417066154E-3"/>
              <c:y val="4.5826513911620292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75455417066154E-3"/>
              <c:y val="-2.6186579378068741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4.9099836333878766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75455417066154E-3"/>
              <c:y val="3.2733224222585927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309190978135335E-17"/>
              <c:y val="2.618657937806862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3.2733224222585927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75455417066154E-3"/>
              <c:y val="4.5826513911620292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lumMod val="6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75455417066154E-3"/>
              <c:y val="-2.6186579378068741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4.9099836333878766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75455417066154E-3"/>
              <c:y val="3.2733224222585927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309190978135335E-17"/>
              <c:y val="2.618657937806862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3.2733224222585927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75455417066154E-3"/>
              <c:y val="4.5826513911620292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lumMod val="6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M and Sale Type'!$B$1:$B$2</c:f>
              <c:strCache>
                <c:ptCount val="1"/>
                <c:pt idx="0">
                  <c:v>Direct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C886-4C43-97C6-25ED68045E00}"/>
              </c:ext>
            </c:extLst>
          </c:dPt>
          <c:dPt>
            <c:idx val="2"/>
            <c:invertIfNegative val="0"/>
            <c:bubble3D val="0"/>
            <c:extLst>
              <c:ext xmlns:c16="http://schemas.microsoft.com/office/drawing/2014/chart" uri="{C3380CC4-5D6E-409C-BE32-E72D297353CC}">
                <c16:uniqueId val="{00000001-C886-4C43-97C6-25ED68045E00}"/>
              </c:ext>
            </c:extLst>
          </c:dPt>
          <c:dPt>
            <c:idx val="4"/>
            <c:invertIfNegative val="0"/>
            <c:bubble3D val="0"/>
            <c:extLst>
              <c:ext xmlns:c16="http://schemas.microsoft.com/office/drawing/2014/chart" uri="{C3380CC4-5D6E-409C-BE32-E72D297353CC}">
                <c16:uniqueId val="{00000002-C886-4C43-97C6-25ED68045E00}"/>
              </c:ext>
            </c:extLst>
          </c:dPt>
          <c:dPt>
            <c:idx val="5"/>
            <c:invertIfNegative val="0"/>
            <c:bubble3D val="0"/>
            <c:extLst>
              <c:ext xmlns:c16="http://schemas.microsoft.com/office/drawing/2014/chart" uri="{C3380CC4-5D6E-409C-BE32-E72D297353CC}">
                <c16:uniqueId val="{00000003-C886-4C43-97C6-25ED68045E00}"/>
              </c:ext>
            </c:extLst>
          </c:dPt>
          <c:dPt>
            <c:idx val="6"/>
            <c:invertIfNegative val="0"/>
            <c:bubble3D val="0"/>
            <c:extLst>
              <c:ext xmlns:c16="http://schemas.microsoft.com/office/drawing/2014/chart" uri="{C3380CC4-5D6E-409C-BE32-E72D297353CC}">
                <c16:uniqueId val="{00000004-C886-4C43-97C6-25ED68045E00}"/>
              </c:ext>
            </c:extLst>
          </c:dPt>
          <c:dPt>
            <c:idx val="7"/>
            <c:invertIfNegative val="0"/>
            <c:bubble3D val="0"/>
            <c:extLst>
              <c:ext xmlns:c16="http://schemas.microsoft.com/office/drawing/2014/chart" uri="{C3380CC4-5D6E-409C-BE32-E72D297353CC}">
                <c16:uniqueId val="{00000005-C886-4C43-97C6-25ED68045E00}"/>
              </c:ext>
            </c:extLst>
          </c:dPt>
          <c:dLbls>
            <c:dLbl>
              <c:idx val="0"/>
              <c:layout>
                <c:manualLayout>
                  <c:x val="1.9175455417066154E-3"/>
                  <c:y val="-2.61865793780687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86-4C43-97C6-25ED68045E00}"/>
                </c:ext>
              </c:extLst>
            </c:dLbl>
            <c:dLbl>
              <c:idx val="2"/>
              <c:layout>
                <c:manualLayout>
                  <c:x val="0"/>
                  <c:y val="4.90998363338787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86-4C43-97C6-25ED68045E00}"/>
                </c:ext>
              </c:extLst>
            </c:dLbl>
            <c:dLbl>
              <c:idx val="4"/>
              <c:layout>
                <c:manualLayout>
                  <c:x val="-1.9175455417066154E-3"/>
                  <c:y val="3.2733224222585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86-4C43-97C6-25ED68045E00}"/>
                </c:ext>
              </c:extLst>
            </c:dLbl>
            <c:dLbl>
              <c:idx val="5"/>
              <c:layout>
                <c:manualLayout>
                  <c:x val="-7.0309190978135335E-17"/>
                  <c:y val="2.6186579378068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86-4C43-97C6-25ED68045E00}"/>
                </c:ext>
              </c:extLst>
            </c:dLbl>
            <c:dLbl>
              <c:idx val="6"/>
              <c:layout>
                <c:manualLayout>
                  <c:x val="0"/>
                  <c:y val="-3.2733224222585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86-4C43-97C6-25ED68045E00}"/>
                </c:ext>
              </c:extLst>
            </c:dLbl>
            <c:dLbl>
              <c:idx val="7"/>
              <c:layout>
                <c:manualLayout>
                  <c:x val="1.9175455417066154E-3"/>
                  <c:y val="4.58265139116202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86-4C43-97C6-25ED68045E00}"/>
                </c:ext>
              </c:extLst>
            </c:dLbl>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by M and Sale Type'!$A$3:$A$15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'Profit by M and Sale Type'!$B$3:$B$15</c:f>
              <c:numCache>
                <c:formatCode>#,##0.00</c:formatCode>
                <c:ptCount val="12"/>
                <c:pt idx="0">
                  <c:v>3319.7399999999943</c:v>
                </c:pt>
                <c:pt idx="1">
                  <c:v>2489.6800000000003</c:v>
                </c:pt>
                <c:pt idx="2">
                  <c:v>2531.119999999999</c:v>
                </c:pt>
                <c:pt idx="3">
                  <c:v>3947.84</c:v>
                </c:pt>
                <c:pt idx="4">
                  <c:v>1788.4799999999996</c:v>
                </c:pt>
                <c:pt idx="5">
                  <c:v>2791.4300000000003</c:v>
                </c:pt>
                <c:pt idx="6">
                  <c:v>3165.4799999999959</c:v>
                </c:pt>
                <c:pt idx="7">
                  <c:v>3453.8799999999974</c:v>
                </c:pt>
                <c:pt idx="8">
                  <c:v>4209.8600000000006</c:v>
                </c:pt>
                <c:pt idx="9">
                  <c:v>2329.9900000000016</c:v>
                </c:pt>
                <c:pt idx="10">
                  <c:v>3817.8700000000026</c:v>
                </c:pt>
                <c:pt idx="11">
                  <c:v>2384.7800000000025</c:v>
                </c:pt>
              </c:numCache>
            </c:numRef>
          </c:val>
          <c:extLst>
            <c:ext xmlns:c16="http://schemas.microsoft.com/office/drawing/2014/chart" uri="{C3380CC4-5D6E-409C-BE32-E72D297353CC}">
              <c16:uniqueId val="{00000006-C886-4C43-97C6-25ED68045E00}"/>
            </c:ext>
          </c:extLst>
        </c:ser>
        <c:ser>
          <c:idx val="1"/>
          <c:order val="1"/>
          <c:tx>
            <c:strRef>
              <c:f>'Profit by M and Sale Type'!$C$1:$C$2</c:f>
              <c:strCache>
                <c:ptCount val="1"/>
                <c:pt idx="0">
                  <c:v>Online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by M and Sale Type'!$A$3:$A$15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'Profit by M and Sale Type'!$C$3:$C$15</c:f>
              <c:numCache>
                <c:formatCode>#,##0.00</c:formatCode>
                <c:ptCount val="12"/>
                <c:pt idx="0">
                  <c:v>2778.3899999999994</c:v>
                </c:pt>
                <c:pt idx="1">
                  <c:v>2699.970000000003</c:v>
                </c:pt>
                <c:pt idx="2">
                  <c:v>1617.75</c:v>
                </c:pt>
                <c:pt idx="3">
                  <c:v>1085.6099999999988</c:v>
                </c:pt>
                <c:pt idx="4">
                  <c:v>1685.7299999999996</c:v>
                </c:pt>
                <c:pt idx="5">
                  <c:v>1065.6099999999997</c:v>
                </c:pt>
                <c:pt idx="6">
                  <c:v>1713.3099999999995</c:v>
                </c:pt>
                <c:pt idx="7">
                  <c:v>1009.4700000000012</c:v>
                </c:pt>
                <c:pt idx="8">
                  <c:v>1574.3599999999997</c:v>
                </c:pt>
                <c:pt idx="9">
                  <c:v>3195.2599999999984</c:v>
                </c:pt>
                <c:pt idx="10">
                  <c:v>1529.2299999999996</c:v>
                </c:pt>
                <c:pt idx="11">
                  <c:v>2166.1800000000003</c:v>
                </c:pt>
              </c:numCache>
            </c:numRef>
          </c:val>
          <c:extLst>
            <c:ext xmlns:c16="http://schemas.microsoft.com/office/drawing/2014/chart" uri="{C3380CC4-5D6E-409C-BE32-E72D297353CC}">
              <c16:uniqueId val="{00000007-C886-4C43-97C6-25ED68045E00}"/>
            </c:ext>
          </c:extLst>
        </c:ser>
        <c:ser>
          <c:idx val="2"/>
          <c:order val="2"/>
          <c:tx>
            <c:strRef>
              <c:f>'Profit by M and Sale Type'!$D$1:$D$2</c:f>
              <c:strCache>
                <c:ptCount val="1"/>
                <c:pt idx="0">
                  <c:v>Wholesaler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bg1">
                  <a:lumMod val="6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by M and Sale Type'!$A$3:$A$15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'Profit by M and Sale Type'!$D$3:$D$15</c:f>
              <c:numCache>
                <c:formatCode>#,##0.00</c:formatCode>
                <c:ptCount val="12"/>
                <c:pt idx="0">
                  <c:v>958.82999999999902</c:v>
                </c:pt>
                <c:pt idx="1">
                  <c:v>326.65000000000009</c:v>
                </c:pt>
                <c:pt idx="2">
                  <c:v>1030.7800000000007</c:v>
                </c:pt>
                <c:pt idx="3">
                  <c:v>263.66000000000008</c:v>
                </c:pt>
                <c:pt idx="4">
                  <c:v>910.23999999999978</c:v>
                </c:pt>
                <c:pt idx="5">
                  <c:v>1797.67</c:v>
                </c:pt>
                <c:pt idx="6">
                  <c:v>495</c:v>
                </c:pt>
                <c:pt idx="7">
                  <c:v>1056.0500000000002</c:v>
                </c:pt>
                <c:pt idx="8">
                  <c:v>700.59000000000015</c:v>
                </c:pt>
                <c:pt idx="9">
                  <c:v>133.44000000000005</c:v>
                </c:pt>
                <c:pt idx="10">
                  <c:v>1470.9700000000003</c:v>
                </c:pt>
                <c:pt idx="11">
                  <c:v>1413.0200000000004</c:v>
                </c:pt>
              </c:numCache>
            </c:numRef>
          </c:val>
          <c:extLst>
            <c:ext xmlns:c16="http://schemas.microsoft.com/office/drawing/2014/chart" uri="{C3380CC4-5D6E-409C-BE32-E72D297353CC}">
              <c16:uniqueId val="{00000008-C886-4C43-97C6-25ED68045E00}"/>
            </c:ext>
          </c:extLst>
        </c:ser>
        <c:dLbls>
          <c:showLegendKey val="0"/>
          <c:showVal val="0"/>
          <c:showCatName val="0"/>
          <c:showSerName val="0"/>
          <c:showPercent val="0"/>
          <c:showBubbleSize val="0"/>
        </c:dLbls>
        <c:gapWidth val="150"/>
        <c:overlap val="100"/>
        <c:axId val="266651151"/>
        <c:axId val="266660751"/>
      </c:barChart>
      <c:catAx>
        <c:axId val="266651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266660751"/>
        <c:crosses val="autoZero"/>
        <c:auto val="1"/>
        <c:lblAlgn val="ctr"/>
        <c:lblOffset val="100"/>
        <c:noMultiLvlLbl val="0"/>
      </c:catAx>
      <c:valAx>
        <c:axId val="26666075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2666511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DASHBOARD.xlsx]Profit Online VS Cash by Months!PivotTable3</c:name>
    <c:fmtId val="4"/>
  </c:pivotSource>
  <c:chart>
    <c:autoTitleDeleted val="0"/>
    <c:pivotFmts>
      <c:pivotFmt>
        <c:idx val="0"/>
        <c:spPr>
          <a:solidFill>
            <a:srgbClr val="31F736"/>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2.270147559591363E-3"/>
              <c:y val="-2.3032629558541337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2.2701475595913317E-3"/>
              <c:y val="3.0710172744721619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4.5402951191827468E-3"/>
              <c:y val="-5.3742802303263025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0"/>
              <c:y val="-8.829174664107492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8.3237782281719811E-17"/>
              <c:y val="4.2226487523992322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2.2701475595914566E-3"/>
              <c:y val="-3.4548944337811902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2.2701475595913734E-3"/>
              <c:y val="6.5259117082533583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8.3237782281719811E-17"/>
              <c:y val="-2.6871401151631478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1F736"/>
          </a:solidFill>
          <a:ln>
            <a:noFill/>
          </a:ln>
          <a:effectLst>
            <a:outerShdw blurRad="57150" dist="19050" dir="5400000" algn="ctr" rotWithShape="0">
              <a:srgbClr val="000000">
                <a:alpha val="63000"/>
              </a:srgbClr>
            </a:outerShdw>
          </a:effectLst>
        </c:spPr>
        <c:dLbl>
          <c:idx val="0"/>
          <c:layout>
            <c:manualLayout>
              <c:x val="2.270147559591363E-3"/>
              <c:y val="2.6871401151631336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1F736"/>
          </a:solidFill>
          <a:ln>
            <a:noFill/>
          </a:ln>
          <a:effectLst>
            <a:outerShdw blurRad="57150" dist="19050" dir="5400000" algn="ctr" rotWithShape="0">
              <a:srgbClr val="000000">
                <a:alpha val="63000"/>
              </a:srgbClr>
            </a:outerShdw>
          </a:effectLst>
        </c:spPr>
        <c:dLbl>
          <c:idx val="0"/>
          <c:layout>
            <c:manualLayout>
              <c:x val="2.2701475595913734E-3"/>
              <c:y val="-3.4548944337811902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1F736"/>
          </a:solidFill>
          <a:ln>
            <a:noFill/>
          </a:ln>
          <a:effectLst>
            <a:outerShdw blurRad="57150" dist="19050" dir="5400000" algn="ctr" rotWithShape="0">
              <a:srgbClr val="000000">
                <a:alpha val="63000"/>
              </a:srgbClr>
            </a:outerShdw>
          </a:effectLst>
        </c:spPr>
        <c:dLbl>
          <c:idx val="0"/>
          <c:layout>
            <c:manualLayout>
              <c:x val="0"/>
              <c:y val="3.8387715930901969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1F736"/>
          </a:solidFill>
          <a:ln>
            <a:noFill/>
          </a:ln>
          <a:effectLst>
            <a:outerShdw blurRad="57150" dist="19050" dir="5400000" algn="ctr" rotWithShape="0">
              <a:srgbClr val="000000">
                <a:alpha val="63000"/>
              </a:srgbClr>
            </a:outerShdw>
          </a:effectLst>
        </c:spPr>
        <c:dLbl>
          <c:idx val="0"/>
          <c:layout>
            <c:manualLayout>
              <c:x val="2.2701475595913317E-3"/>
              <c:y val="-3.0710172744721688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1F736"/>
          </a:solidFill>
          <a:ln>
            <a:noFill/>
          </a:ln>
          <a:effectLst>
            <a:outerShdw blurRad="57150" dist="19050" dir="5400000" algn="ctr" rotWithShape="0">
              <a:srgbClr val="000000">
                <a:alpha val="63000"/>
              </a:srgbClr>
            </a:outerShdw>
          </a:effectLst>
        </c:spPr>
        <c:dLbl>
          <c:idx val="0"/>
          <c:layout>
            <c:manualLayout>
              <c:x val="-4.1618891140859906E-17"/>
              <c:y val="3.0710172744721688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1F736"/>
          </a:solidFill>
          <a:ln>
            <a:noFill/>
          </a:ln>
          <a:effectLst>
            <a:outerShdw blurRad="57150" dist="19050" dir="5400000" algn="ctr" rotWithShape="0">
              <a:srgbClr val="000000">
                <a:alpha val="63000"/>
              </a:srgbClr>
            </a:outerShdw>
          </a:effectLst>
        </c:spPr>
        <c:dLbl>
          <c:idx val="0"/>
          <c:layout>
            <c:manualLayout>
              <c:x val="-8.3237782281719811E-17"/>
              <c:y val="8.829174664107485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31F736"/>
          </a:solidFill>
          <a:ln>
            <a:noFill/>
          </a:ln>
          <a:effectLst>
            <a:outerShdw blurRad="57150" dist="19050" dir="5400000" algn="ctr" rotWithShape="0">
              <a:srgbClr val="000000">
                <a:alpha val="63000"/>
              </a:srgbClr>
            </a:outerShdw>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31F736"/>
          </a:solidFill>
          <a:ln>
            <a:noFill/>
          </a:ln>
          <a:effectLst>
            <a:outerShdw blurRad="57150" dist="19050" dir="5400000" algn="ctr" rotWithShape="0">
              <a:srgbClr val="000000">
                <a:alpha val="63000"/>
              </a:srgbClr>
            </a:outerShdw>
          </a:effectLst>
        </c:spPr>
        <c:dLbl>
          <c:idx val="0"/>
          <c:layout>
            <c:manualLayout>
              <c:x val="2.270147559591363E-3"/>
              <c:y val="2.6871401151631336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31F736"/>
          </a:solidFill>
          <a:ln>
            <a:noFill/>
          </a:ln>
          <a:effectLst>
            <a:outerShdw blurRad="57150" dist="19050" dir="5400000" algn="ctr" rotWithShape="0">
              <a:srgbClr val="000000">
                <a:alpha val="63000"/>
              </a:srgbClr>
            </a:outerShdw>
          </a:effectLst>
        </c:spPr>
        <c:dLbl>
          <c:idx val="0"/>
          <c:layout>
            <c:manualLayout>
              <c:x val="2.2701475595913734E-3"/>
              <c:y val="-3.4548944337811902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31F736"/>
          </a:solidFill>
          <a:ln>
            <a:noFill/>
          </a:ln>
          <a:effectLst>
            <a:outerShdw blurRad="57150" dist="19050" dir="5400000" algn="ctr" rotWithShape="0">
              <a:srgbClr val="000000">
                <a:alpha val="63000"/>
              </a:srgbClr>
            </a:outerShdw>
          </a:effectLst>
        </c:spPr>
        <c:dLbl>
          <c:idx val="0"/>
          <c:layout>
            <c:manualLayout>
              <c:x val="0"/>
              <c:y val="3.8387715930901969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31F736"/>
          </a:solidFill>
          <a:ln>
            <a:noFill/>
          </a:ln>
          <a:effectLst>
            <a:outerShdw blurRad="57150" dist="19050" dir="5400000" algn="ctr" rotWithShape="0">
              <a:srgbClr val="000000">
                <a:alpha val="63000"/>
              </a:srgbClr>
            </a:outerShdw>
          </a:effectLst>
        </c:spPr>
        <c:dLbl>
          <c:idx val="0"/>
          <c:layout>
            <c:manualLayout>
              <c:x val="2.2701475595913317E-3"/>
              <c:y val="-3.0710172744721688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31F736"/>
          </a:solidFill>
          <a:ln>
            <a:noFill/>
          </a:ln>
          <a:effectLst>
            <a:outerShdw blurRad="57150" dist="19050" dir="5400000" algn="ctr" rotWithShape="0">
              <a:srgbClr val="000000">
                <a:alpha val="63000"/>
              </a:srgbClr>
            </a:outerShdw>
          </a:effectLst>
        </c:spPr>
        <c:dLbl>
          <c:idx val="0"/>
          <c:layout>
            <c:manualLayout>
              <c:x val="-4.1618891140859906E-17"/>
              <c:y val="3.0710172744721688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31F736"/>
          </a:solidFill>
          <a:ln>
            <a:noFill/>
          </a:ln>
          <a:effectLst>
            <a:outerShdw blurRad="57150" dist="19050" dir="5400000" algn="ctr" rotWithShape="0">
              <a:srgbClr val="000000">
                <a:alpha val="63000"/>
              </a:srgbClr>
            </a:outerShdw>
          </a:effectLst>
        </c:spPr>
        <c:dLbl>
          <c:idx val="0"/>
          <c:layout>
            <c:manualLayout>
              <c:x val="-8.3237782281719811E-17"/>
              <c:y val="8.829174664107485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2.270147559591363E-3"/>
              <c:y val="-2.3032629558541337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2.2701475595913317E-3"/>
              <c:y val="3.0710172744721619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4.5402951191827468E-3"/>
              <c:y val="-5.3742802303263025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0"/>
              <c:y val="-8.829174664107492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8.3237782281719811E-17"/>
              <c:y val="4.2226487523992322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2.2701475595914566E-3"/>
              <c:y val="-3.4548944337811902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2.2701475595913734E-3"/>
              <c:y val="6.5259117082533583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8.3237782281719811E-17"/>
              <c:y val="-2.6871401151631478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31F736"/>
          </a:solidFill>
          <a:ln>
            <a:noFill/>
          </a:ln>
          <a:effectLst>
            <a:outerShdw blurRad="57150" dist="19050" dir="5400000" algn="ctr" rotWithShape="0">
              <a:srgbClr val="000000">
                <a:alpha val="63000"/>
              </a:srgbClr>
            </a:outerShdw>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31F736"/>
          </a:solidFill>
          <a:ln>
            <a:noFill/>
          </a:ln>
          <a:effectLst>
            <a:outerShdw blurRad="57150" dist="19050" dir="5400000" algn="ctr" rotWithShape="0">
              <a:srgbClr val="000000">
                <a:alpha val="63000"/>
              </a:srgbClr>
            </a:outerShdw>
          </a:effectLst>
        </c:spPr>
        <c:dLbl>
          <c:idx val="0"/>
          <c:layout>
            <c:manualLayout>
              <c:x val="2.270147559591363E-3"/>
              <c:y val="2.6871401151631336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31F736"/>
          </a:solidFill>
          <a:ln>
            <a:noFill/>
          </a:ln>
          <a:effectLst>
            <a:outerShdw blurRad="57150" dist="19050" dir="5400000" algn="ctr" rotWithShape="0">
              <a:srgbClr val="000000">
                <a:alpha val="63000"/>
              </a:srgbClr>
            </a:outerShdw>
          </a:effectLst>
        </c:spPr>
        <c:dLbl>
          <c:idx val="0"/>
          <c:layout>
            <c:manualLayout>
              <c:x val="2.2701475595913734E-3"/>
              <c:y val="-3.4548944337811902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31F736"/>
          </a:solidFill>
          <a:ln>
            <a:noFill/>
          </a:ln>
          <a:effectLst>
            <a:outerShdw blurRad="57150" dist="19050" dir="5400000" algn="ctr" rotWithShape="0">
              <a:srgbClr val="000000">
                <a:alpha val="63000"/>
              </a:srgbClr>
            </a:outerShdw>
          </a:effectLst>
        </c:spPr>
        <c:dLbl>
          <c:idx val="0"/>
          <c:layout>
            <c:manualLayout>
              <c:x val="0"/>
              <c:y val="3.8387715930901969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31F736"/>
          </a:solidFill>
          <a:ln>
            <a:noFill/>
          </a:ln>
          <a:effectLst>
            <a:outerShdw blurRad="57150" dist="19050" dir="5400000" algn="ctr" rotWithShape="0">
              <a:srgbClr val="000000">
                <a:alpha val="63000"/>
              </a:srgbClr>
            </a:outerShdw>
          </a:effectLst>
        </c:spPr>
        <c:dLbl>
          <c:idx val="0"/>
          <c:layout>
            <c:manualLayout>
              <c:x val="2.2701475595913317E-3"/>
              <c:y val="-3.0710172744721688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31F736"/>
          </a:solidFill>
          <a:ln>
            <a:noFill/>
          </a:ln>
          <a:effectLst>
            <a:outerShdw blurRad="57150" dist="19050" dir="5400000" algn="ctr" rotWithShape="0">
              <a:srgbClr val="000000">
                <a:alpha val="63000"/>
              </a:srgbClr>
            </a:outerShdw>
          </a:effectLst>
        </c:spPr>
        <c:dLbl>
          <c:idx val="0"/>
          <c:layout>
            <c:manualLayout>
              <c:x val="-4.1618891140859906E-17"/>
              <c:y val="3.0710172744721688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31F736"/>
          </a:solidFill>
          <a:ln>
            <a:noFill/>
          </a:ln>
          <a:effectLst>
            <a:outerShdw blurRad="57150" dist="19050" dir="5400000" algn="ctr" rotWithShape="0">
              <a:srgbClr val="000000">
                <a:alpha val="63000"/>
              </a:srgbClr>
            </a:outerShdw>
          </a:effectLst>
        </c:spPr>
        <c:dLbl>
          <c:idx val="0"/>
          <c:layout>
            <c:manualLayout>
              <c:x val="-8.3237782281719811E-17"/>
              <c:y val="8.829174664107485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2.270147559591363E-3"/>
              <c:y val="-2.3032629558541337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2.2701475595913317E-3"/>
              <c:y val="3.0710172744721619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4.5402951191827468E-3"/>
              <c:y val="-5.3742802303263025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0"/>
              <c:y val="-8.829174664107492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8.3237782281719811E-17"/>
              <c:y val="4.2226487523992322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2.2701475595914566E-3"/>
              <c:y val="-3.4548944337811902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2.2701475595913734E-3"/>
              <c:y val="6.5259117082533583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8.3237782281719811E-17"/>
              <c:y val="-2.6871401151631478E-2"/>
            </c:manualLayout>
          </c:layout>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Online VS Cash by Months'!$B$1:$B$2</c:f>
              <c:strCache>
                <c:ptCount val="1"/>
                <c:pt idx="0">
                  <c:v>Cash</c:v>
                </c:pt>
              </c:strCache>
            </c:strRef>
          </c:tx>
          <c:spPr>
            <a:solidFill>
              <a:srgbClr val="31F736"/>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4F0E-4EE7-A294-404FF06B6EA7}"/>
              </c:ext>
            </c:extLst>
          </c:dPt>
          <c:dPt>
            <c:idx val="1"/>
            <c:invertIfNegative val="0"/>
            <c:bubble3D val="0"/>
            <c:extLst>
              <c:ext xmlns:c16="http://schemas.microsoft.com/office/drawing/2014/chart" uri="{C3380CC4-5D6E-409C-BE32-E72D297353CC}">
                <c16:uniqueId val="{00000001-4F0E-4EE7-A294-404FF06B6EA7}"/>
              </c:ext>
            </c:extLst>
          </c:dPt>
          <c:dPt>
            <c:idx val="2"/>
            <c:invertIfNegative val="0"/>
            <c:bubble3D val="0"/>
            <c:extLst>
              <c:ext xmlns:c16="http://schemas.microsoft.com/office/drawing/2014/chart" uri="{C3380CC4-5D6E-409C-BE32-E72D297353CC}">
                <c16:uniqueId val="{00000002-4F0E-4EE7-A294-404FF06B6EA7}"/>
              </c:ext>
            </c:extLst>
          </c:dPt>
          <c:dPt>
            <c:idx val="3"/>
            <c:invertIfNegative val="0"/>
            <c:bubble3D val="0"/>
            <c:extLst>
              <c:ext xmlns:c16="http://schemas.microsoft.com/office/drawing/2014/chart" uri="{C3380CC4-5D6E-409C-BE32-E72D297353CC}">
                <c16:uniqueId val="{00000003-4F0E-4EE7-A294-404FF06B6EA7}"/>
              </c:ext>
            </c:extLst>
          </c:dPt>
          <c:dPt>
            <c:idx val="4"/>
            <c:invertIfNegative val="0"/>
            <c:bubble3D val="0"/>
            <c:extLst>
              <c:ext xmlns:c16="http://schemas.microsoft.com/office/drawing/2014/chart" uri="{C3380CC4-5D6E-409C-BE32-E72D297353CC}">
                <c16:uniqueId val="{00000004-4F0E-4EE7-A294-404FF06B6EA7}"/>
              </c:ext>
            </c:extLst>
          </c:dPt>
          <c:dPt>
            <c:idx val="6"/>
            <c:invertIfNegative val="0"/>
            <c:bubble3D val="0"/>
            <c:extLst>
              <c:ext xmlns:c16="http://schemas.microsoft.com/office/drawing/2014/chart" uri="{C3380CC4-5D6E-409C-BE32-E72D297353CC}">
                <c16:uniqueId val="{00000005-4F0E-4EE7-A294-404FF06B6EA7}"/>
              </c:ext>
            </c:extLst>
          </c:dPt>
          <c:dLbls>
            <c:dLbl>
              <c:idx val="0"/>
              <c:layout>
                <c:manualLayout>
                  <c:x val="2.270147559591363E-3"/>
                  <c:y val="2.6871401151631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F0E-4EE7-A294-404FF06B6EA7}"/>
                </c:ext>
              </c:extLst>
            </c:dLbl>
            <c:dLbl>
              <c:idx val="1"/>
              <c:layout>
                <c:manualLayout>
                  <c:x val="2.2701475595913734E-3"/>
                  <c:y val="-3.45489443378119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0E-4EE7-A294-404FF06B6EA7}"/>
                </c:ext>
              </c:extLst>
            </c:dLbl>
            <c:dLbl>
              <c:idx val="2"/>
              <c:layout>
                <c:manualLayout>
                  <c:x val="0"/>
                  <c:y val="3.83877159309019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0E-4EE7-A294-404FF06B6EA7}"/>
                </c:ext>
              </c:extLst>
            </c:dLbl>
            <c:dLbl>
              <c:idx val="3"/>
              <c:layout>
                <c:manualLayout>
                  <c:x val="2.2701475595913317E-3"/>
                  <c:y val="-3.07101727447216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0E-4EE7-A294-404FF06B6EA7}"/>
                </c:ext>
              </c:extLst>
            </c:dLbl>
            <c:dLbl>
              <c:idx val="4"/>
              <c:layout>
                <c:manualLayout>
                  <c:x val="-4.1618891140859906E-17"/>
                  <c:y val="3.07101727447216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0E-4EE7-A294-404FF06B6EA7}"/>
                </c:ext>
              </c:extLst>
            </c:dLbl>
            <c:dLbl>
              <c:idx val="6"/>
              <c:layout>
                <c:manualLayout>
                  <c:x val="-8.3237782281719811E-17"/>
                  <c:y val="8.8291746641074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F0E-4EE7-A294-404FF06B6EA7}"/>
                </c:ext>
              </c:extLst>
            </c:dLbl>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Online VS Cash by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'Profit Online VS Cash by Months'!$B$3:$B$15</c:f>
              <c:numCache>
                <c:formatCode>#,##0.00</c:formatCode>
                <c:ptCount val="12"/>
                <c:pt idx="0">
                  <c:v>3130.8099999999977</c:v>
                </c:pt>
                <c:pt idx="1">
                  <c:v>3633.5</c:v>
                </c:pt>
                <c:pt idx="2">
                  <c:v>2532.010000000002</c:v>
                </c:pt>
                <c:pt idx="3">
                  <c:v>2741.4300000000003</c:v>
                </c:pt>
                <c:pt idx="4">
                  <c:v>2218.0600000000013</c:v>
                </c:pt>
                <c:pt idx="5">
                  <c:v>2904.3799999999974</c:v>
                </c:pt>
                <c:pt idx="6">
                  <c:v>3441.6399999999994</c:v>
                </c:pt>
                <c:pt idx="7">
                  <c:v>3458.8799999999974</c:v>
                </c:pt>
                <c:pt idx="8">
                  <c:v>1519.7399999999998</c:v>
                </c:pt>
                <c:pt idx="9">
                  <c:v>2607.16</c:v>
                </c:pt>
                <c:pt idx="10">
                  <c:v>4255.6799999999967</c:v>
                </c:pt>
                <c:pt idx="11">
                  <c:v>2677.6100000000024</c:v>
                </c:pt>
              </c:numCache>
            </c:numRef>
          </c:val>
          <c:extLst>
            <c:ext xmlns:c16="http://schemas.microsoft.com/office/drawing/2014/chart" uri="{C3380CC4-5D6E-409C-BE32-E72D297353CC}">
              <c16:uniqueId val="{00000006-4F0E-4EE7-A294-404FF06B6EA7}"/>
            </c:ext>
          </c:extLst>
        </c:ser>
        <c:ser>
          <c:idx val="1"/>
          <c:order val="1"/>
          <c:tx>
            <c:strRef>
              <c:f>'Profit Online VS Cash by Months'!$C$1:$C$2</c:f>
              <c:strCache>
                <c:ptCount val="1"/>
                <c:pt idx="0">
                  <c:v>Online</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7-4F0E-4EE7-A294-404FF06B6EA7}"/>
              </c:ext>
            </c:extLst>
          </c:dPt>
          <c:dPt>
            <c:idx val="2"/>
            <c:invertIfNegative val="0"/>
            <c:bubble3D val="0"/>
            <c:extLst>
              <c:ext xmlns:c16="http://schemas.microsoft.com/office/drawing/2014/chart" uri="{C3380CC4-5D6E-409C-BE32-E72D297353CC}">
                <c16:uniqueId val="{00000008-4F0E-4EE7-A294-404FF06B6EA7}"/>
              </c:ext>
            </c:extLst>
          </c:dPt>
          <c:dPt>
            <c:idx val="3"/>
            <c:invertIfNegative val="0"/>
            <c:bubble3D val="0"/>
            <c:extLst>
              <c:ext xmlns:c16="http://schemas.microsoft.com/office/drawing/2014/chart" uri="{C3380CC4-5D6E-409C-BE32-E72D297353CC}">
                <c16:uniqueId val="{00000009-4F0E-4EE7-A294-404FF06B6EA7}"/>
              </c:ext>
            </c:extLst>
          </c:dPt>
          <c:dPt>
            <c:idx val="5"/>
            <c:invertIfNegative val="0"/>
            <c:bubble3D val="0"/>
            <c:extLst>
              <c:ext xmlns:c16="http://schemas.microsoft.com/office/drawing/2014/chart" uri="{C3380CC4-5D6E-409C-BE32-E72D297353CC}">
                <c16:uniqueId val="{0000000A-4F0E-4EE7-A294-404FF06B6EA7}"/>
              </c:ext>
            </c:extLst>
          </c:dPt>
          <c:dPt>
            <c:idx val="6"/>
            <c:invertIfNegative val="0"/>
            <c:bubble3D val="0"/>
            <c:extLst>
              <c:ext xmlns:c16="http://schemas.microsoft.com/office/drawing/2014/chart" uri="{C3380CC4-5D6E-409C-BE32-E72D297353CC}">
                <c16:uniqueId val="{0000000B-4F0E-4EE7-A294-404FF06B6EA7}"/>
              </c:ext>
            </c:extLst>
          </c:dPt>
          <c:dPt>
            <c:idx val="7"/>
            <c:invertIfNegative val="0"/>
            <c:bubble3D val="0"/>
            <c:extLst>
              <c:ext xmlns:c16="http://schemas.microsoft.com/office/drawing/2014/chart" uri="{C3380CC4-5D6E-409C-BE32-E72D297353CC}">
                <c16:uniqueId val="{0000000C-4F0E-4EE7-A294-404FF06B6EA7}"/>
              </c:ext>
            </c:extLst>
          </c:dPt>
          <c:dPt>
            <c:idx val="8"/>
            <c:invertIfNegative val="0"/>
            <c:bubble3D val="0"/>
            <c:extLst>
              <c:ext xmlns:c16="http://schemas.microsoft.com/office/drawing/2014/chart" uri="{C3380CC4-5D6E-409C-BE32-E72D297353CC}">
                <c16:uniqueId val="{0000000D-4F0E-4EE7-A294-404FF06B6EA7}"/>
              </c:ext>
            </c:extLst>
          </c:dPt>
          <c:dPt>
            <c:idx val="9"/>
            <c:invertIfNegative val="0"/>
            <c:bubble3D val="0"/>
            <c:extLst>
              <c:ext xmlns:c16="http://schemas.microsoft.com/office/drawing/2014/chart" uri="{C3380CC4-5D6E-409C-BE32-E72D297353CC}">
                <c16:uniqueId val="{0000000E-4F0E-4EE7-A294-404FF06B6EA7}"/>
              </c:ext>
            </c:extLst>
          </c:dPt>
          <c:dLbls>
            <c:dLbl>
              <c:idx val="0"/>
              <c:layout>
                <c:manualLayout>
                  <c:x val="2.270147559591363E-3"/>
                  <c:y val="-2.3032629558541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F0E-4EE7-A294-404FF06B6EA7}"/>
                </c:ext>
              </c:extLst>
            </c:dLbl>
            <c:dLbl>
              <c:idx val="2"/>
              <c:layout>
                <c:manualLayout>
                  <c:x val="2.2701475595913317E-3"/>
                  <c:y val="3.07101727447216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F0E-4EE7-A294-404FF06B6EA7}"/>
                </c:ext>
              </c:extLst>
            </c:dLbl>
            <c:dLbl>
              <c:idx val="3"/>
              <c:layout>
                <c:manualLayout>
                  <c:x val="4.5402951191827468E-3"/>
                  <c:y val="-5.3742802303263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F0E-4EE7-A294-404FF06B6EA7}"/>
                </c:ext>
              </c:extLst>
            </c:dLbl>
            <c:dLbl>
              <c:idx val="5"/>
              <c:layout>
                <c:manualLayout>
                  <c:x val="0"/>
                  <c:y val="-8.829174664107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F0E-4EE7-A294-404FF06B6EA7}"/>
                </c:ext>
              </c:extLst>
            </c:dLbl>
            <c:dLbl>
              <c:idx val="6"/>
              <c:layout>
                <c:manualLayout>
                  <c:x val="-8.3237782281719811E-17"/>
                  <c:y val="4.2226487523992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F0E-4EE7-A294-404FF06B6EA7}"/>
                </c:ext>
              </c:extLst>
            </c:dLbl>
            <c:dLbl>
              <c:idx val="7"/>
              <c:layout>
                <c:manualLayout>
                  <c:x val="-2.2701475595914566E-3"/>
                  <c:y val="-3.45489443378119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F0E-4EE7-A294-404FF06B6EA7}"/>
                </c:ext>
              </c:extLst>
            </c:dLbl>
            <c:dLbl>
              <c:idx val="8"/>
              <c:layout>
                <c:manualLayout>
                  <c:x val="2.2701475595913734E-3"/>
                  <c:y val="6.52591170825335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F0E-4EE7-A294-404FF06B6EA7}"/>
                </c:ext>
              </c:extLst>
            </c:dLbl>
            <c:dLbl>
              <c:idx val="9"/>
              <c:layout>
                <c:manualLayout>
                  <c:x val="-8.3237782281719811E-17"/>
                  <c:y val="-2.6871401151631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F0E-4EE7-A294-404FF06B6EA7}"/>
                </c:ext>
              </c:extLst>
            </c:dLbl>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Online VS Cash by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'Profit Online VS Cash by Months'!$C$3:$C$15</c:f>
              <c:numCache>
                <c:formatCode>#,##0.00</c:formatCode>
                <c:ptCount val="12"/>
                <c:pt idx="0">
                  <c:v>3926.1500000000015</c:v>
                </c:pt>
                <c:pt idx="1">
                  <c:v>1882.7999999999993</c:v>
                </c:pt>
                <c:pt idx="2">
                  <c:v>2647.6400000000012</c:v>
                </c:pt>
                <c:pt idx="3">
                  <c:v>2555.6800000000003</c:v>
                </c:pt>
                <c:pt idx="4">
                  <c:v>2166.3900000000031</c:v>
                </c:pt>
                <c:pt idx="5">
                  <c:v>2750.33</c:v>
                </c:pt>
                <c:pt idx="6">
                  <c:v>1932.1500000000033</c:v>
                </c:pt>
                <c:pt idx="7">
                  <c:v>2060.5199999999968</c:v>
                </c:pt>
                <c:pt idx="8">
                  <c:v>4965.0699999999924</c:v>
                </c:pt>
                <c:pt idx="9">
                  <c:v>3051.5300000000061</c:v>
                </c:pt>
                <c:pt idx="10">
                  <c:v>2562.3899999999976</c:v>
                </c:pt>
                <c:pt idx="11">
                  <c:v>3286.3700000000063</c:v>
                </c:pt>
              </c:numCache>
            </c:numRef>
          </c:val>
          <c:extLst>
            <c:ext xmlns:c16="http://schemas.microsoft.com/office/drawing/2014/chart" uri="{C3380CC4-5D6E-409C-BE32-E72D297353CC}">
              <c16:uniqueId val="{0000000F-4F0E-4EE7-A294-404FF06B6EA7}"/>
            </c:ext>
          </c:extLst>
        </c:ser>
        <c:dLbls>
          <c:showLegendKey val="0"/>
          <c:showVal val="0"/>
          <c:showCatName val="0"/>
          <c:showSerName val="0"/>
          <c:showPercent val="0"/>
          <c:showBubbleSize val="0"/>
        </c:dLbls>
        <c:gapWidth val="150"/>
        <c:overlap val="100"/>
        <c:axId val="1002468319"/>
        <c:axId val="1002476479"/>
      </c:barChart>
      <c:catAx>
        <c:axId val="1002468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002476479"/>
        <c:crosses val="autoZero"/>
        <c:auto val="1"/>
        <c:lblAlgn val="ctr"/>
        <c:lblOffset val="100"/>
        <c:noMultiLvlLbl val="0"/>
      </c:catAx>
      <c:valAx>
        <c:axId val="100247647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0024683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DASHBOARD.xlsx]SalesYoY!PivotTable1</c:name>
    <c:fmtId val="0"/>
  </c:pivotSource>
  <c:chart>
    <c:autoTitleDeleted val="0"/>
    <c:pivotFmts>
      <c:pivotFmt>
        <c:idx val="0"/>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3"/>
        <c:spPr>
          <a:ln w="34925" cap="rnd">
            <a:solidFill>
              <a:srgbClr val="FFFF00"/>
            </a:solidFill>
            <a:round/>
          </a:ln>
          <a:effectLst>
            <a:outerShdw blurRad="57150" dist="19050" dir="5400000" algn="ctr" rotWithShape="0">
              <a:srgbClr val="000000">
                <a:alpha val="63000"/>
              </a:srgbClr>
            </a:outerShdw>
          </a:effectLst>
        </c:spPr>
        <c:marker>
          <c:symbol val="none"/>
        </c:marker>
        <c:dLbl>
          <c:idx val="0"/>
          <c:spPr>
            <a:solidFill>
              <a:schemeClr val="tx1">
                <a:lumMod val="95000"/>
                <a:lumOff val="5000"/>
              </a:schemeClr>
            </a:solidFill>
            <a:ln>
              <a:noFill/>
            </a:ln>
            <a:effectLst>
              <a:glow>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SalesYoY!$B$1</c:f>
              <c:strCache>
                <c:ptCount val="1"/>
                <c:pt idx="0">
                  <c:v>TotalSalesLY</c:v>
                </c:pt>
              </c:strCache>
            </c:strRef>
          </c:tx>
          <c:spPr>
            <a:solidFill>
              <a:schemeClr val="accent4">
                <a:lumMod val="20000"/>
                <a:lumOff val="80000"/>
              </a:schemeClr>
            </a:solidFill>
            <a:ln>
              <a:noFill/>
            </a:ln>
            <a:effectLst>
              <a:outerShdw blurRad="57150" dist="19050" dir="5400000" algn="ctr" rotWithShape="0">
                <a:srgbClr val="000000">
                  <a:alpha val="63000"/>
                </a:srgbClr>
              </a:outerShdw>
            </a:effectLst>
          </c:spPr>
          <c:invertIfNegative val="0"/>
          <c:cat>
            <c:multiLvlStrRef>
              <c:f>SalesYoY!$A$2:$A$28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SalesYoY!$B$2:$B$28</c:f>
              <c:numCache>
                <c:formatCode>#,##0.00</c:formatCode>
                <c:ptCount val="24"/>
                <c:pt idx="12">
                  <c:v>17765.34</c:v>
                </c:pt>
                <c:pt idx="13">
                  <c:v>12598.569999999998</c:v>
                </c:pt>
                <c:pt idx="14">
                  <c:v>16419.79</c:v>
                </c:pt>
                <c:pt idx="15">
                  <c:v>15252.43</c:v>
                </c:pt>
                <c:pt idx="16">
                  <c:v>7957.4600000000009</c:v>
                </c:pt>
                <c:pt idx="17">
                  <c:v>16442.170000000002</c:v>
                </c:pt>
                <c:pt idx="18">
                  <c:v>19054.62</c:v>
                </c:pt>
                <c:pt idx="19">
                  <c:v>14155.349999999999</c:v>
                </c:pt>
                <c:pt idx="20">
                  <c:v>18853.82</c:v>
                </c:pt>
                <c:pt idx="21">
                  <c:v>20453.900000000005</c:v>
                </c:pt>
                <c:pt idx="22">
                  <c:v>9702.4</c:v>
                </c:pt>
                <c:pt idx="23">
                  <c:v>18628.47</c:v>
                </c:pt>
              </c:numCache>
            </c:numRef>
          </c:val>
          <c:extLst>
            <c:ext xmlns:c16="http://schemas.microsoft.com/office/drawing/2014/chart" uri="{C3380CC4-5D6E-409C-BE32-E72D297353CC}">
              <c16:uniqueId val="{00000000-2F73-42ED-990F-00C5F799E72F}"/>
            </c:ext>
          </c:extLst>
        </c:ser>
        <c:ser>
          <c:idx val="1"/>
          <c:order val="1"/>
          <c:tx>
            <c:strRef>
              <c:f>SalesYoY!$C$1</c:f>
              <c:strCache>
                <c:ptCount val="1"/>
                <c:pt idx="0">
                  <c:v>RunningTotalSales</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Pt>
            <c:idx val="15"/>
            <c:invertIfNegative val="0"/>
            <c:bubble3D val="0"/>
            <c:extLst>
              <c:ext xmlns:c16="http://schemas.microsoft.com/office/drawing/2014/chart" uri="{C3380CC4-5D6E-409C-BE32-E72D297353CC}">
                <c16:uniqueId val="{00000000-F5C2-41F6-B1F9-0A1BA83354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SalesYoY!$A$2:$A$28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SalesYoY!$C$2:$C$28</c:f>
              <c:numCache>
                <c:formatCode>#,##0.00</c:formatCode>
                <c:ptCount val="24"/>
                <c:pt idx="0">
                  <c:v>17765.339999999997</c:v>
                </c:pt>
                <c:pt idx="1">
                  <c:v>12598.570000000002</c:v>
                </c:pt>
                <c:pt idx="2">
                  <c:v>16419.79</c:v>
                </c:pt>
                <c:pt idx="3">
                  <c:v>15252.430000000002</c:v>
                </c:pt>
                <c:pt idx="4">
                  <c:v>7957.4600000000009</c:v>
                </c:pt>
                <c:pt idx="5">
                  <c:v>16442.169999999998</c:v>
                </c:pt>
                <c:pt idx="6">
                  <c:v>19054.619999999995</c:v>
                </c:pt>
                <c:pt idx="7">
                  <c:v>14155.35</c:v>
                </c:pt>
                <c:pt idx="8">
                  <c:v>18853.819999999996</c:v>
                </c:pt>
                <c:pt idx="9">
                  <c:v>20453.900000000005</c:v>
                </c:pt>
                <c:pt idx="10">
                  <c:v>9702.4</c:v>
                </c:pt>
                <c:pt idx="11">
                  <c:v>18628.47</c:v>
                </c:pt>
                <c:pt idx="12">
                  <c:v>23581.62</c:v>
                </c:pt>
                <c:pt idx="13">
                  <c:v>18258.73</c:v>
                </c:pt>
                <c:pt idx="14">
                  <c:v>12196.86</c:v>
                </c:pt>
                <c:pt idx="15">
                  <c:v>11326.68</c:v>
                </c:pt>
                <c:pt idx="16">
                  <c:v>22952.989999999998</c:v>
                </c:pt>
                <c:pt idx="17">
                  <c:v>14091.539999999999</c:v>
                </c:pt>
                <c:pt idx="18">
                  <c:v>16197.17</c:v>
                </c:pt>
                <c:pt idx="19">
                  <c:v>21195.050000000003</c:v>
                </c:pt>
                <c:pt idx="20">
                  <c:v>16388.989999999998</c:v>
                </c:pt>
                <c:pt idx="21">
                  <c:v>13046.79</c:v>
                </c:pt>
                <c:pt idx="22">
                  <c:v>26421.669999999995</c:v>
                </c:pt>
                <c:pt idx="23">
                  <c:v>18469.509999999998</c:v>
                </c:pt>
              </c:numCache>
            </c:numRef>
          </c:val>
          <c:extLst>
            <c:ext xmlns:c16="http://schemas.microsoft.com/office/drawing/2014/chart" uri="{C3380CC4-5D6E-409C-BE32-E72D297353CC}">
              <c16:uniqueId val="{00000001-2F73-42ED-990F-00C5F799E72F}"/>
            </c:ext>
          </c:extLst>
        </c:ser>
        <c:dLbls>
          <c:showLegendKey val="0"/>
          <c:showVal val="0"/>
          <c:showCatName val="0"/>
          <c:showSerName val="0"/>
          <c:showPercent val="0"/>
          <c:showBubbleSize val="0"/>
        </c:dLbls>
        <c:gapWidth val="16"/>
        <c:axId val="517013728"/>
        <c:axId val="517011808"/>
      </c:barChart>
      <c:lineChart>
        <c:grouping val="standard"/>
        <c:varyColors val="0"/>
        <c:ser>
          <c:idx val="2"/>
          <c:order val="2"/>
          <c:tx>
            <c:strRef>
              <c:f>SalesYoY!$D$1</c:f>
              <c:strCache>
                <c:ptCount val="1"/>
                <c:pt idx="0">
                  <c:v>RunningTotalSales</c:v>
                </c:pt>
              </c:strCache>
            </c:strRef>
          </c:tx>
          <c:spPr>
            <a:ln w="34925" cap="rnd">
              <a:solidFill>
                <a:srgbClr val="FFFF00"/>
              </a:solidFill>
              <a:round/>
            </a:ln>
            <a:effectLst>
              <a:outerShdw blurRad="57150" dist="19050" dir="5400000" algn="ctr" rotWithShape="0">
                <a:srgbClr val="000000">
                  <a:alpha val="63000"/>
                </a:srgbClr>
              </a:outerShdw>
            </a:effectLst>
          </c:spPr>
          <c:marker>
            <c:symbol val="none"/>
          </c:marker>
          <c:dLbls>
            <c:spPr>
              <a:solidFill>
                <a:schemeClr val="tx1">
                  <a:lumMod val="95000"/>
                  <a:lumOff val="5000"/>
                </a:schemeClr>
              </a:solidFill>
              <a:ln>
                <a:noFill/>
              </a:ln>
              <a:effectLst>
                <a:glow>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SalesYoY!$A$2:$A$28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SalesYoY!$D$2:$D$28</c:f>
              <c:numCache>
                <c:formatCode>#,##0.00</c:formatCode>
                <c:ptCount val="24"/>
                <c:pt idx="0">
                  <c:v>17765.339999999997</c:v>
                </c:pt>
                <c:pt idx="1">
                  <c:v>30363.909999999996</c:v>
                </c:pt>
                <c:pt idx="2">
                  <c:v>46783.7</c:v>
                </c:pt>
                <c:pt idx="3">
                  <c:v>62036.13</c:v>
                </c:pt>
                <c:pt idx="4">
                  <c:v>69993.59</c:v>
                </c:pt>
                <c:pt idx="5">
                  <c:v>86435.76</c:v>
                </c:pt>
                <c:pt idx="6">
                  <c:v>105490.37999999999</c:v>
                </c:pt>
                <c:pt idx="7">
                  <c:v>119645.73</c:v>
                </c:pt>
                <c:pt idx="8">
                  <c:v>138499.54999999999</c:v>
                </c:pt>
                <c:pt idx="9">
                  <c:v>158953.44999999998</c:v>
                </c:pt>
                <c:pt idx="10">
                  <c:v>168655.84999999998</c:v>
                </c:pt>
                <c:pt idx="11">
                  <c:v>187284.31999999998</c:v>
                </c:pt>
                <c:pt idx="12">
                  <c:v>23581.62</c:v>
                </c:pt>
                <c:pt idx="13">
                  <c:v>41840.35</c:v>
                </c:pt>
                <c:pt idx="14">
                  <c:v>54037.21</c:v>
                </c:pt>
                <c:pt idx="15">
                  <c:v>65363.89</c:v>
                </c:pt>
                <c:pt idx="16">
                  <c:v>88316.88</c:v>
                </c:pt>
                <c:pt idx="17">
                  <c:v>102408.42</c:v>
                </c:pt>
                <c:pt idx="18">
                  <c:v>118605.59</c:v>
                </c:pt>
                <c:pt idx="19">
                  <c:v>139800.64000000001</c:v>
                </c:pt>
                <c:pt idx="20">
                  <c:v>156189.63</c:v>
                </c:pt>
                <c:pt idx="21">
                  <c:v>169236.42</c:v>
                </c:pt>
                <c:pt idx="22">
                  <c:v>195658.09</c:v>
                </c:pt>
                <c:pt idx="23">
                  <c:v>214127.6</c:v>
                </c:pt>
              </c:numCache>
            </c:numRef>
          </c:val>
          <c:smooth val="0"/>
          <c:extLst>
            <c:ext xmlns:c16="http://schemas.microsoft.com/office/drawing/2014/chart" uri="{C3380CC4-5D6E-409C-BE32-E72D297353CC}">
              <c16:uniqueId val="{00000004-2F73-42ED-990F-00C5F799E72F}"/>
            </c:ext>
          </c:extLst>
        </c:ser>
        <c:dLbls>
          <c:showLegendKey val="0"/>
          <c:showVal val="0"/>
          <c:showCatName val="0"/>
          <c:showSerName val="0"/>
          <c:showPercent val="0"/>
          <c:showBubbleSize val="0"/>
        </c:dLbls>
        <c:marker val="1"/>
        <c:smooth val="0"/>
        <c:axId val="693311584"/>
        <c:axId val="693313504"/>
      </c:lineChart>
      <c:catAx>
        <c:axId val="517013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517011808"/>
        <c:crosses val="autoZero"/>
        <c:auto val="1"/>
        <c:lblAlgn val="ctr"/>
        <c:lblOffset val="100"/>
        <c:noMultiLvlLbl val="0"/>
      </c:catAx>
      <c:valAx>
        <c:axId val="5170118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517013728"/>
        <c:crosses val="autoZero"/>
        <c:crossBetween val="between"/>
      </c:valAx>
      <c:valAx>
        <c:axId val="693313504"/>
        <c:scaling>
          <c:orientation val="minMax"/>
          <c:max val="400000"/>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693311584"/>
        <c:crosses val="max"/>
        <c:crossBetween val="between"/>
      </c:valAx>
      <c:catAx>
        <c:axId val="693311584"/>
        <c:scaling>
          <c:orientation val="minMax"/>
        </c:scaling>
        <c:delete val="1"/>
        <c:axPos val="b"/>
        <c:numFmt formatCode="General" sourceLinked="1"/>
        <c:majorTickMark val="out"/>
        <c:minorTickMark val="none"/>
        <c:tickLblPos val="nextTo"/>
        <c:crossAx val="6933135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in Quantity!PivotTable2</c:name>
    <c:fmtId val="0"/>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in Quantity'!$B$1:$B$2</c:f>
              <c:strCache>
                <c:ptCount val="1"/>
                <c:pt idx="0">
                  <c:v>Ft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'Sales in Quantity'!$A$3:$A$29</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'Sales in Quantity'!$B$3:$B$29</c:f>
              <c:numCache>
                <c:formatCode>#,##0</c:formatCode>
                <c:ptCount val="24"/>
                <c:pt idx="0">
                  <c:v>32</c:v>
                </c:pt>
                <c:pt idx="1">
                  <c:v>34</c:v>
                </c:pt>
                <c:pt idx="2">
                  <c:v>47</c:v>
                </c:pt>
                <c:pt idx="3">
                  <c:v>48</c:v>
                </c:pt>
                <c:pt idx="4">
                  <c:v>16</c:v>
                </c:pt>
                <c:pt idx="5">
                  <c:v>54</c:v>
                </c:pt>
                <c:pt idx="6">
                  <c:v>60</c:v>
                </c:pt>
                <c:pt idx="7">
                  <c:v>24</c:v>
                </c:pt>
                <c:pt idx="8">
                  <c:v>69</c:v>
                </c:pt>
                <c:pt idx="9">
                  <c:v>55</c:v>
                </c:pt>
                <c:pt idx="10">
                  <c:v>9</c:v>
                </c:pt>
                <c:pt idx="11">
                  <c:v>68</c:v>
                </c:pt>
                <c:pt idx="12">
                  <c:v>78</c:v>
                </c:pt>
                <c:pt idx="13">
                  <c:v>48</c:v>
                </c:pt>
                <c:pt idx="14">
                  <c:v>22</c:v>
                </c:pt>
                <c:pt idx="15">
                  <c:v>11</c:v>
                </c:pt>
                <c:pt idx="16">
                  <c:v>55</c:v>
                </c:pt>
                <c:pt idx="17">
                  <c:v>35</c:v>
                </c:pt>
                <c:pt idx="18">
                  <c:v>42</c:v>
                </c:pt>
                <c:pt idx="19">
                  <c:v>67</c:v>
                </c:pt>
                <c:pt idx="20">
                  <c:v>21</c:v>
                </c:pt>
                <c:pt idx="21">
                  <c:v>26</c:v>
                </c:pt>
                <c:pt idx="22">
                  <c:v>61</c:v>
                </c:pt>
                <c:pt idx="23">
                  <c:v>38</c:v>
                </c:pt>
              </c:numCache>
            </c:numRef>
          </c:val>
          <c:smooth val="0"/>
          <c:extLst>
            <c:ext xmlns:c16="http://schemas.microsoft.com/office/drawing/2014/chart" uri="{C3380CC4-5D6E-409C-BE32-E72D297353CC}">
              <c16:uniqueId val="{00000000-9496-4233-B4C0-D8936B2CC638}"/>
            </c:ext>
          </c:extLst>
        </c:ser>
        <c:ser>
          <c:idx val="1"/>
          <c:order val="1"/>
          <c:tx>
            <c:strRef>
              <c:f>'Sales in Quantity'!$C$1:$C$2</c:f>
              <c:strCache>
                <c:ptCount val="1"/>
                <c:pt idx="0">
                  <c:v>Kg</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'Sales in Quantity'!$A$3:$A$29</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'Sales in Quantity'!$C$3:$C$29</c:f>
              <c:numCache>
                <c:formatCode>#,##0</c:formatCode>
                <c:ptCount val="24"/>
                <c:pt idx="0">
                  <c:v>106</c:v>
                </c:pt>
                <c:pt idx="1">
                  <c:v>47</c:v>
                </c:pt>
                <c:pt idx="2">
                  <c:v>46</c:v>
                </c:pt>
                <c:pt idx="3">
                  <c:v>47</c:v>
                </c:pt>
                <c:pt idx="4">
                  <c:v>36</c:v>
                </c:pt>
                <c:pt idx="5">
                  <c:v>29</c:v>
                </c:pt>
                <c:pt idx="6">
                  <c:v>71</c:v>
                </c:pt>
                <c:pt idx="7">
                  <c:v>55</c:v>
                </c:pt>
                <c:pt idx="8">
                  <c:v>54</c:v>
                </c:pt>
                <c:pt idx="9">
                  <c:v>80</c:v>
                </c:pt>
                <c:pt idx="10">
                  <c:v>57</c:v>
                </c:pt>
                <c:pt idx="11">
                  <c:v>46</c:v>
                </c:pt>
                <c:pt idx="12">
                  <c:v>74</c:v>
                </c:pt>
                <c:pt idx="13">
                  <c:v>84</c:v>
                </c:pt>
                <c:pt idx="14">
                  <c:v>55</c:v>
                </c:pt>
                <c:pt idx="15">
                  <c:v>57</c:v>
                </c:pt>
                <c:pt idx="16">
                  <c:v>89</c:v>
                </c:pt>
                <c:pt idx="17">
                  <c:v>55</c:v>
                </c:pt>
                <c:pt idx="18">
                  <c:v>75</c:v>
                </c:pt>
                <c:pt idx="19">
                  <c:v>62</c:v>
                </c:pt>
                <c:pt idx="20">
                  <c:v>109</c:v>
                </c:pt>
                <c:pt idx="21">
                  <c:v>77</c:v>
                </c:pt>
                <c:pt idx="22">
                  <c:v>102</c:v>
                </c:pt>
                <c:pt idx="23">
                  <c:v>95</c:v>
                </c:pt>
              </c:numCache>
            </c:numRef>
          </c:val>
          <c:smooth val="0"/>
          <c:extLst>
            <c:ext xmlns:c16="http://schemas.microsoft.com/office/drawing/2014/chart" uri="{C3380CC4-5D6E-409C-BE32-E72D297353CC}">
              <c16:uniqueId val="{00000002-9496-4233-B4C0-D8936B2CC638}"/>
            </c:ext>
          </c:extLst>
        </c:ser>
        <c:ser>
          <c:idx val="2"/>
          <c:order val="2"/>
          <c:tx>
            <c:strRef>
              <c:f>'Sales in Quantity'!$D$1:$D$2</c:f>
              <c:strCache>
                <c:ptCount val="1"/>
                <c:pt idx="0">
                  <c:v>Lt</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'Sales in Quantity'!$A$3:$A$29</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'Sales in Quantity'!$D$3:$D$29</c:f>
              <c:numCache>
                <c:formatCode>#,##0</c:formatCode>
                <c:ptCount val="24"/>
                <c:pt idx="0">
                  <c:v>46</c:v>
                </c:pt>
                <c:pt idx="1">
                  <c:v>18</c:v>
                </c:pt>
                <c:pt idx="2">
                  <c:v>42</c:v>
                </c:pt>
                <c:pt idx="3">
                  <c:v>14</c:v>
                </c:pt>
                <c:pt idx="4">
                  <c:v>7</c:v>
                </c:pt>
                <c:pt idx="5">
                  <c:v>44</c:v>
                </c:pt>
                <c:pt idx="6">
                  <c:v>45</c:v>
                </c:pt>
                <c:pt idx="7">
                  <c:v>61</c:v>
                </c:pt>
                <c:pt idx="8">
                  <c:v>8</c:v>
                </c:pt>
                <c:pt idx="9">
                  <c:v>39</c:v>
                </c:pt>
                <c:pt idx="10">
                  <c:v>29</c:v>
                </c:pt>
                <c:pt idx="11">
                  <c:v>50</c:v>
                </c:pt>
                <c:pt idx="12">
                  <c:v>29</c:v>
                </c:pt>
                <c:pt idx="13">
                  <c:v>3</c:v>
                </c:pt>
                <c:pt idx="14">
                  <c:v>23</c:v>
                </c:pt>
                <c:pt idx="15">
                  <c:v>23</c:v>
                </c:pt>
                <c:pt idx="16">
                  <c:v>79</c:v>
                </c:pt>
                <c:pt idx="17">
                  <c:v>27</c:v>
                </c:pt>
                <c:pt idx="18">
                  <c:v>16</c:v>
                </c:pt>
                <c:pt idx="19">
                  <c:v>35</c:v>
                </c:pt>
                <c:pt idx="20">
                  <c:v>16</c:v>
                </c:pt>
                <c:pt idx="21">
                  <c:v>20</c:v>
                </c:pt>
                <c:pt idx="22">
                  <c:v>63</c:v>
                </c:pt>
                <c:pt idx="23">
                  <c:v>28</c:v>
                </c:pt>
              </c:numCache>
            </c:numRef>
          </c:val>
          <c:smooth val="0"/>
          <c:extLst>
            <c:ext xmlns:c16="http://schemas.microsoft.com/office/drawing/2014/chart" uri="{C3380CC4-5D6E-409C-BE32-E72D297353CC}">
              <c16:uniqueId val="{00000003-9496-4233-B4C0-D8936B2CC638}"/>
            </c:ext>
          </c:extLst>
        </c:ser>
        <c:ser>
          <c:idx val="3"/>
          <c:order val="3"/>
          <c:tx>
            <c:strRef>
              <c:f>'Sales in Quantity'!$E$1:$E$2</c:f>
              <c:strCache>
                <c:ptCount val="1"/>
                <c:pt idx="0">
                  <c:v>No.</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'Sales in Quantity'!$A$3:$A$29</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'Sales in Quantity'!$E$3:$E$29</c:f>
              <c:numCache>
                <c:formatCode>#,##0</c:formatCode>
                <c:ptCount val="24"/>
                <c:pt idx="0">
                  <c:v>29</c:v>
                </c:pt>
                <c:pt idx="1">
                  <c:v>34</c:v>
                </c:pt>
                <c:pt idx="2">
                  <c:v>48</c:v>
                </c:pt>
                <c:pt idx="3">
                  <c:v>34</c:v>
                </c:pt>
                <c:pt idx="4">
                  <c:v>68</c:v>
                </c:pt>
                <c:pt idx="5">
                  <c:v>86</c:v>
                </c:pt>
                <c:pt idx="6">
                  <c:v>11</c:v>
                </c:pt>
                <c:pt idx="7">
                  <c:v>48</c:v>
                </c:pt>
                <c:pt idx="8">
                  <c:v>21</c:v>
                </c:pt>
                <c:pt idx="9">
                  <c:v>28</c:v>
                </c:pt>
                <c:pt idx="10">
                  <c:v>15</c:v>
                </c:pt>
                <c:pt idx="11">
                  <c:v>20</c:v>
                </c:pt>
                <c:pt idx="12">
                  <c:v>13</c:v>
                </c:pt>
                <c:pt idx="13">
                  <c:v>32</c:v>
                </c:pt>
                <c:pt idx="14">
                  <c:v>28</c:v>
                </c:pt>
                <c:pt idx="15">
                  <c:v>62</c:v>
                </c:pt>
                <c:pt idx="16">
                  <c:v>24</c:v>
                </c:pt>
                <c:pt idx="17">
                  <c:v>34</c:v>
                </c:pt>
                <c:pt idx="18">
                  <c:v>39</c:v>
                </c:pt>
                <c:pt idx="19">
                  <c:v>60</c:v>
                </c:pt>
                <c:pt idx="20">
                  <c:v>48</c:v>
                </c:pt>
                <c:pt idx="21">
                  <c:v>11</c:v>
                </c:pt>
                <c:pt idx="22">
                  <c:v>42</c:v>
                </c:pt>
                <c:pt idx="23">
                  <c:v>52</c:v>
                </c:pt>
              </c:numCache>
            </c:numRef>
          </c:val>
          <c:smooth val="0"/>
          <c:extLst>
            <c:ext xmlns:c16="http://schemas.microsoft.com/office/drawing/2014/chart" uri="{C3380CC4-5D6E-409C-BE32-E72D297353CC}">
              <c16:uniqueId val="{0000000C-9496-4233-B4C0-D8936B2CC638}"/>
            </c:ext>
          </c:extLst>
        </c:ser>
        <c:dLbls>
          <c:dLblPos val="ctr"/>
          <c:showLegendKey val="0"/>
          <c:showVal val="1"/>
          <c:showCatName val="0"/>
          <c:showSerName val="0"/>
          <c:showPercent val="0"/>
          <c:showBubbleSize val="0"/>
        </c:dLbls>
        <c:marker val="1"/>
        <c:smooth val="0"/>
        <c:axId val="1457970128"/>
        <c:axId val="1457960528"/>
      </c:lineChart>
      <c:catAx>
        <c:axId val="1457970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sr-Latn-RS"/>
          </a:p>
        </c:txPr>
        <c:crossAx val="1457960528"/>
        <c:crosses val="autoZero"/>
        <c:auto val="1"/>
        <c:lblAlgn val="ctr"/>
        <c:lblOffset val="100"/>
        <c:noMultiLvlLbl val="0"/>
      </c:catAx>
      <c:valAx>
        <c:axId val="14579605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457970128"/>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DASHBOARD.xlsx]YoY Sales Growth!PivotTable3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YoY Sales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sr-Latn-RS"/>
        </a:p>
      </c:txPr>
    </c:title>
    <c:autoTitleDeleted val="0"/>
    <c:pivotFmts>
      <c:pivotFmt>
        <c:idx val="0"/>
        <c:spPr>
          <a:solidFill>
            <a:srgbClr val="2E75B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75B6"/>
          </a:solidFill>
          <a:ln>
            <a:noFill/>
          </a:ln>
          <a:effectLst>
            <a:outerShdw blurRad="57150" dist="19050" dir="5400000" algn="ctr" rotWithShape="0">
              <a:srgbClr val="000000">
                <a:alpha val="63000"/>
              </a:srgbClr>
            </a:outerShdw>
          </a:effectLst>
        </c:spPr>
      </c:pivotFmt>
      <c:pivotFmt>
        <c:idx val="2"/>
        <c:spPr>
          <a:solidFill>
            <a:srgbClr val="2E75B6"/>
          </a:solidFill>
          <a:ln>
            <a:noFill/>
          </a:ln>
          <a:effectLst>
            <a:outerShdw blurRad="57150" dist="19050" dir="5400000" algn="ctr" rotWithShape="0">
              <a:srgbClr val="000000">
                <a:alpha val="63000"/>
              </a:srgbClr>
            </a:outerShdw>
          </a:effectLst>
        </c:spPr>
      </c:pivotFmt>
      <c:pivotFmt>
        <c:idx val="3"/>
        <c:spPr>
          <a:solidFill>
            <a:srgbClr val="2E75B6"/>
          </a:solidFill>
          <a:ln>
            <a:noFill/>
          </a:ln>
          <a:effectLst>
            <a:outerShdw blurRad="57150" dist="19050" dir="5400000" algn="ctr" rotWithShape="0">
              <a:srgbClr val="000000">
                <a:alpha val="63000"/>
              </a:srgbClr>
            </a:outerShdw>
          </a:effectLst>
        </c:spPr>
      </c:pivotFmt>
      <c:pivotFmt>
        <c:idx val="4"/>
        <c:spPr>
          <a:solidFill>
            <a:srgbClr val="2E75B6"/>
          </a:solidFill>
          <a:ln>
            <a:noFill/>
          </a:ln>
          <a:effectLst>
            <a:outerShdw blurRad="57150" dist="19050" dir="5400000" algn="ctr" rotWithShape="0">
              <a:srgbClr val="000000">
                <a:alpha val="63000"/>
              </a:srgbClr>
            </a:outerShdw>
          </a:effectLst>
        </c:spPr>
      </c:pivotFmt>
      <c:pivotFmt>
        <c:idx val="5"/>
        <c:spPr>
          <a:solidFill>
            <a:srgbClr val="2E75B6"/>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'YoY Sales Growth'!$B$1</c:f>
              <c:strCache>
                <c:ptCount val="1"/>
                <c:pt idx="0">
                  <c:v>Total</c:v>
                </c:pt>
              </c:strCache>
            </c:strRef>
          </c:tx>
          <c:spPr>
            <a:solidFill>
              <a:srgbClr val="2E75B6"/>
            </a:solidFill>
            <a:ln>
              <a:noFill/>
            </a:ln>
            <a:effectLst>
              <a:outerShdw blurRad="57150" dist="19050" dir="5400000" algn="ctr" rotWithShape="0">
                <a:srgbClr val="000000">
                  <a:alpha val="63000"/>
                </a:srgbClr>
              </a:outerShdw>
            </a:effectLst>
          </c:spPr>
          <c:invertIfNegative val="1"/>
          <c:dPt>
            <c:idx val="12"/>
            <c:invertIfNegative val="1"/>
            <c:bubble3D val="0"/>
            <c:spPr>
              <a:solidFill>
                <a:srgbClr val="2E75B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B6-4B2B-9EDD-CD6B120F8142}"/>
              </c:ext>
            </c:extLst>
          </c:dPt>
          <c:dPt>
            <c:idx val="15"/>
            <c:invertIfNegative val="1"/>
            <c:bubble3D val="0"/>
            <c:spPr>
              <a:solidFill>
                <a:srgbClr val="2E75B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B6-4B2B-9EDD-CD6B120F8142}"/>
              </c:ext>
            </c:extLst>
          </c:dPt>
          <c:dPt>
            <c:idx val="17"/>
            <c:invertIfNegative val="1"/>
            <c:bubble3D val="0"/>
            <c:spPr>
              <a:solidFill>
                <a:srgbClr val="2E75B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3B6-4B2B-9EDD-CD6B120F8142}"/>
              </c:ext>
            </c:extLst>
          </c:dPt>
          <c:dPt>
            <c:idx val="18"/>
            <c:invertIfNegative val="1"/>
            <c:bubble3D val="0"/>
            <c:spPr>
              <a:solidFill>
                <a:srgbClr val="2E75B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3B6-4B2B-9EDD-CD6B120F8142}"/>
              </c:ext>
            </c:extLst>
          </c:dPt>
          <c:dPt>
            <c:idx val="23"/>
            <c:invertIfNegative val="1"/>
            <c:bubble3D val="0"/>
            <c:spPr>
              <a:solidFill>
                <a:srgbClr val="2E75B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3B6-4B2B-9EDD-CD6B120F81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'YoY Sales Growth'!$A$2:$A$28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'YoY Sales Growth'!$B$2:$B$28</c:f>
              <c:numCache>
                <c:formatCode>#,##0.00</c:formatCode>
                <c:ptCount val="24"/>
                <c:pt idx="12">
                  <c:v>5816.2800000000025</c:v>
                </c:pt>
                <c:pt idx="13">
                  <c:v>5660.159999999998</c:v>
                </c:pt>
                <c:pt idx="14">
                  <c:v>-4222.93</c:v>
                </c:pt>
                <c:pt idx="15">
                  <c:v>-3925.7500000000018</c:v>
                </c:pt>
                <c:pt idx="16">
                  <c:v>14995.529999999997</c:v>
                </c:pt>
                <c:pt idx="17">
                  <c:v>-2350.6299999999992</c:v>
                </c:pt>
                <c:pt idx="18">
                  <c:v>-2857.4499999999953</c:v>
                </c:pt>
                <c:pt idx="19">
                  <c:v>7039.7000000000025</c:v>
                </c:pt>
                <c:pt idx="20">
                  <c:v>-2464.8299999999981</c:v>
                </c:pt>
                <c:pt idx="21">
                  <c:v>-7407.1100000000042</c:v>
                </c:pt>
                <c:pt idx="22">
                  <c:v>16719.269999999997</c:v>
                </c:pt>
                <c:pt idx="23">
                  <c:v>-158.96000000000276</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a:outerShdw blurRad="57150" dist="19050" dir="5400000" algn="ctr" rotWithShape="0">
                      <a:srgbClr val="000000">
                        <a:alpha val="63000"/>
                      </a:srgbClr>
                    </a:outerShdw>
                  </a:effectLst>
                </c14:spPr>
              </c14:invertSolidFillFmt>
            </c:ext>
            <c:ext xmlns:c16="http://schemas.microsoft.com/office/drawing/2014/chart" uri="{C3380CC4-5D6E-409C-BE32-E72D297353CC}">
              <c16:uniqueId val="{00000000-04A0-4691-BBC1-0199F5242CB1}"/>
            </c:ext>
          </c:extLst>
        </c:ser>
        <c:dLbls>
          <c:showLegendKey val="0"/>
          <c:showVal val="0"/>
          <c:showCatName val="0"/>
          <c:showSerName val="0"/>
          <c:showPercent val="0"/>
          <c:showBubbleSize val="0"/>
        </c:dLbls>
        <c:gapWidth val="100"/>
        <c:overlap val="-24"/>
        <c:axId val="1248194368"/>
        <c:axId val="1248204448"/>
      </c:barChart>
      <c:catAx>
        <c:axId val="1248194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248204448"/>
        <c:crosses val="autoZero"/>
        <c:auto val="1"/>
        <c:lblAlgn val="ctr"/>
        <c:lblOffset val="100"/>
        <c:noMultiLvlLbl val="0"/>
      </c:catAx>
      <c:valAx>
        <c:axId val="1248204448"/>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24819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DASHBOARD.xlsx]COGS YoY!PivotTable4</c:name>
    <c:fmtId val="0"/>
  </c:pivotSource>
  <c:chart>
    <c:autoTitleDeleted val="0"/>
    <c:pivotFmts>
      <c:pivotFmt>
        <c:idx val="0"/>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6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'COGS YoY'!$B$1</c:f>
              <c:strCache>
                <c:ptCount val="1"/>
                <c:pt idx="0">
                  <c:v>Total_COGS_LY</c:v>
                </c:pt>
              </c:strCache>
            </c:strRef>
          </c:tx>
          <c:spPr>
            <a:solidFill>
              <a:srgbClr val="FF66FF"/>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'COGS YoY'!$A$2:$A$28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'COGS YoY'!$B$2:$B$28</c:f>
              <c:numCache>
                <c:formatCode>#,##0.00</c:formatCode>
                <c:ptCount val="24"/>
                <c:pt idx="12">
                  <c:v>15263</c:v>
                </c:pt>
                <c:pt idx="13">
                  <c:v>10386</c:v>
                </c:pt>
                <c:pt idx="14">
                  <c:v>13685</c:v>
                </c:pt>
                <c:pt idx="15">
                  <c:v>12183</c:v>
                </c:pt>
                <c:pt idx="16">
                  <c:v>6807</c:v>
                </c:pt>
                <c:pt idx="17">
                  <c:v>13417</c:v>
                </c:pt>
                <c:pt idx="18">
                  <c:v>16400</c:v>
                </c:pt>
                <c:pt idx="19">
                  <c:v>12632</c:v>
                </c:pt>
                <c:pt idx="20">
                  <c:v>15310</c:v>
                </c:pt>
                <c:pt idx="21">
                  <c:v>16815</c:v>
                </c:pt>
                <c:pt idx="22">
                  <c:v>8322</c:v>
                </c:pt>
                <c:pt idx="23">
                  <c:v>15749</c:v>
                </c:pt>
              </c:numCache>
            </c:numRef>
          </c:val>
          <c:extLst>
            <c:ext xmlns:c16="http://schemas.microsoft.com/office/drawing/2014/chart" uri="{C3380CC4-5D6E-409C-BE32-E72D297353CC}">
              <c16:uniqueId val="{00000000-286F-4C48-BD6D-AB69323299E2}"/>
            </c:ext>
          </c:extLst>
        </c:ser>
        <c:ser>
          <c:idx val="1"/>
          <c:order val="1"/>
          <c:tx>
            <c:strRef>
              <c:f>'COGS YoY'!$C$1</c:f>
              <c:strCache>
                <c:ptCount val="1"/>
                <c:pt idx="0">
                  <c:v>Total_COGS</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'COGS YoY'!$A$2:$A$28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'COGS YoY'!$C$2:$C$28</c:f>
              <c:numCache>
                <c:formatCode>#,##0.00</c:formatCode>
                <c:ptCount val="24"/>
                <c:pt idx="0">
                  <c:v>15263</c:v>
                </c:pt>
                <c:pt idx="1">
                  <c:v>10386</c:v>
                </c:pt>
                <c:pt idx="2">
                  <c:v>13685</c:v>
                </c:pt>
                <c:pt idx="3">
                  <c:v>12183</c:v>
                </c:pt>
                <c:pt idx="4">
                  <c:v>6807</c:v>
                </c:pt>
                <c:pt idx="5">
                  <c:v>13417</c:v>
                </c:pt>
                <c:pt idx="6">
                  <c:v>16400</c:v>
                </c:pt>
                <c:pt idx="7">
                  <c:v>12632</c:v>
                </c:pt>
                <c:pt idx="8">
                  <c:v>15310</c:v>
                </c:pt>
                <c:pt idx="9">
                  <c:v>16815</c:v>
                </c:pt>
                <c:pt idx="10">
                  <c:v>8322</c:v>
                </c:pt>
                <c:pt idx="11">
                  <c:v>15749</c:v>
                </c:pt>
                <c:pt idx="12">
                  <c:v>19027</c:v>
                </c:pt>
                <c:pt idx="13">
                  <c:v>14955</c:v>
                </c:pt>
                <c:pt idx="14">
                  <c:v>9752</c:v>
                </c:pt>
                <c:pt idx="15">
                  <c:v>9099</c:v>
                </c:pt>
                <c:pt idx="16">
                  <c:v>19719</c:v>
                </c:pt>
                <c:pt idx="17">
                  <c:v>11462</c:v>
                </c:pt>
                <c:pt idx="18">
                  <c:v>13478</c:v>
                </c:pt>
                <c:pt idx="19">
                  <c:v>17199</c:v>
                </c:pt>
                <c:pt idx="20">
                  <c:v>13448</c:v>
                </c:pt>
                <c:pt idx="21">
                  <c:v>11027</c:v>
                </c:pt>
                <c:pt idx="22">
                  <c:v>20984</c:v>
                </c:pt>
                <c:pt idx="23">
                  <c:v>15385</c:v>
                </c:pt>
              </c:numCache>
            </c:numRef>
          </c:val>
          <c:extLst>
            <c:ext xmlns:c16="http://schemas.microsoft.com/office/drawing/2014/chart" uri="{C3380CC4-5D6E-409C-BE32-E72D297353CC}">
              <c16:uniqueId val="{00000001-286F-4C48-BD6D-AB69323299E2}"/>
            </c:ext>
          </c:extLst>
        </c:ser>
        <c:dLbls>
          <c:showLegendKey val="0"/>
          <c:showVal val="0"/>
          <c:showCatName val="0"/>
          <c:showSerName val="0"/>
          <c:showPercent val="0"/>
          <c:showBubbleSize val="0"/>
        </c:dLbls>
        <c:gapWidth val="100"/>
        <c:overlap val="-24"/>
        <c:axId val="1605099104"/>
        <c:axId val="1605099584"/>
      </c:barChart>
      <c:catAx>
        <c:axId val="1605099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605099584"/>
        <c:crosses val="autoZero"/>
        <c:auto val="1"/>
        <c:lblAlgn val="ctr"/>
        <c:lblOffset val="100"/>
        <c:noMultiLvlLbl val="0"/>
      </c:catAx>
      <c:valAx>
        <c:axId val="160509958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6050991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DASHBOARD.xlsx]Profit!PivotTable5</c:name>
    <c:fmtId val="0"/>
  </c:pivotSource>
  <c:chart>
    <c:autoTitleDeleted val="0"/>
    <c:pivotFmts>
      <c:pivotFmt>
        <c:idx val="0"/>
        <c:spPr>
          <a:solidFill>
            <a:schemeClr val="accent6">
              <a:lumMod val="40000"/>
              <a:lumOff val="60000"/>
            </a:schemeClr>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solidFill>
              <a:srgbClr val="00B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solidFill>
              <a:schemeClr val="bg2">
                <a:lumMod val="1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1F736"/>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pivotFmt>
      <c:pivotFmt>
        <c:idx val="4"/>
        <c:spPr>
          <a:solidFill>
            <a:schemeClr val="accent6">
              <a:lumMod val="40000"/>
              <a:lumOff val="60000"/>
            </a:schemeClr>
          </a:solidFill>
          <a:ln>
            <a:noFill/>
          </a:ln>
          <a:effectLst/>
        </c:spPr>
      </c:pivotFmt>
    </c:pivotFmts>
    <c:plotArea>
      <c:layout/>
      <c:barChart>
        <c:barDir val="col"/>
        <c:grouping val="clustered"/>
        <c:varyColors val="0"/>
        <c:ser>
          <c:idx val="0"/>
          <c:order val="0"/>
          <c:tx>
            <c:strRef>
              <c:f>Profit!$B$1</c:f>
              <c:strCache>
                <c:ptCount val="1"/>
                <c:pt idx="0">
                  <c:v>TotalProfit_LY</c:v>
                </c:pt>
              </c:strCache>
            </c:strRef>
          </c:tx>
          <c:spPr>
            <a:solidFill>
              <a:schemeClr val="accent6">
                <a:lumMod val="40000"/>
                <a:lumOff val="60000"/>
              </a:schemeClr>
            </a:solidFill>
            <a:ln>
              <a:noFill/>
            </a:ln>
            <a:effectLst/>
          </c:spPr>
          <c:invertIfNegative val="0"/>
          <c:dPt>
            <c:idx val="12"/>
            <c:invertIfNegative val="0"/>
            <c:bubble3D val="0"/>
            <c:extLst>
              <c:ext xmlns:c16="http://schemas.microsoft.com/office/drawing/2014/chart" uri="{C3380CC4-5D6E-409C-BE32-E72D297353CC}">
                <c16:uniqueId val="{00000000-BC2C-4CEB-950D-04A19240580E}"/>
              </c:ext>
            </c:extLst>
          </c:dPt>
          <c:dPt>
            <c:idx val="21"/>
            <c:invertIfNegative val="0"/>
            <c:bubble3D val="0"/>
            <c:extLst>
              <c:ext xmlns:c16="http://schemas.microsoft.com/office/drawing/2014/chart" uri="{C3380CC4-5D6E-409C-BE32-E72D297353CC}">
                <c16:uniqueId val="{00000001-BC2C-4CEB-950D-04A19240580E}"/>
              </c:ext>
            </c:extLst>
          </c:dPt>
          <c:dLbls>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Profit!$A$2:$A$28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Profit!$B$2:$B$28</c:f>
              <c:numCache>
                <c:formatCode>#,##0.00</c:formatCode>
                <c:ptCount val="24"/>
                <c:pt idx="12">
                  <c:v>2502.34</c:v>
                </c:pt>
                <c:pt idx="13">
                  <c:v>2212.5699999999979</c:v>
                </c:pt>
                <c:pt idx="14">
                  <c:v>2734.7900000000009</c:v>
                </c:pt>
                <c:pt idx="15">
                  <c:v>3069.4300000000003</c:v>
                </c:pt>
                <c:pt idx="16">
                  <c:v>1150.4600000000009</c:v>
                </c:pt>
                <c:pt idx="17">
                  <c:v>3025.1700000000019</c:v>
                </c:pt>
                <c:pt idx="18">
                  <c:v>2654.619999999999</c:v>
                </c:pt>
                <c:pt idx="19">
                  <c:v>1523.3499999999985</c:v>
                </c:pt>
                <c:pt idx="20">
                  <c:v>3543.8199999999997</c:v>
                </c:pt>
                <c:pt idx="21">
                  <c:v>3638.9000000000051</c:v>
                </c:pt>
                <c:pt idx="22">
                  <c:v>1380.3999999999996</c:v>
                </c:pt>
                <c:pt idx="23">
                  <c:v>2879.4700000000012</c:v>
                </c:pt>
              </c:numCache>
            </c:numRef>
          </c:val>
          <c:extLst>
            <c:ext xmlns:c16="http://schemas.microsoft.com/office/drawing/2014/chart" uri="{C3380CC4-5D6E-409C-BE32-E72D297353CC}">
              <c16:uniqueId val="{00000000-B885-4121-B65A-033565C7619B}"/>
            </c:ext>
          </c:extLst>
        </c:ser>
        <c:ser>
          <c:idx val="1"/>
          <c:order val="1"/>
          <c:tx>
            <c:strRef>
              <c:f>Profit!$C$1</c:f>
              <c:strCache>
                <c:ptCount val="1"/>
                <c:pt idx="0">
                  <c:v>TotalProfit</c:v>
                </c:pt>
              </c:strCache>
            </c:strRef>
          </c:tx>
          <c:spPr>
            <a:solidFill>
              <a:srgbClr val="00B050"/>
            </a:solidFill>
            <a:ln>
              <a:noFill/>
            </a:ln>
            <a:effectLst/>
          </c:spPr>
          <c:invertIfNegative val="0"/>
          <c:dLbls>
            <c:spPr>
              <a:solidFill>
                <a:srgbClr val="00B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Profit!$A$2:$A$28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Profit!$C$2:$C$28</c:f>
              <c:numCache>
                <c:formatCode>#,##0.00</c:formatCode>
                <c:ptCount val="24"/>
                <c:pt idx="0">
                  <c:v>2502.3399999999965</c:v>
                </c:pt>
                <c:pt idx="1">
                  <c:v>2212.5700000000015</c:v>
                </c:pt>
                <c:pt idx="2">
                  <c:v>2734.7900000000009</c:v>
                </c:pt>
                <c:pt idx="3">
                  <c:v>3069.4300000000021</c:v>
                </c:pt>
                <c:pt idx="4">
                  <c:v>1150.4600000000009</c:v>
                </c:pt>
                <c:pt idx="5">
                  <c:v>3025.1699999999983</c:v>
                </c:pt>
                <c:pt idx="6">
                  <c:v>2654.6199999999953</c:v>
                </c:pt>
                <c:pt idx="7">
                  <c:v>1523.3500000000004</c:v>
                </c:pt>
                <c:pt idx="8">
                  <c:v>3543.8199999999961</c:v>
                </c:pt>
                <c:pt idx="9">
                  <c:v>3638.9000000000051</c:v>
                </c:pt>
                <c:pt idx="10">
                  <c:v>1380.3999999999996</c:v>
                </c:pt>
                <c:pt idx="11">
                  <c:v>2879.4700000000012</c:v>
                </c:pt>
                <c:pt idx="12">
                  <c:v>4554.619999999999</c:v>
                </c:pt>
                <c:pt idx="13">
                  <c:v>3303.7299999999996</c:v>
                </c:pt>
                <c:pt idx="14">
                  <c:v>2444.8600000000006</c:v>
                </c:pt>
                <c:pt idx="15">
                  <c:v>2227.6800000000003</c:v>
                </c:pt>
                <c:pt idx="16">
                  <c:v>3233.989999999998</c:v>
                </c:pt>
                <c:pt idx="17">
                  <c:v>2629.5399999999991</c:v>
                </c:pt>
                <c:pt idx="18">
                  <c:v>2719.17</c:v>
                </c:pt>
                <c:pt idx="19">
                  <c:v>3996.0500000000029</c:v>
                </c:pt>
                <c:pt idx="20">
                  <c:v>2940.989999999998</c:v>
                </c:pt>
                <c:pt idx="21">
                  <c:v>2019.7900000000009</c:v>
                </c:pt>
                <c:pt idx="22">
                  <c:v>5437.6699999999946</c:v>
                </c:pt>
                <c:pt idx="23">
                  <c:v>3084.5099999999984</c:v>
                </c:pt>
              </c:numCache>
            </c:numRef>
          </c:val>
          <c:extLst>
            <c:ext xmlns:c16="http://schemas.microsoft.com/office/drawing/2014/chart" uri="{C3380CC4-5D6E-409C-BE32-E72D297353CC}">
              <c16:uniqueId val="{00000001-B885-4121-B65A-033565C7619B}"/>
            </c:ext>
          </c:extLst>
        </c:ser>
        <c:dLbls>
          <c:showLegendKey val="0"/>
          <c:showVal val="0"/>
          <c:showCatName val="0"/>
          <c:showSerName val="0"/>
          <c:showPercent val="0"/>
          <c:showBubbleSize val="0"/>
        </c:dLbls>
        <c:gapWidth val="219"/>
        <c:overlap val="-27"/>
        <c:axId val="1371983904"/>
        <c:axId val="1371975264"/>
      </c:barChart>
      <c:lineChart>
        <c:grouping val="standard"/>
        <c:varyColors val="0"/>
        <c:ser>
          <c:idx val="2"/>
          <c:order val="2"/>
          <c:tx>
            <c:strRef>
              <c:f>Profit!$D$1</c:f>
              <c:strCache>
                <c:ptCount val="1"/>
                <c:pt idx="0">
                  <c:v>RunningProfit</c:v>
                </c:pt>
              </c:strCache>
            </c:strRef>
          </c:tx>
          <c:spPr>
            <a:ln w="28575" cap="rnd">
              <a:solidFill>
                <a:srgbClr val="FFFF00"/>
              </a:solidFill>
              <a:round/>
            </a:ln>
            <a:effectLst/>
          </c:spPr>
          <c:marker>
            <c:symbol val="none"/>
          </c:marker>
          <c:dLbls>
            <c:spPr>
              <a:solidFill>
                <a:schemeClr val="bg2">
                  <a:lumMod val="1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1F736"/>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Profit!$A$2:$A$28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Profit!$D$2:$D$28</c:f>
              <c:numCache>
                <c:formatCode>#,##0.00</c:formatCode>
                <c:ptCount val="24"/>
                <c:pt idx="0">
                  <c:v>2502.3399999999965</c:v>
                </c:pt>
                <c:pt idx="1">
                  <c:v>4714.909999999998</c:v>
                </c:pt>
                <c:pt idx="2">
                  <c:v>7449.6999999999989</c:v>
                </c:pt>
                <c:pt idx="3">
                  <c:v>10519.130000000001</c:v>
                </c:pt>
                <c:pt idx="4">
                  <c:v>11669.590000000002</c:v>
                </c:pt>
                <c:pt idx="5">
                  <c:v>14694.76</c:v>
                </c:pt>
                <c:pt idx="6">
                  <c:v>17349.379999999997</c:v>
                </c:pt>
                <c:pt idx="7">
                  <c:v>18872.729999999996</c:v>
                </c:pt>
                <c:pt idx="8">
                  <c:v>22416.549999999992</c:v>
                </c:pt>
                <c:pt idx="9">
                  <c:v>26055.449999999997</c:v>
                </c:pt>
                <c:pt idx="10">
                  <c:v>27435.85</c:v>
                </c:pt>
                <c:pt idx="11">
                  <c:v>30315.32</c:v>
                </c:pt>
                <c:pt idx="12">
                  <c:v>4554.619999999999</c:v>
                </c:pt>
                <c:pt idx="13">
                  <c:v>7858.3499999999985</c:v>
                </c:pt>
                <c:pt idx="14">
                  <c:v>10303.209999999999</c:v>
                </c:pt>
                <c:pt idx="15">
                  <c:v>12530.89</c:v>
                </c:pt>
                <c:pt idx="16">
                  <c:v>15764.879999999997</c:v>
                </c:pt>
                <c:pt idx="17">
                  <c:v>18394.419999999998</c:v>
                </c:pt>
                <c:pt idx="18">
                  <c:v>21113.589999999997</c:v>
                </c:pt>
                <c:pt idx="19">
                  <c:v>25109.64</c:v>
                </c:pt>
                <c:pt idx="20">
                  <c:v>28050.629999999997</c:v>
                </c:pt>
                <c:pt idx="21">
                  <c:v>30070.42</c:v>
                </c:pt>
                <c:pt idx="22">
                  <c:v>35508.089999999997</c:v>
                </c:pt>
                <c:pt idx="23">
                  <c:v>38592.599999999991</c:v>
                </c:pt>
              </c:numCache>
            </c:numRef>
          </c:val>
          <c:smooth val="0"/>
          <c:extLst>
            <c:ext xmlns:c16="http://schemas.microsoft.com/office/drawing/2014/chart" uri="{C3380CC4-5D6E-409C-BE32-E72D297353CC}">
              <c16:uniqueId val="{00000002-B885-4121-B65A-033565C7619B}"/>
            </c:ext>
          </c:extLst>
        </c:ser>
        <c:dLbls>
          <c:showLegendKey val="0"/>
          <c:showVal val="0"/>
          <c:showCatName val="0"/>
          <c:showSerName val="0"/>
          <c:showPercent val="0"/>
          <c:showBubbleSize val="0"/>
        </c:dLbls>
        <c:marker val="1"/>
        <c:smooth val="0"/>
        <c:axId val="970589040"/>
        <c:axId val="970578000"/>
      </c:lineChart>
      <c:catAx>
        <c:axId val="137198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371975264"/>
        <c:crosses val="autoZero"/>
        <c:auto val="1"/>
        <c:lblAlgn val="ctr"/>
        <c:lblOffset val="100"/>
        <c:noMultiLvlLbl val="0"/>
      </c:catAx>
      <c:valAx>
        <c:axId val="1371975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371983904"/>
        <c:crosses val="autoZero"/>
        <c:crossBetween val="between"/>
      </c:valAx>
      <c:valAx>
        <c:axId val="970578000"/>
        <c:scaling>
          <c:orientation val="minMax"/>
          <c:max val="70000"/>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970589040"/>
        <c:crosses val="max"/>
        <c:crossBetween val="between"/>
      </c:valAx>
      <c:catAx>
        <c:axId val="970589040"/>
        <c:scaling>
          <c:orientation val="minMax"/>
        </c:scaling>
        <c:delete val="1"/>
        <c:axPos val="b"/>
        <c:numFmt formatCode="General" sourceLinked="1"/>
        <c:majorTickMark val="out"/>
        <c:minorTickMark val="none"/>
        <c:tickLblPos val="nextTo"/>
        <c:crossAx val="9705780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tileRect/>
    </a:gradFill>
    <a:ln w="9525" cap="flat" cmpd="sng" algn="ctr">
      <a:solidFill>
        <a:schemeClr val="accent1">
          <a:lumMod val="60000"/>
          <a:lumOff val="40000"/>
        </a:schemeClr>
      </a:solidFill>
      <a:round/>
    </a:ln>
    <a:effectLst>
      <a:glow>
        <a:schemeClr val="bg1">
          <a:lumMod val="85000"/>
        </a:schemeClr>
      </a:glow>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Growth YoY!PivotTable6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YoY Profit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sr-Latn-RS"/>
        </a:p>
      </c:txPr>
    </c:title>
    <c:autoTitleDeleted val="0"/>
    <c:pivotFmts>
      <c:pivotFmt>
        <c:idx val="0"/>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Growth YoY'!$B$1</c:f>
              <c:strCache>
                <c:ptCount val="1"/>
                <c:pt idx="0">
                  <c:v>Total</c:v>
                </c:pt>
              </c:strCache>
            </c:strRef>
          </c:tx>
          <c:spPr>
            <a:solidFill>
              <a:srgbClr val="92D050"/>
            </a:solidFill>
            <a:ln>
              <a:noFill/>
            </a:ln>
            <a:effectLst>
              <a:outerShdw blurRad="57150" dist="19050" dir="5400000" algn="ctr" rotWithShape="0">
                <a:srgbClr val="000000">
                  <a:alpha val="63000"/>
                </a:srgbClr>
              </a:out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'Profit Growth YoY'!$A$2:$A$28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'Profit Growth YoY'!$B$2:$B$28</c:f>
              <c:numCache>
                <c:formatCode>#,##0.00</c:formatCode>
                <c:ptCount val="24"/>
                <c:pt idx="12">
                  <c:v>2052.2800000000025</c:v>
                </c:pt>
                <c:pt idx="13">
                  <c:v>1091.159999999998</c:v>
                </c:pt>
                <c:pt idx="14">
                  <c:v>-289.93000000000029</c:v>
                </c:pt>
                <c:pt idx="15">
                  <c:v>-841.75000000000182</c:v>
                </c:pt>
                <c:pt idx="16">
                  <c:v>2083.529999999997</c:v>
                </c:pt>
                <c:pt idx="17">
                  <c:v>-395.6299999999992</c:v>
                </c:pt>
                <c:pt idx="18">
                  <c:v>64.550000000004729</c:v>
                </c:pt>
                <c:pt idx="19">
                  <c:v>2472.7000000000025</c:v>
                </c:pt>
                <c:pt idx="20">
                  <c:v>-602.82999999999811</c:v>
                </c:pt>
                <c:pt idx="21">
                  <c:v>-1619.1100000000042</c:v>
                </c:pt>
                <c:pt idx="22">
                  <c:v>4057.269999999995</c:v>
                </c:pt>
                <c:pt idx="23">
                  <c:v>205.03999999999724</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a:outerShdw blurRad="57150" dist="19050" dir="5400000" algn="ctr" rotWithShape="0">
                      <a:srgbClr val="000000">
                        <a:alpha val="63000"/>
                      </a:srgbClr>
                    </a:outerShdw>
                  </a:effectLst>
                </c14:spPr>
              </c14:invertSolidFillFmt>
            </c:ext>
            <c:ext xmlns:c16="http://schemas.microsoft.com/office/drawing/2014/chart" uri="{C3380CC4-5D6E-409C-BE32-E72D297353CC}">
              <c16:uniqueId val="{00000000-0D51-4D9B-B70D-C3778C7B58DC}"/>
            </c:ext>
          </c:extLst>
        </c:ser>
        <c:dLbls>
          <c:showLegendKey val="0"/>
          <c:showVal val="0"/>
          <c:showCatName val="0"/>
          <c:showSerName val="0"/>
          <c:showPercent val="0"/>
          <c:showBubbleSize val="0"/>
        </c:dLbls>
        <c:gapWidth val="100"/>
        <c:overlap val="-24"/>
        <c:axId val="1248196288"/>
        <c:axId val="1248201568"/>
      </c:barChart>
      <c:catAx>
        <c:axId val="1248196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248201568"/>
        <c:crosses val="autoZero"/>
        <c:auto val="1"/>
        <c:lblAlgn val="ctr"/>
        <c:lblOffset val="100"/>
        <c:noMultiLvlLbl val="0"/>
      </c:catAx>
      <c:valAx>
        <c:axId val="124820156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24819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by Categories!PivotTable7</c:name>
    <c:fmtId val="0"/>
  </c:pivotSource>
  <c:chart>
    <c:autoTitleDeleted val="1"/>
    <c:pivotFmts>
      <c:pivotFmt>
        <c:idx val="0"/>
        <c:spPr>
          <a:solidFill>
            <a:schemeClr val="tx1">
              <a:lumMod val="95000"/>
              <a:lumOff val="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Categories'!$B$1</c:f>
              <c:strCache>
                <c:ptCount val="1"/>
                <c:pt idx="0">
                  <c:v>Total</c:v>
                </c:pt>
              </c:strCache>
            </c:strRef>
          </c:tx>
          <c:spPr>
            <a:solidFill>
              <a:schemeClr val="tx1">
                <a:lumMod val="95000"/>
                <a:lumOff val="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Categories'!$A$2:$A$7</c:f>
              <c:strCache>
                <c:ptCount val="5"/>
                <c:pt idx="0">
                  <c:v>Beverages &amp; Packaged Goods</c:v>
                </c:pt>
                <c:pt idx="1">
                  <c:v>Basic Food and Fresh Goods</c:v>
                </c:pt>
                <c:pt idx="2">
                  <c:v>Agriculture &amp; Animal Feed</c:v>
                </c:pt>
                <c:pt idx="3">
                  <c:v>Household Supplies</c:v>
                </c:pt>
                <c:pt idx="4">
                  <c:v>Tools &amp; Technical Equipment</c:v>
                </c:pt>
              </c:strCache>
            </c:strRef>
          </c:cat>
          <c:val>
            <c:numRef>
              <c:f>'Profit by Categories'!$B$2:$B$7</c:f>
              <c:numCache>
                <c:formatCode>#,##0.00</c:formatCode>
                <c:ptCount val="5"/>
                <c:pt idx="0">
                  <c:v>7118.5100000000093</c:v>
                </c:pt>
                <c:pt idx="1">
                  <c:v>9985.9499999999971</c:v>
                </c:pt>
                <c:pt idx="2">
                  <c:v>16663.189999999973</c:v>
                </c:pt>
                <c:pt idx="3">
                  <c:v>17548.869999999995</c:v>
                </c:pt>
                <c:pt idx="4">
                  <c:v>17591.400000000009</c:v>
                </c:pt>
              </c:numCache>
            </c:numRef>
          </c:val>
          <c:extLst>
            <c:ext xmlns:c16="http://schemas.microsoft.com/office/drawing/2014/chart" uri="{C3380CC4-5D6E-409C-BE32-E72D297353CC}">
              <c16:uniqueId val="{00000000-529A-4099-B378-B329DA674536}"/>
            </c:ext>
          </c:extLst>
        </c:ser>
        <c:dLbls>
          <c:dLblPos val="inEnd"/>
          <c:showLegendKey val="0"/>
          <c:showVal val="1"/>
          <c:showCatName val="0"/>
          <c:showSerName val="0"/>
          <c:showPercent val="0"/>
          <c:showBubbleSize val="0"/>
        </c:dLbls>
        <c:gapWidth val="65"/>
        <c:axId val="896486272"/>
        <c:axId val="896486752"/>
      </c:barChart>
      <c:catAx>
        <c:axId val="8964862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solidFill>
                    <a:schemeClr val="tx1">
                      <a:lumMod val="95000"/>
                      <a:lumOff val="5000"/>
                    </a:schemeClr>
                  </a:solidFill>
                </a:ln>
                <a:solidFill>
                  <a:schemeClr val="tx1">
                    <a:lumMod val="95000"/>
                    <a:lumOff val="5000"/>
                  </a:schemeClr>
                </a:solidFill>
                <a:latin typeface="+mn-lt"/>
                <a:ea typeface="+mn-ea"/>
                <a:cs typeface="+mn-cs"/>
              </a:defRPr>
            </a:pPr>
            <a:endParaRPr lang="sr-Latn-RS"/>
          </a:p>
        </c:txPr>
        <c:crossAx val="896486752"/>
        <c:crosses val="autoZero"/>
        <c:auto val="1"/>
        <c:lblAlgn val="ctr"/>
        <c:lblOffset val="100"/>
        <c:noMultiLvlLbl val="0"/>
      </c:catAx>
      <c:valAx>
        <c:axId val="896486752"/>
        <c:scaling>
          <c:orientation val="minMax"/>
        </c:scaling>
        <c:delete val="1"/>
        <c:axPos val="b"/>
        <c:numFmt formatCode="#,##0.00" sourceLinked="1"/>
        <c:majorTickMark val="none"/>
        <c:minorTickMark val="none"/>
        <c:tickLblPos val="nextTo"/>
        <c:crossAx val="89648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of top 15 products!PivotTable8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15 products by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sr-Latn-R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of top 15 products'!$B$1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of top 15 products'!$A$2:$A$17</c:f>
              <c:strCache>
                <c:ptCount val="15"/>
                <c:pt idx="0">
                  <c:v>Potato Chips – Salted Classic</c:v>
                </c:pt>
                <c:pt idx="1">
                  <c:v>Orange Juice – 100% Natural</c:v>
                </c:pt>
                <c:pt idx="2">
                  <c:v>Microfiber Mop – Extendable Handle</c:v>
                </c:pt>
                <c:pt idx="3">
                  <c:v>Cow Feed – High Energy Mix</c:v>
                </c:pt>
                <c:pt idx="4">
                  <c:v>Whole Wheat Bread – Family Size</c:v>
                </c:pt>
                <c:pt idx="5">
                  <c:v>Chocolate Bar – Family Pack</c:v>
                </c:pt>
                <c:pt idx="6">
                  <c:v>Laundry Powder – Heavy Duty</c:v>
                </c:pt>
                <c:pt idx="7">
                  <c:v>Plaster – Smooth Finish</c:v>
                </c:pt>
                <c:pt idx="8">
                  <c:v>Bathroom Cleaner – Extra Strength</c:v>
                </c:pt>
                <c:pt idx="9">
                  <c:v>Granulated Sugar – Premium Grade</c:v>
                </c:pt>
                <c:pt idx="10">
                  <c:v>Tile Adhesive – Waterproof</c:v>
                </c:pt>
                <c:pt idx="11">
                  <c:v>Fertilizer – Nitrogen Boost</c:v>
                </c:pt>
                <c:pt idx="12">
                  <c:v>Seed Bag – Wheat Premium</c:v>
                </c:pt>
                <c:pt idx="13">
                  <c:v>Window Cleaner – Industrial Grade</c:v>
                </c:pt>
                <c:pt idx="14">
                  <c:v>Measuring Tape – 148 Ft</c:v>
                </c:pt>
              </c:strCache>
            </c:strRef>
          </c:cat>
          <c:val>
            <c:numRef>
              <c:f>'Profit of top 15 products'!$B$2:$B$17</c:f>
              <c:numCache>
                <c:formatCode>#,##0.00</c:formatCode>
                <c:ptCount val="15"/>
                <c:pt idx="0">
                  <c:v>1439.8999999999996</c:v>
                </c:pt>
                <c:pt idx="1">
                  <c:v>1601.25</c:v>
                </c:pt>
                <c:pt idx="2">
                  <c:v>1628.0000000000036</c:v>
                </c:pt>
                <c:pt idx="3">
                  <c:v>1688.3999999999996</c:v>
                </c:pt>
                <c:pt idx="4">
                  <c:v>2283.6100000000006</c:v>
                </c:pt>
                <c:pt idx="5">
                  <c:v>2411.6399999999994</c:v>
                </c:pt>
                <c:pt idx="6">
                  <c:v>2603.9100000000017</c:v>
                </c:pt>
                <c:pt idx="7">
                  <c:v>2815.7999999999993</c:v>
                </c:pt>
                <c:pt idx="8">
                  <c:v>3020.6400000000012</c:v>
                </c:pt>
                <c:pt idx="9">
                  <c:v>3553.2000000000007</c:v>
                </c:pt>
                <c:pt idx="10">
                  <c:v>3958.7200000000012</c:v>
                </c:pt>
                <c:pt idx="11">
                  <c:v>4736.1599999999962</c:v>
                </c:pt>
                <c:pt idx="12">
                  <c:v>5334</c:v>
                </c:pt>
                <c:pt idx="13">
                  <c:v>5760</c:v>
                </c:pt>
                <c:pt idx="14">
                  <c:v>6073.9200000000019</c:v>
                </c:pt>
              </c:numCache>
            </c:numRef>
          </c:val>
          <c:extLst>
            <c:ext xmlns:c16="http://schemas.microsoft.com/office/drawing/2014/chart" uri="{C3380CC4-5D6E-409C-BE32-E72D297353CC}">
              <c16:uniqueId val="{00000000-29B9-45B8-BFC7-54C90079BBD2}"/>
            </c:ext>
          </c:extLst>
        </c:ser>
        <c:dLbls>
          <c:dLblPos val="inEnd"/>
          <c:showLegendKey val="0"/>
          <c:showVal val="1"/>
          <c:showCatName val="0"/>
          <c:showSerName val="0"/>
          <c:showPercent val="0"/>
          <c:showBubbleSize val="0"/>
        </c:dLbls>
        <c:gapWidth val="65"/>
        <c:axId val="1371969984"/>
        <c:axId val="1371957024"/>
      </c:barChart>
      <c:catAx>
        <c:axId val="1371969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solidFill>
                    <a:schemeClr val="tx1">
                      <a:lumMod val="95000"/>
                      <a:lumOff val="5000"/>
                    </a:schemeClr>
                  </a:solidFill>
                </a:ln>
                <a:solidFill>
                  <a:schemeClr val="tx1">
                    <a:lumMod val="95000"/>
                    <a:lumOff val="5000"/>
                  </a:schemeClr>
                </a:solidFill>
                <a:latin typeface="+mn-lt"/>
                <a:ea typeface="+mn-ea"/>
                <a:cs typeface="+mn-cs"/>
              </a:defRPr>
            </a:pPr>
            <a:endParaRPr lang="sr-Latn-RS"/>
          </a:p>
        </c:txPr>
        <c:crossAx val="1371957024"/>
        <c:crosses val="autoZero"/>
        <c:auto val="1"/>
        <c:lblAlgn val="ctr"/>
        <c:lblOffset val="100"/>
        <c:noMultiLvlLbl val="0"/>
      </c:catAx>
      <c:valAx>
        <c:axId val="1371957024"/>
        <c:scaling>
          <c:orientation val="minMax"/>
        </c:scaling>
        <c:delete val="1"/>
        <c:axPos val="b"/>
        <c:numFmt formatCode="#,##0.00" sourceLinked="1"/>
        <c:majorTickMark val="none"/>
        <c:minorTickMark val="none"/>
        <c:tickLblPos val="nextTo"/>
        <c:crossAx val="137196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Cash or Online!PivotTable9</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r-Latn-R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lumMod val="60000"/>
              <a:lumOff val="40000"/>
            </a:schemeClr>
          </a:solidFill>
          <a:ln>
            <a:solidFill>
              <a:srgbClr val="92D050"/>
            </a:solid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'Profit Cash or Online'!$B$1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CB-40D9-98A1-667531C42079}"/>
              </c:ext>
            </c:extLst>
          </c:dPt>
          <c:dPt>
            <c:idx val="1"/>
            <c:bubble3D val="0"/>
            <c:spPr>
              <a:solidFill>
                <a:schemeClr val="accent4">
                  <a:lumMod val="60000"/>
                  <a:lumOff val="40000"/>
                </a:schemeClr>
              </a:solidFill>
              <a:ln>
                <a:solidFill>
                  <a:srgbClr val="92D05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A93A-4F06-97C6-771D67BFFC3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r-Latn-R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'Profit Cash or Online'!$A$2:$A$4</c:f>
              <c:strCache>
                <c:ptCount val="2"/>
                <c:pt idx="0">
                  <c:v>Cash</c:v>
                </c:pt>
                <c:pt idx="1">
                  <c:v>Online</c:v>
                </c:pt>
              </c:strCache>
            </c:strRef>
          </c:cat>
          <c:val>
            <c:numRef>
              <c:f>'Profit Cash or Online'!$B$2:$B$4</c:f>
              <c:numCache>
                <c:formatCode>#,##0.00</c:formatCode>
                <c:ptCount val="2"/>
                <c:pt idx="0">
                  <c:v>35120.899999999965</c:v>
                </c:pt>
                <c:pt idx="1">
                  <c:v>33787.01999999996</c:v>
                </c:pt>
              </c:numCache>
            </c:numRef>
          </c:val>
          <c:extLst>
            <c:ext xmlns:c16="http://schemas.microsoft.com/office/drawing/2014/chart" uri="{C3380CC4-5D6E-409C-BE32-E72D297353CC}">
              <c16:uniqueId val="{00000000-A93A-4F06-97C6-771D67BFFC3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by sale type!PivotTable10</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'Profit by sale type'!$B$1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B8-4910-9536-FBA1169A236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4B8-4910-9536-FBA1169A236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4B8-4910-9536-FBA1169A23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by sale type'!$A$2:$A$5</c:f>
              <c:strCache>
                <c:ptCount val="3"/>
                <c:pt idx="0">
                  <c:v>Direct Sales</c:v>
                </c:pt>
                <c:pt idx="1">
                  <c:v>Online</c:v>
                </c:pt>
                <c:pt idx="2">
                  <c:v>Wholesaler</c:v>
                </c:pt>
              </c:strCache>
            </c:strRef>
          </c:cat>
          <c:val>
            <c:numRef>
              <c:f>'Profit by sale type'!$B$2:$B$5</c:f>
              <c:numCache>
                <c:formatCode>#,##0.00</c:formatCode>
                <c:ptCount val="3"/>
                <c:pt idx="0">
                  <c:v>36230.150000000052</c:v>
                </c:pt>
                <c:pt idx="1">
                  <c:v>22120.870000000024</c:v>
                </c:pt>
                <c:pt idx="2">
                  <c:v>10556.900000000009</c:v>
                </c:pt>
              </c:numCache>
            </c:numRef>
          </c:val>
          <c:extLst>
            <c:ext xmlns:c16="http://schemas.microsoft.com/office/drawing/2014/chart" uri="{C3380CC4-5D6E-409C-BE32-E72D297353CC}">
              <c16:uniqueId val="{00000000-20D4-4EF5-B051-5A9DB63D2C2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Margin!PivotTable11</c:name>
    <c:fmtId val="0"/>
  </c:pivotSource>
  <c:chart>
    <c:title>
      <c:tx>
        <c:rich>
          <a:bodyPr rot="0" spcFirstLastPara="1" vertOverflow="ellipsis" vert="horz" wrap="square" anchor="ctr" anchorCtr="1"/>
          <a:lstStyle/>
          <a:p>
            <a:pPr>
              <a:defRPr sz="1500" b="1" i="0" u="none" strike="noStrike" kern="1200" cap="all" spc="100" normalizeH="0" baseline="0">
                <a:solidFill>
                  <a:schemeClr val="tx1">
                    <a:lumMod val="95000"/>
                    <a:lumOff val="5000"/>
                  </a:schemeClr>
                </a:solidFill>
                <a:latin typeface="+mn-lt"/>
                <a:ea typeface="+mn-ea"/>
                <a:cs typeface="+mn-cs"/>
              </a:defRPr>
            </a:pPr>
            <a:r>
              <a:rPr lang="en-US">
                <a:solidFill>
                  <a:schemeClr val="tx1">
                    <a:lumMod val="95000"/>
                    <a:lumOff val="5000"/>
                  </a:schemeClr>
                </a:solidFill>
              </a:rPr>
              <a:t>Profit Margin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lumMod val="95000"/>
                  <a:lumOff val="5000"/>
                </a:schemeClr>
              </a:solidFill>
              <a:latin typeface="+mn-lt"/>
              <a:ea typeface="+mn-ea"/>
              <a:cs typeface="+mn-cs"/>
            </a:defRPr>
          </a:pPr>
          <a:endParaRPr lang="sr-Latn-R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'Profit Margin'!$B$1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'Profit Margin'!$A$2:$A$28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2021</c:v>
                  </c:pt>
                  <c:pt idx="12">
                    <c:v>2022</c:v>
                  </c:pt>
                </c:lvl>
              </c:multiLvlStrCache>
            </c:multiLvlStrRef>
          </c:cat>
          <c:val>
            <c:numRef>
              <c:f>'Profit Margin'!$B$2:$B$28</c:f>
              <c:numCache>
                <c:formatCode>0%</c:formatCode>
                <c:ptCount val="24"/>
                <c:pt idx="0">
                  <c:v>0.14085517079887</c:v>
                </c:pt>
                <c:pt idx="1">
                  <c:v>0.17562072520928973</c:v>
                </c:pt>
                <c:pt idx="2">
                  <c:v>0.16655450526468371</c:v>
                </c:pt>
                <c:pt idx="3">
                  <c:v>0.20124203159758816</c:v>
                </c:pt>
                <c:pt idx="4">
                  <c:v>0.14457628439225592</c:v>
                </c:pt>
                <c:pt idx="5">
                  <c:v>0.18398848813751462</c:v>
                </c:pt>
                <c:pt idx="6">
                  <c:v>0.13931634427766054</c:v>
                </c:pt>
                <c:pt idx="7">
                  <c:v>0.10761655487147971</c:v>
                </c:pt>
                <c:pt idx="8">
                  <c:v>0.18796296983847288</c:v>
                </c:pt>
                <c:pt idx="9">
                  <c:v>0.1779073917443619</c:v>
                </c:pt>
                <c:pt idx="10">
                  <c:v>0.14227407651715038</c:v>
                </c:pt>
                <c:pt idx="11">
                  <c:v>0.15457361769377737</c:v>
                </c:pt>
                <c:pt idx="12">
                  <c:v>0.1931427951090722</c:v>
                </c:pt>
                <c:pt idx="13">
                  <c:v>0.18093974772615617</c:v>
                </c:pt>
                <c:pt idx="14">
                  <c:v>0.20044995187285911</c:v>
                </c:pt>
                <c:pt idx="15">
                  <c:v>0.19667546006420242</c:v>
                </c:pt>
                <c:pt idx="16">
                  <c:v>0.14089624053336836</c:v>
                </c:pt>
                <c:pt idx="17">
                  <c:v>0.18660416107820715</c:v>
                </c:pt>
                <c:pt idx="18">
                  <c:v>0.16787932706762973</c:v>
                </c:pt>
                <c:pt idx="19">
                  <c:v>0.18853694612657212</c:v>
                </c:pt>
                <c:pt idx="20">
                  <c:v>0.17944913017824762</c:v>
                </c:pt>
                <c:pt idx="21">
                  <c:v>0.15481126008773044</c:v>
                </c:pt>
                <c:pt idx="22">
                  <c:v>0.20580341817909298</c:v>
                </c:pt>
                <c:pt idx="23">
                  <c:v>0.16700551341102166</c:v>
                </c:pt>
              </c:numCache>
            </c:numRef>
          </c:val>
          <c:extLst>
            <c:ext xmlns:c16="http://schemas.microsoft.com/office/drawing/2014/chart" uri="{C3380CC4-5D6E-409C-BE32-E72D297353CC}">
              <c16:uniqueId val="{00000000-0E81-4D9D-B978-9154323A70B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529823"/>
        <c:axId val="11525503"/>
      </c:areaChart>
      <c:catAx>
        <c:axId val="115298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sr-Latn-RS"/>
          </a:p>
        </c:txPr>
        <c:crossAx val="11525503"/>
        <c:crosses val="autoZero"/>
        <c:auto val="1"/>
        <c:lblAlgn val="ctr"/>
        <c:lblOffset val="100"/>
        <c:noMultiLvlLbl val="0"/>
      </c:catAx>
      <c:valAx>
        <c:axId val="11525503"/>
        <c:scaling>
          <c:orientation val="minMax"/>
        </c:scaling>
        <c:delete val="1"/>
        <c:axPos val="l"/>
        <c:numFmt formatCode="0%" sourceLinked="1"/>
        <c:majorTickMark val="out"/>
        <c:minorTickMark val="none"/>
        <c:tickLblPos val="nextTo"/>
        <c:crossAx val="115298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gradFill>
    <a:ln w="9525" cap="flat" cmpd="sng" algn="ctr">
      <a:solidFill>
        <a:schemeClr val="accent1"/>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Month And Price Category</a:t>
            </a:r>
            <a:endParaRPr lang="sr-Latn-R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sr-Latn-RS"/>
        </a:p>
      </c:txPr>
    </c:title>
    <c:autoTitleDeleted val="0"/>
    <c:plotArea>
      <c:layout/>
      <c:barChart>
        <c:barDir val="col"/>
        <c:grouping val="clustered"/>
        <c:varyColors val="0"/>
        <c:ser>
          <c:idx val="1"/>
          <c:order val="1"/>
          <c:tx>
            <c:strRef>
              <c:f>'Profit by Month and Price Cat'!$A$20</c:f>
              <c:strCache>
                <c:ptCount val="1"/>
                <c:pt idx="0">
                  <c:v>Cheap 47-87</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'Profit by Month and Price Cat'!$B$20:$M$20</c:f>
              <c:numCache>
                <c:formatCode>#,##0.00</c:formatCode>
                <c:ptCount val="12"/>
                <c:pt idx="0">
                  <c:v>1061.369999999999</c:v>
                </c:pt>
                <c:pt idx="1">
                  <c:v>918.49000000000069</c:v>
                </c:pt>
                <c:pt idx="2">
                  <c:v>701.77000000000044</c:v>
                </c:pt>
                <c:pt idx="3">
                  <c:v>822.72000000000025</c:v>
                </c:pt>
                <c:pt idx="4">
                  <c:v>1013.1899999999996</c:v>
                </c:pt>
                <c:pt idx="5">
                  <c:v>837.4399999999996</c:v>
                </c:pt>
                <c:pt idx="6">
                  <c:v>1284.1800000000003</c:v>
                </c:pt>
                <c:pt idx="7">
                  <c:v>1188.6599999999999</c:v>
                </c:pt>
                <c:pt idx="8">
                  <c:v>1319.0599999999995</c:v>
                </c:pt>
                <c:pt idx="9">
                  <c:v>848.55000000000109</c:v>
                </c:pt>
                <c:pt idx="10">
                  <c:v>945.67000000000007</c:v>
                </c:pt>
                <c:pt idx="11">
                  <c:v>888.93000000000211</c:v>
                </c:pt>
              </c:numCache>
            </c:numRef>
          </c:val>
          <c:extLst>
            <c:ext xmlns:c16="http://schemas.microsoft.com/office/drawing/2014/chart" uri="{C3380CC4-5D6E-409C-BE32-E72D297353CC}">
              <c16:uniqueId val="{00000001-EED2-4876-B6E8-F96CAA70F009}"/>
            </c:ext>
          </c:extLst>
        </c:ser>
        <c:ser>
          <c:idx val="2"/>
          <c:order val="2"/>
          <c:tx>
            <c:strRef>
              <c:f>'Profit by Month and Price Cat'!$A$21</c:f>
              <c:strCache>
                <c:ptCount val="1"/>
                <c:pt idx="0">
                  <c:v>Expensive 129-169</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'Profit by Month and Price Cat'!$B$21:$M$21</c:f>
              <c:numCache>
                <c:formatCode>#,##0.00</c:formatCode>
                <c:ptCount val="12"/>
                <c:pt idx="0">
                  <c:v>3053.8499999999985</c:v>
                </c:pt>
                <c:pt idx="1">
                  <c:v>2449.2199999999993</c:v>
                </c:pt>
                <c:pt idx="2">
                  <c:v>1463.2199999999993</c:v>
                </c:pt>
                <c:pt idx="3">
                  <c:v>1691.4300000000003</c:v>
                </c:pt>
                <c:pt idx="4">
                  <c:v>1505.4100000000017</c:v>
                </c:pt>
                <c:pt idx="5">
                  <c:v>2605.1800000000003</c:v>
                </c:pt>
                <c:pt idx="6">
                  <c:v>1784.0300000000007</c:v>
                </c:pt>
                <c:pt idx="7">
                  <c:v>1278.0900000000001</c:v>
                </c:pt>
                <c:pt idx="8">
                  <c:v>2008.4399999999987</c:v>
                </c:pt>
                <c:pt idx="9">
                  <c:v>2257.9799999999996</c:v>
                </c:pt>
                <c:pt idx="10">
                  <c:v>1101.6000000000004</c:v>
                </c:pt>
                <c:pt idx="11">
                  <c:v>1477.6399999999994</c:v>
                </c:pt>
              </c:numCache>
            </c:numRef>
          </c:val>
          <c:extLst>
            <c:ext xmlns:c16="http://schemas.microsoft.com/office/drawing/2014/chart" uri="{C3380CC4-5D6E-409C-BE32-E72D297353CC}">
              <c16:uniqueId val="{00000002-EED2-4876-B6E8-F96CAA70F009}"/>
            </c:ext>
          </c:extLst>
        </c:ser>
        <c:ser>
          <c:idx val="3"/>
          <c:order val="3"/>
          <c:tx>
            <c:strRef>
              <c:f>'Profit by Month and Price Cat'!$A$22</c:f>
              <c:strCache>
                <c:ptCount val="1"/>
                <c:pt idx="0">
                  <c:v>Moderate 88-128</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'Profit by Month and Price Cat'!$B$22:$M$22</c:f>
              <c:numCache>
                <c:formatCode>#,##0.00</c:formatCode>
                <c:ptCount val="12"/>
                <c:pt idx="0">
                  <c:v>1364.3199999999997</c:v>
                </c:pt>
                <c:pt idx="1">
                  <c:v>1258.3099999999986</c:v>
                </c:pt>
                <c:pt idx="2">
                  <c:v>1387.2600000000002</c:v>
                </c:pt>
                <c:pt idx="3">
                  <c:v>724.3799999999992</c:v>
                </c:pt>
                <c:pt idx="4">
                  <c:v>1246.3100000000013</c:v>
                </c:pt>
                <c:pt idx="5">
                  <c:v>1117.5100000000002</c:v>
                </c:pt>
                <c:pt idx="6">
                  <c:v>1200.9600000000009</c:v>
                </c:pt>
                <c:pt idx="7">
                  <c:v>1101.3300000000008</c:v>
                </c:pt>
                <c:pt idx="8">
                  <c:v>1477.4799999999996</c:v>
                </c:pt>
                <c:pt idx="9">
                  <c:v>612.04</c:v>
                </c:pt>
                <c:pt idx="10">
                  <c:v>2268.2499999999982</c:v>
                </c:pt>
                <c:pt idx="11">
                  <c:v>988.84000000000015</c:v>
                </c:pt>
              </c:numCache>
            </c:numRef>
          </c:val>
          <c:extLst>
            <c:ext xmlns:c16="http://schemas.microsoft.com/office/drawing/2014/chart" uri="{C3380CC4-5D6E-409C-BE32-E72D297353CC}">
              <c16:uniqueId val="{00000003-EED2-4876-B6E8-F96CAA70F009}"/>
            </c:ext>
          </c:extLst>
        </c:ser>
        <c:ser>
          <c:idx val="4"/>
          <c:order val="4"/>
          <c:tx>
            <c:strRef>
              <c:f>'Profit by Month and Price Cat'!$A$23</c:f>
              <c:strCache>
                <c:ptCount val="1"/>
                <c:pt idx="0">
                  <c:v>Very Cheap 6-46</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'Profit by Month and Price Cat'!$B$23:$M$23</c:f>
              <c:numCache>
                <c:formatCode>#,##0.00</c:formatCode>
                <c:ptCount val="12"/>
                <c:pt idx="0">
                  <c:v>95.300000000000011</c:v>
                </c:pt>
                <c:pt idx="1">
                  <c:v>197.64</c:v>
                </c:pt>
                <c:pt idx="2">
                  <c:v>386.35999999999967</c:v>
                </c:pt>
                <c:pt idx="3">
                  <c:v>369.57999999999993</c:v>
                </c:pt>
                <c:pt idx="4">
                  <c:v>260.73999999999978</c:v>
                </c:pt>
                <c:pt idx="5">
                  <c:v>399.90000000000009</c:v>
                </c:pt>
                <c:pt idx="6">
                  <c:v>147.61999999999989</c:v>
                </c:pt>
                <c:pt idx="7">
                  <c:v>425.40000000000055</c:v>
                </c:pt>
                <c:pt idx="8">
                  <c:v>199.02999999999997</c:v>
                </c:pt>
                <c:pt idx="9">
                  <c:v>114.19999999999999</c:v>
                </c:pt>
                <c:pt idx="10">
                  <c:v>203.35000000000014</c:v>
                </c:pt>
                <c:pt idx="11">
                  <c:v>285.6099999999999</c:v>
                </c:pt>
              </c:numCache>
            </c:numRef>
          </c:val>
          <c:extLst>
            <c:ext xmlns:c16="http://schemas.microsoft.com/office/drawing/2014/chart" uri="{C3380CC4-5D6E-409C-BE32-E72D297353CC}">
              <c16:uniqueId val="{00000004-EED2-4876-B6E8-F96CAA70F009}"/>
            </c:ext>
          </c:extLst>
        </c:ser>
        <c:ser>
          <c:idx val="5"/>
          <c:order val="5"/>
          <c:tx>
            <c:strRef>
              <c:f>'Profit by Month and Price Cat'!$A$24</c:f>
              <c:strCache>
                <c:ptCount val="1"/>
                <c:pt idx="0">
                  <c:v>Very Expensive 170-MAX</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'Profit by Month and Price Cat'!$B$24:$M$24</c:f>
              <c:numCache>
                <c:formatCode>#,##0.00</c:formatCode>
                <c:ptCount val="12"/>
                <c:pt idx="0">
                  <c:v>1482.12</c:v>
                </c:pt>
                <c:pt idx="1">
                  <c:v>692.63999999999987</c:v>
                </c:pt>
                <c:pt idx="2">
                  <c:v>1241.04</c:v>
                </c:pt>
                <c:pt idx="3">
                  <c:v>1689.0000000000009</c:v>
                </c:pt>
                <c:pt idx="4">
                  <c:v>358.79999999999995</c:v>
                </c:pt>
                <c:pt idx="5">
                  <c:v>694.67999999999984</c:v>
                </c:pt>
                <c:pt idx="6">
                  <c:v>957</c:v>
                </c:pt>
                <c:pt idx="7">
                  <c:v>1525.92</c:v>
                </c:pt>
                <c:pt idx="8">
                  <c:v>1480.8000000000002</c:v>
                </c:pt>
                <c:pt idx="9">
                  <c:v>1825.92</c:v>
                </c:pt>
                <c:pt idx="10">
                  <c:v>2299.2000000000007</c:v>
                </c:pt>
                <c:pt idx="11">
                  <c:v>2322.9599999999991</c:v>
                </c:pt>
              </c:numCache>
            </c:numRef>
          </c:val>
          <c:extLst>
            <c:ext xmlns:c16="http://schemas.microsoft.com/office/drawing/2014/chart" uri="{C3380CC4-5D6E-409C-BE32-E72D297353CC}">
              <c16:uniqueId val="{00000005-EED2-4876-B6E8-F96CAA70F009}"/>
            </c:ext>
          </c:extLst>
        </c:ser>
        <c:dLbls>
          <c:showLegendKey val="0"/>
          <c:showVal val="0"/>
          <c:showCatName val="0"/>
          <c:showSerName val="0"/>
          <c:showPercent val="0"/>
          <c:showBubbleSize val="0"/>
        </c:dLbls>
        <c:gapWidth val="0"/>
        <c:overlap val="-100"/>
        <c:axId val="262264559"/>
        <c:axId val="262265039"/>
        <c:extLst>
          <c:ext xmlns:c15="http://schemas.microsoft.com/office/drawing/2012/chart" uri="{02D57815-91ED-43cb-92C2-25804820EDAC}">
            <c15:filteredBarSeries>
              <c15:ser>
                <c:idx val="0"/>
                <c:order val="0"/>
                <c:tx>
                  <c:strRef>
                    <c:extLst>
                      <c:ext uri="{02D57815-91ED-43cb-92C2-25804820EDAC}">
                        <c15:formulaRef>
                          <c15:sqref>'Profit by Month and Price Cat'!$A$19</c15:sqref>
                        </c15:formulaRef>
                      </c:ext>
                    </c:extLst>
                    <c:strCache>
                      <c:ptCount val="1"/>
                      <c:pt idx="0">
                        <c:v>Row Labels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extLst>
                      <c:ext uri="{02D57815-91ED-43cb-92C2-25804820EDAC}">
                        <c15:formulaRef>
                          <c15:sqref>'Profit by Month and Price Cat'!$B$19:$M$19</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extLst>
                  <c:ext xmlns:c16="http://schemas.microsoft.com/office/drawing/2014/chart" uri="{C3380CC4-5D6E-409C-BE32-E72D297353CC}">
                    <c16:uniqueId val="{00000000-EED2-4876-B6E8-F96CAA70F009}"/>
                  </c:ext>
                </c:extLst>
              </c15:ser>
            </c15:filteredBarSeries>
          </c:ext>
        </c:extLst>
      </c:barChart>
      <c:barChart>
        <c:barDir val="col"/>
        <c:grouping val="clustered"/>
        <c:varyColors val="0"/>
        <c:ser>
          <c:idx val="6"/>
          <c:order val="6"/>
          <c:tx>
            <c:strRef>
              <c:f>'Profit by Month and Price Cat'!$A$25</c:f>
              <c:strCache>
                <c:ptCount val="1"/>
                <c:pt idx="0">
                  <c:v>Grand Total</c:v>
                </c:pt>
              </c:strCache>
            </c:strRef>
          </c:tx>
          <c:spPr>
            <a:solidFill>
              <a:schemeClr val="accent6">
                <a:lumMod val="60000"/>
                <a:lumOff val="40000"/>
                <a:alpha val="23000"/>
              </a:schemeClr>
            </a:solidFill>
            <a:ln>
              <a:solidFill>
                <a:schemeClr val="accent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'Profit by Month and Price Cat'!$B$25:$M$25</c:f>
              <c:numCache>
                <c:formatCode>#,##0.00</c:formatCode>
                <c:ptCount val="12"/>
                <c:pt idx="0">
                  <c:v>7056.9599999999991</c:v>
                </c:pt>
                <c:pt idx="1">
                  <c:v>5516.3000000000029</c:v>
                </c:pt>
                <c:pt idx="2">
                  <c:v>5179.6499999999942</c:v>
                </c:pt>
                <c:pt idx="3">
                  <c:v>5297.1100000000042</c:v>
                </c:pt>
                <c:pt idx="4">
                  <c:v>4384.4500000000007</c:v>
                </c:pt>
                <c:pt idx="5">
                  <c:v>5654.7099999999991</c:v>
                </c:pt>
                <c:pt idx="6">
                  <c:v>5373.7899999999936</c:v>
                </c:pt>
                <c:pt idx="7">
                  <c:v>5519.3999999999942</c:v>
                </c:pt>
                <c:pt idx="8">
                  <c:v>6484.8099999999977</c:v>
                </c:pt>
                <c:pt idx="9">
                  <c:v>5658.6900000000023</c:v>
                </c:pt>
                <c:pt idx="10">
                  <c:v>6818.07</c:v>
                </c:pt>
                <c:pt idx="11">
                  <c:v>5963.9800000000032</c:v>
                </c:pt>
              </c:numCache>
            </c:numRef>
          </c:val>
          <c:extLst>
            <c:ext xmlns:c16="http://schemas.microsoft.com/office/drawing/2014/chart" uri="{C3380CC4-5D6E-409C-BE32-E72D297353CC}">
              <c16:uniqueId val="{00000006-EED2-4876-B6E8-F96CAA70F009}"/>
            </c:ext>
          </c:extLst>
        </c:ser>
        <c:dLbls>
          <c:showLegendKey val="0"/>
          <c:showVal val="0"/>
          <c:showCatName val="0"/>
          <c:showSerName val="0"/>
          <c:showPercent val="0"/>
          <c:showBubbleSize val="0"/>
        </c:dLbls>
        <c:gapWidth val="0"/>
        <c:overlap val="100"/>
        <c:axId val="280688863"/>
        <c:axId val="280683103"/>
      </c:barChart>
      <c:catAx>
        <c:axId val="262264559"/>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262265039"/>
        <c:crosses val="autoZero"/>
        <c:auto val="1"/>
        <c:lblAlgn val="ctr"/>
        <c:lblOffset val="100"/>
        <c:noMultiLvlLbl val="0"/>
      </c:catAx>
      <c:valAx>
        <c:axId val="26226503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262264559"/>
        <c:crosses val="autoZero"/>
        <c:crossBetween val="between"/>
      </c:valAx>
      <c:valAx>
        <c:axId val="280683103"/>
        <c:scaling>
          <c:orientation val="minMax"/>
          <c:max val="7100"/>
          <c:min val="0"/>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280688863"/>
        <c:crosses val="max"/>
        <c:crossBetween val="between"/>
      </c:valAx>
      <c:catAx>
        <c:axId val="280688863"/>
        <c:scaling>
          <c:orientation val="minMax"/>
        </c:scaling>
        <c:delete val="1"/>
        <c:axPos val="b"/>
        <c:majorTickMark val="none"/>
        <c:minorTickMark val="none"/>
        <c:tickLblPos val="nextTo"/>
        <c:crossAx val="2806831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Profit By</a:t>
            </a:r>
            <a:r>
              <a:rPr lang="en-US" baseline="0"/>
              <a:t> Months And Categories</a:t>
            </a:r>
            <a:endParaRPr lang="sr-Latn-R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sr-Latn-RS"/>
        </a:p>
      </c:txPr>
    </c:title>
    <c:autoTitleDeleted val="0"/>
    <c:plotArea>
      <c:layout/>
      <c:barChart>
        <c:barDir val="col"/>
        <c:grouping val="clustered"/>
        <c:varyColors val="0"/>
        <c:ser>
          <c:idx val="1"/>
          <c:order val="1"/>
          <c:tx>
            <c:strRef>
              <c:f>'Profit by M and Categories'!$A$37</c:f>
              <c:strCache>
                <c:ptCount val="1"/>
                <c:pt idx="0">
                  <c:v>Agriculture &amp; Animal Feed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val>
            <c:numRef>
              <c:f>'Profit by M and Categories'!$B$37:$M$37</c:f>
              <c:numCache>
                <c:formatCode>#,##0.00</c:formatCode>
                <c:ptCount val="12"/>
                <c:pt idx="0">
                  <c:v>2229.6799999999985</c:v>
                </c:pt>
                <c:pt idx="1">
                  <c:v>613.72000000000025</c:v>
                </c:pt>
                <c:pt idx="2">
                  <c:v>934.13999999999942</c:v>
                </c:pt>
                <c:pt idx="3">
                  <c:v>1067.7600000000002</c:v>
                </c:pt>
                <c:pt idx="4">
                  <c:v>971.27999999999975</c:v>
                </c:pt>
                <c:pt idx="5">
                  <c:v>1602.8400000000001</c:v>
                </c:pt>
                <c:pt idx="6">
                  <c:v>1653.9599999999991</c:v>
                </c:pt>
                <c:pt idx="7">
                  <c:v>526.19999999999982</c:v>
                </c:pt>
                <c:pt idx="8">
                  <c:v>2360.3600000000006</c:v>
                </c:pt>
                <c:pt idx="9">
                  <c:v>669.60000000000036</c:v>
                </c:pt>
                <c:pt idx="10">
                  <c:v>1770.6900000000005</c:v>
                </c:pt>
                <c:pt idx="11">
                  <c:v>2262.9599999999973</c:v>
                </c:pt>
              </c:numCache>
            </c:numRef>
          </c:val>
          <c:extLst>
            <c:ext xmlns:c16="http://schemas.microsoft.com/office/drawing/2014/chart" uri="{C3380CC4-5D6E-409C-BE32-E72D297353CC}">
              <c16:uniqueId val="{00000001-3EFA-4318-96EB-C74A0B3EDDA6}"/>
            </c:ext>
          </c:extLst>
        </c:ser>
        <c:ser>
          <c:idx val="2"/>
          <c:order val="2"/>
          <c:tx>
            <c:strRef>
              <c:f>'Profit by M and Categories'!$A$38</c:f>
              <c:strCache>
                <c:ptCount val="1"/>
                <c:pt idx="0">
                  <c:v>Basic Food and Fresh Goods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val>
            <c:numRef>
              <c:f>'Profit by M and Categories'!$B$38:$M$38</c:f>
              <c:numCache>
                <c:formatCode>#,##0.00</c:formatCode>
                <c:ptCount val="12"/>
                <c:pt idx="0">
                  <c:v>757.70000000000073</c:v>
                </c:pt>
                <c:pt idx="1">
                  <c:v>1824.4400000000023</c:v>
                </c:pt>
                <c:pt idx="2">
                  <c:v>566.81999999999971</c:v>
                </c:pt>
                <c:pt idx="3">
                  <c:v>736.84999999999945</c:v>
                </c:pt>
                <c:pt idx="4">
                  <c:v>854.70000000000073</c:v>
                </c:pt>
                <c:pt idx="5">
                  <c:v>883.45000000000073</c:v>
                </c:pt>
                <c:pt idx="6">
                  <c:v>1112.3199999999988</c:v>
                </c:pt>
                <c:pt idx="7">
                  <c:v>653.43000000000029</c:v>
                </c:pt>
                <c:pt idx="8">
                  <c:v>828.79999999999927</c:v>
                </c:pt>
                <c:pt idx="9">
                  <c:v>873.10999999999967</c:v>
                </c:pt>
                <c:pt idx="10">
                  <c:v>387.47000000000025</c:v>
                </c:pt>
                <c:pt idx="11">
                  <c:v>506.86000000000058</c:v>
                </c:pt>
              </c:numCache>
            </c:numRef>
          </c:val>
          <c:extLst>
            <c:ext xmlns:c16="http://schemas.microsoft.com/office/drawing/2014/chart" uri="{C3380CC4-5D6E-409C-BE32-E72D297353CC}">
              <c16:uniqueId val="{00000002-3EFA-4318-96EB-C74A0B3EDDA6}"/>
            </c:ext>
          </c:extLst>
        </c:ser>
        <c:ser>
          <c:idx val="3"/>
          <c:order val="3"/>
          <c:tx>
            <c:strRef>
              <c:f>'Profit by M and Categories'!$A$39</c:f>
              <c:strCache>
                <c:ptCount val="1"/>
                <c:pt idx="0">
                  <c:v>Beverages &amp; Packaged Goods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val>
            <c:numRef>
              <c:f>'Profit by M and Categories'!$B$39:$M$39</c:f>
              <c:numCache>
                <c:formatCode>#,##0.00</c:formatCode>
                <c:ptCount val="12"/>
                <c:pt idx="0">
                  <c:v>558.44999999999982</c:v>
                </c:pt>
                <c:pt idx="1">
                  <c:v>121.26999999999998</c:v>
                </c:pt>
                <c:pt idx="2">
                  <c:v>723.18000000000029</c:v>
                </c:pt>
                <c:pt idx="3">
                  <c:v>287.98</c:v>
                </c:pt>
                <c:pt idx="4">
                  <c:v>696.22000000000025</c:v>
                </c:pt>
                <c:pt idx="5">
                  <c:v>1301.8599999999988</c:v>
                </c:pt>
                <c:pt idx="6">
                  <c:v>267.73999999999978</c:v>
                </c:pt>
                <c:pt idx="7">
                  <c:v>1081.9300000000003</c:v>
                </c:pt>
                <c:pt idx="8">
                  <c:v>502.39000000000033</c:v>
                </c:pt>
                <c:pt idx="9">
                  <c:v>1052.1599999999999</c:v>
                </c:pt>
                <c:pt idx="10">
                  <c:v>259.25</c:v>
                </c:pt>
                <c:pt idx="11">
                  <c:v>266.07999999999993</c:v>
                </c:pt>
              </c:numCache>
            </c:numRef>
          </c:val>
          <c:extLst>
            <c:ext xmlns:c16="http://schemas.microsoft.com/office/drawing/2014/chart" uri="{C3380CC4-5D6E-409C-BE32-E72D297353CC}">
              <c16:uniqueId val="{00000003-3EFA-4318-96EB-C74A0B3EDDA6}"/>
            </c:ext>
          </c:extLst>
        </c:ser>
        <c:ser>
          <c:idx val="4"/>
          <c:order val="4"/>
          <c:tx>
            <c:strRef>
              <c:f>'Profit by M and Categories'!$A$40</c:f>
              <c:strCache>
                <c:ptCount val="1"/>
                <c:pt idx="0">
                  <c:v>Household Supplies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val>
            <c:numRef>
              <c:f>'Profit by M and Categories'!$B$40:$M$40</c:f>
              <c:numCache>
                <c:formatCode>#,##0.00</c:formatCode>
                <c:ptCount val="12"/>
                <c:pt idx="0">
                  <c:v>1895.6399999999994</c:v>
                </c:pt>
                <c:pt idx="1">
                  <c:v>1321.2599999999984</c:v>
                </c:pt>
                <c:pt idx="2">
                  <c:v>659.25999999999976</c:v>
                </c:pt>
                <c:pt idx="3">
                  <c:v>1724.9499999999998</c:v>
                </c:pt>
                <c:pt idx="4">
                  <c:v>1197.3300000000017</c:v>
                </c:pt>
                <c:pt idx="5">
                  <c:v>1111.5000000000009</c:v>
                </c:pt>
                <c:pt idx="6">
                  <c:v>786.39999999999964</c:v>
                </c:pt>
                <c:pt idx="7">
                  <c:v>1279.6499999999996</c:v>
                </c:pt>
                <c:pt idx="8">
                  <c:v>1183.9799999999996</c:v>
                </c:pt>
                <c:pt idx="9">
                  <c:v>1770</c:v>
                </c:pt>
                <c:pt idx="10">
                  <c:v>2867.1199999999972</c:v>
                </c:pt>
                <c:pt idx="11">
                  <c:v>1751.7800000000007</c:v>
                </c:pt>
              </c:numCache>
            </c:numRef>
          </c:val>
          <c:extLst>
            <c:ext xmlns:c16="http://schemas.microsoft.com/office/drawing/2014/chart" uri="{C3380CC4-5D6E-409C-BE32-E72D297353CC}">
              <c16:uniqueId val="{00000004-3EFA-4318-96EB-C74A0B3EDDA6}"/>
            </c:ext>
          </c:extLst>
        </c:ser>
        <c:ser>
          <c:idx val="5"/>
          <c:order val="5"/>
          <c:tx>
            <c:strRef>
              <c:f>'Profit by M and Categories'!$A$41</c:f>
              <c:strCache>
                <c:ptCount val="1"/>
                <c:pt idx="0">
                  <c:v>Tools &amp; Technical Equipment</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val>
            <c:numRef>
              <c:f>'Profit by M and Categories'!$B$41:$M$41</c:f>
              <c:numCache>
                <c:formatCode>#,##0.00</c:formatCode>
                <c:ptCount val="12"/>
                <c:pt idx="0">
                  <c:v>1615.4899999999998</c:v>
                </c:pt>
                <c:pt idx="1">
                  <c:v>1635.6099999999988</c:v>
                </c:pt>
                <c:pt idx="2">
                  <c:v>2296.25</c:v>
                </c:pt>
                <c:pt idx="3">
                  <c:v>1479.5699999999988</c:v>
                </c:pt>
                <c:pt idx="4">
                  <c:v>664.92000000000007</c:v>
                </c:pt>
                <c:pt idx="5">
                  <c:v>755.05999999999949</c:v>
                </c:pt>
                <c:pt idx="6">
                  <c:v>1553.3700000000008</c:v>
                </c:pt>
                <c:pt idx="7">
                  <c:v>1978.1899999999987</c:v>
                </c:pt>
                <c:pt idx="8">
                  <c:v>1609.2800000000007</c:v>
                </c:pt>
                <c:pt idx="9">
                  <c:v>1293.8199999999997</c:v>
                </c:pt>
                <c:pt idx="10">
                  <c:v>1533.5400000000009</c:v>
                </c:pt>
                <c:pt idx="11">
                  <c:v>1176.2999999999993</c:v>
                </c:pt>
              </c:numCache>
            </c:numRef>
          </c:val>
          <c:extLst>
            <c:ext xmlns:c16="http://schemas.microsoft.com/office/drawing/2014/chart" uri="{C3380CC4-5D6E-409C-BE32-E72D297353CC}">
              <c16:uniqueId val="{00000005-3EFA-4318-96EB-C74A0B3EDDA6}"/>
            </c:ext>
          </c:extLst>
        </c:ser>
        <c:dLbls>
          <c:showLegendKey val="0"/>
          <c:showVal val="0"/>
          <c:showCatName val="0"/>
          <c:showSerName val="0"/>
          <c:showPercent val="0"/>
          <c:showBubbleSize val="0"/>
        </c:dLbls>
        <c:gapWidth val="315"/>
        <c:overlap val="-40"/>
        <c:axId val="289632479"/>
        <c:axId val="289632959"/>
        <c:extLst>
          <c:ext xmlns:c15="http://schemas.microsoft.com/office/drawing/2012/chart" uri="{02D57815-91ED-43cb-92C2-25804820EDAC}">
            <c15:filteredBarSeries>
              <c15:ser>
                <c:idx val="0"/>
                <c:order val="0"/>
                <c:tx>
                  <c:strRef>
                    <c:extLst>
                      <c:ext uri="{02D57815-91ED-43cb-92C2-25804820EDAC}">
                        <c15:formulaRef>
                          <c15:sqref>'Profit by M and Categories'!$A$36</c15:sqref>
                        </c15:formulaRef>
                      </c:ext>
                    </c:extLst>
                    <c:strCache>
                      <c:ptCount val="1"/>
                      <c:pt idx="0">
                        <c:v>Row Labels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val>
                  <c:numRef>
                    <c:extLst>
                      <c:ext uri="{02D57815-91ED-43cb-92C2-25804820EDAC}">
                        <c15:formulaRef>
                          <c15:sqref>'Profit by M and Categories'!$B$36:$M$36</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extLst>
                  <c:ext xmlns:c16="http://schemas.microsoft.com/office/drawing/2014/chart" uri="{C3380CC4-5D6E-409C-BE32-E72D297353CC}">
                    <c16:uniqueId val="{00000000-3EFA-4318-96EB-C74A0B3EDDA6}"/>
                  </c:ext>
                </c:extLst>
              </c15:ser>
            </c15:filteredBarSeries>
          </c:ext>
        </c:extLst>
      </c:barChart>
      <c:barChart>
        <c:barDir val="col"/>
        <c:grouping val="clustered"/>
        <c:varyColors val="0"/>
        <c:ser>
          <c:idx val="6"/>
          <c:order val="6"/>
          <c:tx>
            <c:strRef>
              <c:f>'Profit by M and Categories'!$A$42</c:f>
              <c:strCache>
                <c:ptCount val="1"/>
                <c:pt idx="0">
                  <c:v>Grand Total</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'Profit by M and Categories'!$B$42:$M$42</c:f>
              <c:numCache>
                <c:formatCode>#,##0.00</c:formatCode>
                <c:ptCount val="12"/>
                <c:pt idx="0">
                  <c:v>7056.9599999999991</c:v>
                </c:pt>
                <c:pt idx="1">
                  <c:v>5516.3000000000029</c:v>
                </c:pt>
                <c:pt idx="2">
                  <c:v>5179.6499999999942</c:v>
                </c:pt>
                <c:pt idx="3">
                  <c:v>5297.1100000000042</c:v>
                </c:pt>
                <c:pt idx="4">
                  <c:v>4384.4500000000007</c:v>
                </c:pt>
                <c:pt idx="5">
                  <c:v>5654.7099999999991</c:v>
                </c:pt>
                <c:pt idx="6">
                  <c:v>5373.7899999999936</c:v>
                </c:pt>
                <c:pt idx="7">
                  <c:v>5519.3999999999942</c:v>
                </c:pt>
                <c:pt idx="8">
                  <c:v>6484.8099999999977</c:v>
                </c:pt>
                <c:pt idx="9">
                  <c:v>5658.6900000000023</c:v>
                </c:pt>
                <c:pt idx="10">
                  <c:v>6818.07</c:v>
                </c:pt>
                <c:pt idx="11">
                  <c:v>5963.9800000000032</c:v>
                </c:pt>
              </c:numCache>
            </c:numRef>
          </c:val>
          <c:extLst>
            <c:ext xmlns:c16="http://schemas.microsoft.com/office/drawing/2014/chart" uri="{C3380CC4-5D6E-409C-BE32-E72D297353CC}">
              <c16:uniqueId val="{00000006-3EFA-4318-96EB-C74A0B3EDDA6}"/>
            </c:ext>
          </c:extLst>
        </c:ser>
        <c:dLbls>
          <c:showLegendKey val="0"/>
          <c:showVal val="0"/>
          <c:showCatName val="0"/>
          <c:showSerName val="0"/>
          <c:showPercent val="0"/>
          <c:showBubbleSize val="0"/>
        </c:dLbls>
        <c:gapWidth val="24"/>
        <c:overlap val="100"/>
        <c:axId val="751141967"/>
        <c:axId val="751141007"/>
      </c:barChart>
      <c:catAx>
        <c:axId val="2896324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289632959"/>
        <c:crosses val="autoZero"/>
        <c:auto val="1"/>
        <c:lblAlgn val="ctr"/>
        <c:lblOffset val="100"/>
        <c:noMultiLvlLbl val="0"/>
      </c:catAx>
      <c:valAx>
        <c:axId val="2896329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289632479"/>
        <c:crosses val="autoZero"/>
        <c:crossBetween val="between"/>
      </c:valAx>
      <c:valAx>
        <c:axId val="75114100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751141967"/>
        <c:crosses val="max"/>
        <c:crossBetween val="between"/>
      </c:valAx>
      <c:catAx>
        <c:axId val="751141967"/>
        <c:scaling>
          <c:orientation val="minMax"/>
        </c:scaling>
        <c:delete val="1"/>
        <c:axPos val="b"/>
        <c:majorTickMark val="out"/>
        <c:minorTickMark val="none"/>
        <c:tickLblPos val="nextTo"/>
        <c:crossAx val="75114100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sr-Latn-R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by M and Sale Type!PivotTable2</c:name>
    <c:fmtId val="0"/>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4.9099836333878766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75455417066154E-3"/>
              <c:y val="-2.6186579378068741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75455417066154E-3"/>
              <c:y val="3.2733224222585927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309190978135335E-17"/>
              <c:y val="2.618657937806862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3.2733224222585927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75455417066154E-3"/>
              <c:y val="4.5826513911620292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M and Sale Type'!$B$1:$B$2</c:f>
              <c:strCache>
                <c:ptCount val="1"/>
                <c:pt idx="0">
                  <c:v>Direct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5-FCD1-447E-9487-8198E12B8906}"/>
              </c:ext>
            </c:extLst>
          </c:dPt>
          <c:dPt>
            <c:idx val="2"/>
            <c:invertIfNegative val="0"/>
            <c:bubble3D val="0"/>
            <c:extLst>
              <c:ext xmlns:c16="http://schemas.microsoft.com/office/drawing/2014/chart" uri="{C3380CC4-5D6E-409C-BE32-E72D297353CC}">
                <c16:uniqueId val="{00000004-FCD1-447E-9487-8198E12B8906}"/>
              </c:ext>
            </c:extLst>
          </c:dPt>
          <c:dPt>
            <c:idx val="4"/>
            <c:invertIfNegative val="0"/>
            <c:bubble3D val="0"/>
            <c:extLst>
              <c:ext xmlns:c16="http://schemas.microsoft.com/office/drawing/2014/chart" uri="{C3380CC4-5D6E-409C-BE32-E72D297353CC}">
                <c16:uniqueId val="{00000006-FCD1-447E-9487-8198E12B8906}"/>
              </c:ext>
            </c:extLst>
          </c:dPt>
          <c:dPt>
            <c:idx val="5"/>
            <c:invertIfNegative val="0"/>
            <c:bubble3D val="0"/>
            <c:extLst>
              <c:ext xmlns:c16="http://schemas.microsoft.com/office/drawing/2014/chart" uri="{C3380CC4-5D6E-409C-BE32-E72D297353CC}">
                <c16:uniqueId val="{00000007-FCD1-447E-9487-8198E12B8906}"/>
              </c:ext>
            </c:extLst>
          </c:dPt>
          <c:dPt>
            <c:idx val="6"/>
            <c:invertIfNegative val="0"/>
            <c:bubble3D val="0"/>
            <c:extLst>
              <c:ext xmlns:c16="http://schemas.microsoft.com/office/drawing/2014/chart" uri="{C3380CC4-5D6E-409C-BE32-E72D297353CC}">
                <c16:uniqueId val="{00000008-FCD1-447E-9487-8198E12B8906}"/>
              </c:ext>
            </c:extLst>
          </c:dPt>
          <c:dPt>
            <c:idx val="7"/>
            <c:invertIfNegative val="0"/>
            <c:bubble3D val="0"/>
            <c:extLst>
              <c:ext xmlns:c16="http://schemas.microsoft.com/office/drawing/2014/chart" uri="{C3380CC4-5D6E-409C-BE32-E72D297353CC}">
                <c16:uniqueId val="{00000009-FCD1-447E-9487-8198E12B8906}"/>
              </c:ext>
            </c:extLst>
          </c:dPt>
          <c:dLbls>
            <c:dLbl>
              <c:idx val="0"/>
              <c:layout>
                <c:manualLayout>
                  <c:x val="1.9175455417066154E-3"/>
                  <c:y val="-2.61865793780687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D1-447E-9487-8198E12B8906}"/>
                </c:ext>
              </c:extLst>
            </c:dLbl>
            <c:dLbl>
              <c:idx val="2"/>
              <c:layout>
                <c:manualLayout>
                  <c:x val="0"/>
                  <c:y val="4.90998363338787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CD1-447E-9487-8198E12B8906}"/>
                </c:ext>
              </c:extLst>
            </c:dLbl>
            <c:dLbl>
              <c:idx val="4"/>
              <c:layout>
                <c:manualLayout>
                  <c:x val="-1.9175455417066154E-3"/>
                  <c:y val="3.2733224222585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CD1-447E-9487-8198E12B8906}"/>
                </c:ext>
              </c:extLst>
            </c:dLbl>
            <c:dLbl>
              <c:idx val="5"/>
              <c:layout>
                <c:manualLayout>
                  <c:x val="-7.0309190978135335E-17"/>
                  <c:y val="2.6186579378068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CD1-447E-9487-8198E12B8906}"/>
                </c:ext>
              </c:extLst>
            </c:dLbl>
            <c:dLbl>
              <c:idx val="6"/>
              <c:layout>
                <c:manualLayout>
                  <c:x val="0"/>
                  <c:y val="-3.2733224222585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CD1-447E-9487-8198E12B8906}"/>
                </c:ext>
              </c:extLst>
            </c:dLbl>
            <c:dLbl>
              <c:idx val="7"/>
              <c:layout>
                <c:manualLayout>
                  <c:x val="1.9175455417066154E-3"/>
                  <c:y val="4.58265139116202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CD1-447E-9487-8198E12B8906}"/>
                </c:ext>
              </c:extLst>
            </c:dLbl>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by M and Sale Type'!$A$3:$A$15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'Profit by M and Sale Type'!$B$3:$B$15</c:f>
              <c:numCache>
                <c:formatCode>#,##0.00</c:formatCode>
                <c:ptCount val="12"/>
                <c:pt idx="0">
                  <c:v>3319.7399999999943</c:v>
                </c:pt>
                <c:pt idx="1">
                  <c:v>2489.6800000000003</c:v>
                </c:pt>
                <c:pt idx="2">
                  <c:v>2531.119999999999</c:v>
                </c:pt>
                <c:pt idx="3">
                  <c:v>3947.84</c:v>
                </c:pt>
                <c:pt idx="4">
                  <c:v>1788.4799999999996</c:v>
                </c:pt>
                <c:pt idx="5">
                  <c:v>2791.4300000000003</c:v>
                </c:pt>
                <c:pt idx="6">
                  <c:v>3165.4799999999959</c:v>
                </c:pt>
                <c:pt idx="7">
                  <c:v>3453.8799999999974</c:v>
                </c:pt>
                <c:pt idx="8">
                  <c:v>4209.8600000000006</c:v>
                </c:pt>
                <c:pt idx="9">
                  <c:v>2329.9900000000016</c:v>
                </c:pt>
                <c:pt idx="10">
                  <c:v>3817.8700000000026</c:v>
                </c:pt>
                <c:pt idx="11">
                  <c:v>2384.7800000000025</c:v>
                </c:pt>
              </c:numCache>
            </c:numRef>
          </c:val>
          <c:extLst>
            <c:ext xmlns:c16="http://schemas.microsoft.com/office/drawing/2014/chart" uri="{C3380CC4-5D6E-409C-BE32-E72D297353CC}">
              <c16:uniqueId val="{00000000-FCD1-447E-9487-8198E12B8906}"/>
            </c:ext>
          </c:extLst>
        </c:ser>
        <c:ser>
          <c:idx val="1"/>
          <c:order val="1"/>
          <c:tx>
            <c:strRef>
              <c:f>'Profit by M and Sale Type'!$C$1:$C$2</c:f>
              <c:strCache>
                <c:ptCount val="1"/>
                <c:pt idx="0">
                  <c:v>Online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by M and Sale Type'!$A$3:$A$15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'Profit by M and Sale Type'!$C$3:$C$15</c:f>
              <c:numCache>
                <c:formatCode>#,##0.00</c:formatCode>
                <c:ptCount val="12"/>
                <c:pt idx="0">
                  <c:v>2778.3899999999994</c:v>
                </c:pt>
                <c:pt idx="1">
                  <c:v>2699.970000000003</c:v>
                </c:pt>
                <c:pt idx="2">
                  <c:v>1617.75</c:v>
                </c:pt>
                <c:pt idx="3">
                  <c:v>1085.6099999999988</c:v>
                </c:pt>
                <c:pt idx="4">
                  <c:v>1685.7299999999996</c:v>
                </c:pt>
                <c:pt idx="5">
                  <c:v>1065.6099999999997</c:v>
                </c:pt>
                <c:pt idx="6">
                  <c:v>1713.3099999999995</c:v>
                </c:pt>
                <c:pt idx="7">
                  <c:v>1009.4700000000012</c:v>
                </c:pt>
                <c:pt idx="8">
                  <c:v>1574.3599999999997</c:v>
                </c:pt>
                <c:pt idx="9">
                  <c:v>3195.2599999999984</c:v>
                </c:pt>
                <c:pt idx="10">
                  <c:v>1529.2299999999996</c:v>
                </c:pt>
                <c:pt idx="11">
                  <c:v>2166.1800000000003</c:v>
                </c:pt>
              </c:numCache>
            </c:numRef>
          </c:val>
          <c:extLst>
            <c:ext xmlns:c16="http://schemas.microsoft.com/office/drawing/2014/chart" uri="{C3380CC4-5D6E-409C-BE32-E72D297353CC}">
              <c16:uniqueId val="{00000002-FCD1-447E-9487-8198E12B8906}"/>
            </c:ext>
          </c:extLst>
        </c:ser>
        <c:ser>
          <c:idx val="2"/>
          <c:order val="2"/>
          <c:tx>
            <c:strRef>
              <c:f>'Profit by M and Sale Type'!$D$1:$D$2</c:f>
              <c:strCache>
                <c:ptCount val="1"/>
                <c:pt idx="0">
                  <c:v>Wholesaler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by M and Sale Type'!$A$3:$A$15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'Profit by M and Sale Type'!$D$3:$D$15</c:f>
              <c:numCache>
                <c:formatCode>#,##0.00</c:formatCode>
                <c:ptCount val="12"/>
                <c:pt idx="0">
                  <c:v>958.82999999999902</c:v>
                </c:pt>
                <c:pt idx="1">
                  <c:v>326.65000000000009</c:v>
                </c:pt>
                <c:pt idx="2">
                  <c:v>1030.7800000000007</c:v>
                </c:pt>
                <c:pt idx="3">
                  <c:v>263.66000000000008</c:v>
                </c:pt>
                <c:pt idx="4">
                  <c:v>910.23999999999978</c:v>
                </c:pt>
                <c:pt idx="5">
                  <c:v>1797.67</c:v>
                </c:pt>
                <c:pt idx="6">
                  <c:v>495</c:v>
                </c:pt>
                <c:pt idx="7">
                  <c:v>1056.0500000000002</c:v>
                </c:pt>
                <c:pt idx="8">
                  <c:v>700.59000000000015</c:v>
                </c:pt>
                <c:pt idx="9">
                  <c:v>133.44000000000005</c:v>
                </c:pt>
                <c:pt idx="10">
                  <c:v>1470.9700000000003</c:v>
                </c:pt>
                <c:pt idx="11">
                  <c:v>1413.0200000000004</c:v>
                </c:pt>
              </c:numCache>
            </c:numRef>
          </c:val>
          <c:extLst>
            <c:ext xmlns:c16="http://schemas.microsoft.com/office/drawing/2014/chart" uri="{C3380CC4-5D6E-409C-BE32-E72D297353CC}">
              <c16:uniqueId val="{00000003-FCD1-447E-9487-8198E12B8906}"/>
            </c:ext>
          </c:extLst>
        </c:ser>
        <c:dLbls>
          <c:showLegendKey val="0"/>
          <c:showVal val="0"/>
          <c:showCatName val="0"/>
          <c:showSerName val="0"/>
          <c:showPercent val="0"/>
          <c:showBubbleSize val="0"/>
        </c:dLbls>
        <c:gapWidth val="150"/>
        <c:overlap val="100"/>
        <c:axId val="266651151"/>
        <c:axId val="266660751"/>
      </c:barChart>
      <c:catAx>
        <c:axId val="266651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266660751"/>
        <c:crosses val="autoZero"/>
        <c:auto val="1"/>
        <c:lblAlgn val="ctr"/>
        <c:lblOffset val="100"/>
        <c:noMultiLvlLbl val="0"/>
      </c:catAx>
      <c:valAx>
        <c:axId val="26666075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2666511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Online VS Cash by Months!PivotTable3</c:name>
    <c:fmtId val="0"/>
  </c:pivotSource>
  <c:chart>
    <c:autoTitleDeleted val="0"/>
    <c:pivotFmts>
      <c:pivotFmt>
        <c:idx val="0"/>
        <c:spPr>
          <a:solidFill>
            <a:srgbClr val="31F73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2.270147559591363E-3"/>
              <c:y val="-2.3032629558541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2.2701475595913317E-3"/>
              <c:y val="3.07101727447216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4.5402951191827468E-3"/>
              <c:y val="-5.37428023032630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0"/>
              <c:y val="-8.8291746641074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8.3237782281719811E-17"/>
              <c:y val="4.2226487523992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2.2701475595914566E-3"/>
              <c:y val="-3.45489443378119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2.2701475595913734E-3"/>
              <c:y val="6.5259117082533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8.3237782281719811E-17"/>
              <c:y val="-2.6871401151631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1F736"/>
          </a:solidFill>
          <a:ln>
            <a:noFill/>
          </a:ln>
          <a:effectLst>
            <a:outerShdw blurRad="57150" dist="19050" dir="5400000" algn="ctr" rotWithShape="0">
              <a:srgbClr val="000000">
                <a:alpha val="63000"/>
              </a:srgbClr>
            </a:outerShdw>
          </a:effectLst>
        </c:spPr>
        <c:dLbl>
          <c:idx val="0"/>
          <c:layout>
            <c:manualLayout>
              <c:x val="2.270147559591363E-3"/>
              <c:y val="2.6871401151631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1F736"/>
          </a:solidFill>
          <a:ln>
            <a:noFill/>
          </a:ln>
          <a:effectLst>
            <a:outerShdw blurRad="57150" dist="19050" dir="5400000" algn="ctr" rotWithShape="0">
              <a:srgbClr val="000000">
                <a:alpha val="63000"/>
              </a:srgbClr>
            </a:outerShdw>
          </a:effectLst>
        </c:spPr>
        <c:dLbl>
          <c:idx val="0"/>
          <c:layout>
            <c:manualLayout>
              <c:x val="2.2701475595913734E-3"/>
              <c:y val="-3.45489443378119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1F736"/>
          </a:solidFill>
          <a:ln>
            <a:noFill/>
          </a:ln>
          <a:effectLst>
            <a:outerShdw blurRad="57150" dist="19050" dir="5400000" algn="ctr" rotWithShape="0">
              <a:srgbClr val="000000">
                <a:alpha val="63000"/>
              </a:srgbClr>
            </a:outerShdw>
          </a:effectLst>
        </c:spPr>
        <c:dLbl>
          <c:idx val="0"/>
          <c:layout>
            <c:manualLayout>
              <c:x val="0"/>
              <c:y val="3.83877159309019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1F736"/>
          </a:solidFill>
          <a:ln>
            <a:noFill/>
          </a:ln>
          <a:effectLst>
            <a:outerShdw blurRad="57150" dist="19050" dir="5400000" algn="ctr" rotWithShape="0">
              <a:srgbClr val="000000">
                <a:alpha val="63000"/>
              </a:srgbClr>
            </a:outerShdw>
          </a:effectLst>
        </c:spPr>
        <c:dLbl>
          <c:idx val="0"/>
          <c:layout>
            <c:manualLayout>
              <c:x val="2.2701475595913317E-3"/>
              <c:y val="-3.07101727447216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1F736"/>
          </a:solidFill>
          <a:ln>
            <a:noFill/>
          </a:ln>
          <a:effectLst>
            <a:outerShdw blurRad="57150" dist="19050" dir="5400000" algn="ctr" rotWithShape="0">
              <a:srgbClr val="000000">
                <a:alpha val="63000"/>
              </a:srgbClr>
            </a:outerShdw>
          </a:effectLst>
        </c:spPr>
        <c:dLbl>
          <c:idx val="0"/>
          <c:layout>
            <c:manualLayout>
              <c:x val="-4.1618891140859906E-17"/>
              <c:y val="3.07101727447216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1F736"/>
          </a:solidFill>
          <a:ln>
            <a:noFill/>
          </a:ln>
          <a:effectLst>
            <a:outerShdw blurRad="57150" dist="19050" dir="5400000" algn="ctr" rotWithShape="0">
              <a:srgbClr val="000000">
                <a:alpha val="63000"/>
              </a:srgbClr>
            </a:outerShdw>
          </a:effectLst>
        </c:spPr>
        <c:dLbl>
          <c:idx val="0"/>
          <c:layout>
            <c:manualLayout>
              <c:x val="-8.3237782281719811E-17"/>
              <c:y val="8.829174664107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Online VS Cash by Months'!$B$1:$B$2</c:f>
              <c:strCache>
                <c:ptCount val="1"/>
                <c:pt idx="0">
                  <c:v>Cash</c:v>
                </c:pt>
              </c:strCache>
            </c:strRef>
          </c:tx>
          <c:spPr>
            <a:solidFill>
              <a:srgbClr val="31F736"/>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B-514A-4D35-A280-B38EBA43943D}"/>
              </c:ext>
            </c:extLst>
          </c:dPt>
          <c:dPt>
            <c:idx val="1"/>
            <c:invertIfNegative val="0"/>
            <c:bubble3D val="0"/>
            <c:extLst>
              <c:ext xmlns:c16="http://schemas.microsoft.com/office/drawing/2014/chart" uri="{C3380CC4-5D6E-409C-BE32-E72D297353CC}">
                <c16:uniqueId val="{0000000C-514A-4D35-A280-B38EBA43943D}"/>
              </c:ext>
            </c:extLst>
          </c:dPt>
          <c:dPt>
            <c:idx val="2"/>
            <c:invertIfNegative val="0"/>
            <c:bubble3D val="0"/>
            <c:extLst>
              <c:ext xmlns:c16="http://schemas.microsoft.com/office/drawing/2014/chart" uri="{C3380CC4-5D6E-409C-BE32-E72D297353CC}">
                <c16:uniqueId val="{0000000D-514A-4D35-A280-B38EBA43943D}"/>
              </c:ext>
            </c:extLst>
          </c:dPt>
          <c:dPt>
            <c:idx val="3"/>
            <c:invertIfNegative val="0"/>
            <c:bubble3D val="0"/>
            <c:extLst>
              <c:ext xmlns:c16="http://schemas.microsoft.com/office/drawing/2014/chart" uri="{C3380CC4-5D6E-409C-BE32-E72D297353CC}">
                <c16:uniqueId val="{0000000E-514A-4D35-A280-B38EBA43943D}"/>
              </c:ext>
            </c:extLst>
          </c:dPt>
          <c:dPt>
            <c:idx val="4"/>
            <c:invertIfNegative val="0"/>
            <c:bubble3D val="0"/>
            <c:extLst>
              <c:ext xmlns:c16="http://schemas.microsoft.com/office/drawing/2014/chart" uri="{C3380CC4-5D6E-409C-BE32-E72D297353CC}">
                <c16:uniqueId val="{0000000F-514A-4D35-A280-B38EBA43943D}"/>
              </c:ext>
            </c:extLst>
          </c:dPt>
          <c:dPt>
            <c:idx val="6"/>
            <c:invertIfNegative val="0"/>
            <c:bubble3D val="0"/>
            <c:extLst>
              <c:ext xmlns:c16="http://schemas.microsoft.com/office/drawing/2014/chart" uri="{C3380CC4-5D6E-409C-BE32-E72D297353CC}">
                <c16:uniqueId val="{00000010-514A-4D35-A280-B38EBA43943D}"/>
              </c:ext>
            </c:extLst>
          </c:dPt>
          <c:dLbls>
            <c:dLbl>
              <c:idx val="0"/>
              <c:layout>
                <c:manualLayout>
                  <c:x val="2.270147559591363E-3"/>
                  <c:y val="2.6871401151631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14A-4D35-A280-B38EBA43943D}"/>
                </c:ext>
              </c:extLst>
            </c:dLbl>
            <c:dLbl>
              <c:idx val="1"/>
              <c:layout>
                <c:manualLayout>
                  <c:x val="2.2701475595913734E-3"/>
                  <c:y val="-3.45489443378119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14A-4D35-A280-B38EBA43943D}"/>
                </c:ext>
              </c:extLst>
            </c:dLbl>
            <c:dLbl>
              <c:idx val="2"/>
              <c:layout>
                <c:manualLayout>
                  <c:x val="0"/>
                  <c:y val="3.83877159309019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14A-4D35-A280-B38EBA43943D}"/>
                </c:ext>
              </c:extLst>
            </c:dLbl>
            <c:dLbl>
              <c:idx val="3"/>
              <c:layout>
                <c:manualLayout>
                  <c:x val="2.2701475595913317E-3"/>
                  <c:y val="-3.07101727447216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14A-4D35-A280-B38EBA43943D}"/>
                </c:ext>
              </c:extLst>
            </c:dLbl>
            <c:dLbl>
              <c:idx val="4"/>
              <c:layout>
                <c:manualLayout>
                  <c:x val="-4.1618891140859906E-17"/>
                  <c:y val="3.07101727447216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14A-4D35-A280-B38EBA43943D}"/>
                </c:ext>
              </c:extLst>
            </c:dLbl>
            <c:dLbl>
              <c:idx val="6"/>
              <c:layout>
                <c:manualLayout>
                  <c:x val="-8.3237782281719811E-17"/>
                  <c:y val="8.8291746641074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14A-4D35-A280-B38EBA4394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Online VS Cash by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'Profit Online VS Cash by Months'!$B$3:$B$15</c:f>
              <c:numCache>
                <c:formatCode>#,##0.00</c:formatCode>
                <c:ptCount val="12"/>
                <c:pt idx="0">
                  <c:v>3130.8099999999977</c:v>
                </c:pt>
                <c:pt idx="1">
                  <c:v>3633.5</c:v>
                </c:pt>
                <c:pt idx="2">
                  <c:v>2532.010000000002</c:v>
                </c:pt>
                <c:pt idx="3">
                  <c:v>2741.4300000000003</c:v>
                </c:pt>
                <c:pt idx="4">
                  <c:v>2218.0600000000013</c:v>
                </c:pt>
                <c:pt idx="5">
                  <c:v>2904.3799999999974</c:v>
                </c:pt>
                <c:pt idx="6">
                  <c:v>3441.6399999999994</c:v>
                </c:pt>
                <c:pt idx="7">
                  <c:v>3458.8799999999974</c:v>
                </c:pt>
                <c:pt idx="8">
                  <c:v>1519.7399999999998</c:v>
                </c:pt>
                <c:pt idx="9">
                  <c:v>2607.16</c:v>
                </c:pt>
                <c:pt idx="10">
                  <c:v>4255.6799999999967</c:v>
                </c:pt>
                <c:pt idx="11">
                  <c:v>2677.6100000000024</c:v>
                </c:pt>
              </c:numCache>
            </c:numRef>
          </c:val>
          <c:extLst>
            <c:ext xmlns:c16="http://schemas.microsoft.com/office/drawing/2014/chart" uri="{C3380CC4-5D6E-409C-BE32-E72D297353CC}">
              <c16:uniqueId val="{00000000-514A-4D35-A280-B38EBA43943D}"/>
            </c:ext>
          </c:extLst>
        </c:ser>
        <c:ser>
          <c:idx val="1"/>
          <c:order val="1"/>
          <c:tx>
            <c:strRef>
              <c:f>'Profit Online VS Cash by Months'!$C$1:$C$2</c:f>
              <c:strCache>
                <c:ptCount val="1"/>
                <c:pt idx="0">
                  <c:v>Online</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3-514A-4D35-A280-B38EBA43943D}"/>
              </c:ext>
            </c:extLst>
          </c:dPt>
          <c:dPt>
            <c:idx val="2"/>
            <c:invertIfNegative val="0"/>
            <c:bubble3D val="0"/>
            <c:extLst>
              <c:ext xmlns:c16="http://schemas.microsoft.com/office/drawing/2014/chart" uri="{C3380CC4-5D6E-409C-BE32-E72D297353CC}">
                <c16:uniqueId val="{00000004-514A-4D35-A280-B38EBA43943D}"/>
              </c:ext>
            </c:extLst>
          </c:dPt>
          <c:dPt>
            <c:idx val="3"/>
            <c:invertIfNegative val="0"/>
            <c:bubble3D val="0"/>
            <c:extLst>
              <c:ext xmlns:c16="http://schemas.microsoft.com/office/drawing/2014/chart" uri="{C3380CC4-5D6E-409C-BE32-E72D297353CC}">
                <c16:uniqueId val="{00000005-514A-4D35-A280-B38EBA43943D}"/>
              </c:ext>
            </c:extLst>
          </c:dPt>
          <c:dPt>
            <c:idx val="5"/>
            <c:invertIfNegative val="0"/>
            <c:bubble3D val="0"/>
            <c:extLst>
              <c:ext xmlns:c16="http://schemas.microsoft.com/office/drawing/2014/chart" uri="{C3380CC4-5D6E-409C-BE32-E72D297353CC}">
                <c16:uniqueId val="{00000006-514A-4D35-A280-B38EBA43943D}"/>
              </c:ext>
            </c:extLst>
          </c:dPt>
          <c:dPt>
            <c:idx val="6"/>
            <c:invertIfNegative val="0"/>
            <c:bubble3D val="0"/>
            <c:extLst>
              <c:ext xmlns:c16="http://schemas.microsoft.com/office/drawing/2014/chart" uri="{C3380CC4-5D6E-409C-BE32-E72D297353CC}">
                <c16:uniqueId val="{00000007-514A-4D35-A280-B38EBA43943D}"/>
              </c:ext>
            </c:extLst>
          </c:dPt>
          <c:dPt>
            <c:idx val="7"/>
            <c:invertIfNegative val="0"/>
            <c:bubble3D val="0"/>
            <c:extLst>
              <c:ext xmlns:c16="http://schemas.microsoft.com/office/drawing/2014/chart" uri="{C3380CC4-5D6E-409C-BE32-E72D297353CC}">
                <c16:uniqueId val="{00000008-514A-4D35-A280-B38EBA43943D}"/>
              </c:ext>
            </c:extLst>
          </c:dPt>
          <c:dPt>
            <c:idx val="8"/>
            <c:invertIfNegative val="0"/>
            <c:bubble3D val="0"/>
            <c:extLst>
              <c:ext xmlns:c16="http://schemas.microsoft.com/office/drawing/2014/chart" uri="{C3380CC4-5D6E-409C-BE32-E72D297353CC}">
                <c16:uniqueId val="{00000009-514A-4D35-A280-B38EBA43943D}"/>
              </c:ext>
            </c:extLst>
          </c:dPt>
          <c:dPt>
            <c:idx val="9"/>
            <c:invertIfNegative val="0"/>
            <c:bubble3D val="0"/>
            <c:extLst>
              <c:ext xmlns:c16="http://schemas.microsoft.com/office/drawing/2014/chart" uri="{C3380CC4-5D6E-409C-BE32-E72D297353CC}">
                <c16:uniqueId val="{0000000A-514A-4D35-A280-B38EBA43943D}"/>
              </c:ext>
            </c:extLst>
          </c:dPt>
          <c:dLbls>
            <c:dLbl>
              <c:idx val="0"/>
              <c:layout>
                <c:manualLayout>
                  <c:x val="2.270147559591363E-3"/>
                  <c:y val="-2.3032629558541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4A-4D35-A280-B38EBA43943D}"/>
                </c:ext>
              </c:extLst>
            </c:dLbl>
            <c:dLbl>
              <c:idx val="2"/>
              <c:layout>
                <c:manualLayout>
                  <c:x val="2.2701475595913317E-3"/>
                  <c:y val="3.07101727447216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4A-4D35-A280-B38EBA43943D}"/>
                </c:ext>
              </c:extLst>
            </c:dLbl>
            <c:dLbl>
              <c:idx val="3"/>
              <c:layout>
                <c:manualLayout>
                  <c:x val="4.5402951191827468E-3"/>
                  <c:y val="-5.3742802303263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4A-4D35-A280-B38EBA43943D}"/>
                </c:ext>
              </c:extLst>
            </c:dLbl>
            <c:dLbl>
              <c:idx val="5"/>
              <c:layout>
                <c:manualLayout>
                  <c:x val="0"/>
                  <c:y val="-8.829174664107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14A-4D35-A280-B38EBA43943D}"/>
                </c:ext>
              </c:extLst>
            </c:dLbl>
            <c:dLbl>
              <c:idx val="6"/>
              <c:layout>
                <c:manualLayout>
                  <c:x val="-8.3237782281719811E-17"/>
                  <c:y val="4.2226487523992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14A-4D35-A280-B38EBA43943D}"/>
                </c:ext>
              </c:extLst>
            </c:dLbl>
            <c:dLbl>
              <c:idx val="7"/>
              <c:layout>
                <c:manualLayout>
                  <c:x val="-2.2701475595914566E-3"/>
                  <c:y val="-3.45489443378119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14A-4D35-A280-B38EBA43943D}"/>
                </c:ext>
              </c:extLst>
            </c:dLbl>
            <c:dLbl>
              <c:idx val="8"/>
              <c:layout>
                <c:manualLayout>
                  <c:x val="2.2701475595913734E-3"/>
                  <c:y val="6.52591170825335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14A-4D35-A280-B38EBA43943D}"/>
                </c:ext>
              </c:extLst>
            </c:dLbl>
            <c:dLbl>
              <c:idx val="9"/>
              <c:layout>
                <c:manualLayout>
                  <c:x val="-8.3237782281719811E-17"/>
                  <c:y val="-2.6871401151631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14A-4D35-A280-B38EBA4394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Online VS Cash by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'Profit Online VS Cash by Months'!$C$3:$C$15</c:f>
              <c:numCache>
                <c:formatCode>#,##0.00</c:formatCode>
                <c:ptCount val="12"/>
                <c:pt idx="0">
                  <c:v>3926.1500000000015</c:v>
                </c:pt>
                <c:pt idx="1">
                  <c:v>1882.7999999999993</c:v>
                </c:pt>
                <c:pt idx="2">
                  <c:v>2647.6400000000012</c:v>
                </c:pt>
                <c:pt idx="3">
                  <c:v>2555.6800000000003</c:v>
                </c:pt>
                <c:pt idx="4">
                  <c:v>2166.3900000000031</c:v>
                </c:pt>
                <c:pt idx="5">
                  <c:v>2750.33</c:v>
                </c:pt>
                <c:pt idx="6">
                  <c:v>1932.1500000000033</c:v>
                </c:pt>
                <c:pt idx="7">
                  <c:v>2060.5199999999968</c:v>
                </c:pt>
                <c:pt idx="8">
                  <c:v>4965.0699999999924</c:v>
                </c:pt>
                <c:pt idx="9">
                  <c:v>3051.5300000000061</c:v>
                </c:pt>
                <c:pt idx="10">
                  <c:v>2562.3899999999976</c:v>
                </c:pt>
                <c:pt idx="11">
                  <c:v>3286.3700000000063</c:v>
                </c:pt>
              </c:numCache>
            </c:numRef>
          </c:val>
          <c:extLst>
            <c:ext xmlns:c16="http://schemas.microsoft.com/office/drawing/2014/chart" uri="{C3380CC4-5D6E-409C-BE32-E72D297353CC}">
              <c16:uniqueId val="{00000001-514A-4D35-A280-B38EBA43943D}"/>
            </c:ext>
          </c:extLst>
        </c:ser>
        <c:dLbls>
          <c:showLegendKey val="0"/>
          <c:showVal val="0"/>
          <c:showCatName val="0"/>
          <c:showSerName val="0"/>
          <c:showPercent val="0"/>
          <c:showBubbleSize val="0"/>
        </c:dLbls>
        <c:gapWidth val="150"/>
        <c:overlap val="100"/>
        <c:axId val="1002468319"/>
        <c:axId val="1002476479"/>
      </c:barChart>
      <c:catAx>
        <c:axId val="1002468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002476479"/>
        <c:crosses val="autoZero"/>
        <c:auto val="1"/>
        <c:lblAlgn val="ctr"/>
        <c:lblOffset val="100"/>
        <c:noMultiLvlLbl val="0"/>
      </c:catAx>
      <c:valAx>
        <c:axId val="100247647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0024683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2.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jpeg"/><Relationship Id="rId2" Type="http://schemas.openxmlformats.org/officeDocument/2006/relationships/chart" Target="../charts/chart2.xml"/><Relationship Id="rId16" Type="http://schemas.openxmlformats.org/officeDocument/2006/relationships/chart" Target="../charts/chart15.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4.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7</xdr:col>
      <xdr:colOff>184726</xdr:colOff>
      <xdr:row>55</xdr:row>
      <xdr:rowOff>80820</xdr:rowOff>
    </xdr:from>
    <xdr:to>
      <xdr:col>19</xdr:col>
      <xdr:colOff>299357</xdr:colOff>
      <xdr:row>86</xdr:row>
      <xdr:rowOff>33193</xdr:rowOff>
    </xdr:to>
    <xdr:graphicFrame macro="">
      <xdr:nvGraphicFramePr>
        <xdr:cNvPr id="2" name="Chart 1">
          <a:extLst>
            <a:ext uri="{FF2B5EF4-FFF2-40B4-BE49-F238E27FC236}">
              <a16:creationId xmlns:a16="http://schemas.microsoft.com/office/drawing/2014/main" id="{63288B87-1E84-4FA6-BCAC-EAA22FA41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207818</xdr:colOff>
      <xdr:row>26</xdr:row>
      <xdr:rowOff>163286</xdr:rowOff>
    </xdr:from>
    <xdr:to>
      <xdr:col>19</xdr:col>
      <xdr:colOff>208642</xdr:colOff>
      <xdr:row>40</xdr:row>
      <xdr:rowOff>141761</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5583AA17-F471-6BF1-D65D-D846C49D963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495936" y="5019168"/>
              <a:ext cx="7351882" cy="2593181"/>
            </a:xfrm>
            <a:prstGeom prst="rect">
              <a:avLst/>
            </a:prstGeom>
            <a:solidFill>
              <a:prstClr val="white"/>
            </a:solidFill>
            <a:ln w="1">
              <a:solidFill>
                <a:prstClr val="green"/>
              </a:solidFill>
            </a:ln>
          </xdr:spPr>
          <xdr:txBody>
            <a:bodyPr vertOverflow="clip" horzOverflow="clip"/>
            <a:lstStyle/>
            <a:p>
              <a:r>
                <a:rPr lang="sr-Latn-RS" sz="1100"/>
                <a:t>Timeline: Works in Excel 2013 or higher. Do not move or resize.</a:t>
              </a:r>
            </a:p>
          </xdr:txBody>
        </xdr:sp>
      </mc:Fallback>
    </mc:AlternateContent>
    <xdr:clientData/>
  </xdr:twoCellAnchor>
  <xdr:twoCellAnchor>
    <xdr:from>
      <xdr:col>7</xdr:col>
      <xdr:colOff>192149</xdr:colOff>
      <xdr:row>41</xdr:row>
      <xdr:rowOff>94014</xdr:rowOff>
    </xdr:from>
    <xdr:to>
      <xdr:col>19</xdr:col>
      <xdr:colOff>235858</xdr:colOff>
      <xdr:row>54</xdr:row>
      <xdr:rowOff>119991</xdr:rowOff>
    </xdr:to>
    <xdr:graphicFrame macro="">
      <xdr:nvGraphicFramePr>
        <xdr:cNvPr id="5" name="Chart 4">
          <a:extLst>
            <a:ext uri="{FF2B5EF4-FFF2-40B4-BE49-F238E27FC236}">
              <a16:creationId xmlns:a16="http://schemas.microsoft.com/office/drawing/2014/main" id="{A18CE2C1-E25F-46FE-AF88-336CC4107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498063</xdr:colOff>
      <xdr:row>86</xdr:row>
      <xdr:rowOff>170544</xdr:rowOff>
    </xdr:from>
    <xdr:to>
      <xdr:col>32</xdr:col>
      <xdr:colOff>344714</xdr:colOff>
      <xdr:row>114</xdr:row>
      <xdr:rowOff>79375</xdr:rowOff>
    </xdr:to>
    <xdr:graphicFrame macro="">
      <xdr:nvGraphicFramePr>
        <xdr:cNvPr id="6" name="Chart 5">
          <a:extLst>
            <a:ext uri="{FF2B5EF4-FFF2-40B4-BE49-F238E27FC236}">
              <a16:creationId xmlns:a16="http://schemas.microsoft.com/office/drawing/2014/main" id="{A3A916FA-E3B6-4581-8D20-71A579F55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184726</xdr:colOff>
      <xdr:row>87</xdr:row>
      <xdr:rowOff>23089</xdr:rowOff>
    </xdr:from>
    <xdr:to>
      <xdr:col>19</xdr:col>
      <xdr:colOff>371928</xdr:colOff>
      <xdr:row>114</xdr:row>
      <xdr:rowOff>33810</xdr:rowOff>
    </xdr:to>
    <xdr:graphicFrame macro="">
      <xdr:nvGraphicFramePr>
        <xdr:cNvPr id="7" name="Chart 6">
          <a:extLst>
            <a:ext uri="{FF2B5EF4-FFF2-40B4-BE49-F238E27FC236}">
              <a16:creationId xmlns:a16="http://schemas.microsoft.com/office/drawing/2014/main" id="{DFF2F506-04F1-4B5E-85ED-64442DF9E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489238</xdr:colOff>
      <xdr:row>55</xdr:row>
      <xdr:rowOff>68861</xdr:rowOff>
    </xdr:from>
    <xdr:to>
      <xdr:col>32</xdr:col>
      <xdr:colOff>362857</xdr:colOff>
      <xdr:row>86</xdr:row>
      <xdr:rowOff>60532</xdr:rowOff>
    </xdr:to>
    <xdr:graphicFrame macro="">
      <xdr:nvGraphicFramePr>
        <xdr:cNvPr id="8" name="Chart 7">
          <a:extLst>
            <a:ext uri="{FF2B5EF4-FFF2-40B4-BE49-F238E27FC236}">
              <a16:creationId xmlns:a16="http://schemas.microsoft.com/office/drawing/2014/main" id="{361D775D-7524-4D84-876C-AA03E3510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403679</xdr:colOff>
      <xdr:row>41</xdr:row>
      <xdr:rowOff>153389</xdr:rowOff>
    </xdr:from>
    <xdr:to>
      <xdr:col>32</xdr:col>
      <xdr:colOff>299357</xdr:colOff>
      <xdr:row>54</xdr:row>
      <xdr:rowOff>159739</xdr:rowOff>
    </xdr:to>
    <xdr:graphicFrame macro="">
      <xdr:nvGraphicFramePr>
        <xdr:cNvPr id="9" name="Chart 8">
          <a:extLst>
            <a:ext uri="{FF2B5EF4-FFF2-40B4-BE49-F238E27FC236}">
              <a16:creationId xmlns:a16="http://schemas.microsoft.com/office/drawing/2014/main" id="{798307AF-3A29-4DD7-96B9-FEAB7C3FD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88035</xdr:colOff>
      <xdr:row>72</xdr:row>
      <xdr:rowOff>174625</xdr:rowOff>
    </xdr:from>
    <xdr:to>
      <xdr:col>43</xdr:col>
      <xdr:colOff>161636</xdr:colOff>
      <xdr:row>105</xdr:row>
      <xdr:rowOff>69272</xdr:rowOff>
    </xdr:to>
    <xdr:graphicFrame macro="">
      <xdr:nvGraphicFramePr>
        <xdr:cNvPr id="10" name="Chart 9">
          <a:extLst>
            <a:ext uri="{FF2B5EF4-FFF2-40B4-BE49-F238E27FC236}">
              <a16:creationId xmlns:a16="http://schemas.microsoft.com/office/drawing/2014/main" id="{FA087B25-21D3-4E98-89C5-F24D62256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99580</xdr:colOff>
      <xdr:row>106</xdr:row>
      <xdr:rowOff>134215</xdr:rowOff>
    </xdr:from>
    <xdr:to>
      <xdr:col>42</xdr:col>
      <xdr:colOff>272762</xdr:colOff>
      <xdr:row>157</xdr:row>
      <xdr:rowOff>115454</xdr:rowOff>
    </xdr:to>
    <xdr:graphicFrame macro="">
      <xdr:nvGraphicFramePr>
        <xdr:cNvPr id="11" name="Chart 10">
          <a:extLst>
            <a:ext uri="{FF2B5EF4-FFF2-40B4-BE49-F238E27FC236}">
              <a16:creationId xmlns:a16="http://schemas.microsoft.com/office/drawing/2014/main" id="{8A6CEAD6-E59E-4D46-BA00-0DF12D4BA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64942</xdr:colOff>
      <xdr:row>26</xdr:row>
      <xdr:rowOff>34636</xdr:rowOff>
    </xdr:from>
    <xdr:to>
      <xdr:col>42</xdr:col>
      <xdr:colOff>34636</xdr:colOff>
      <xdr:row>49</xdr:row>
      <xdr:rowOff>11546</xdr:rowOff>
    </xdr:to>
    <xdr:graphicFrame macro="">
      <xdr:nvGraphicFramePr>
        <xdr:cNvPr id="12" name="Chart 11">
          <a:extLst>
            <a:ext uri="{FF2B5EF4-FFF2-40B4-BE49-F238E27FC236}">
              <a16:creationId xmlns:a16="http://schemas.microsoft.com/office/drawing/2014/main" id="{BE0CF69E-DBFC-48E0-AA3B-C68952E8A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115878</xdr:colOff>
      <xdr:row>50</xdr:row>
      <xdr:rowOff>118595</xdr:rowOff>
    </xdr:from>
    <xdr:to>
      <xdr:col>42</xdr:col>
      <xdr:colOff>161636</xdr:colOff>
      <xdr:row>71</xdr:row>
      <xdr:rowOff>34585</xdr:rowOff>
    </xdr:to>
    <xdr:graphicFrame macro="">
      <xdr:nvGraphicFramePr>
        <xdr:cNvPr id="13" name="Chart 12">
          <a:extLst>
            <a:ext uri="{FF2B5EF4-FFF2-40B4-BE49-F238E27FC236}">
              <a16:creationId xmlns:a16="http://schemas.microsoft.com/office/drawing/2014/main" id="{5B34EB8F-684A-47C7-9F9B-F845357AB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165100</xdr:colOff>
      <xdr:row>41</xdr:row>
      <xdr:rowOff>50800</xdr:rowOff>
    </xdr:from>
    <xdr:to>
      <xdr:col>7</xdr:col>
      <xdr:colOff>25400</xdr:colOff>
      <xdr:row>54</xdr:row>
      <xdr:rowOff>76200</xdr:rowOff>
    </xdr:to>
    <mc:AlternateContent xmlns:mc="http://schemas.openxmlformats.org/markup-compatibility/2006" xmlns:a14="http://schemas.microsoft.com/office/drawing/2010/main">
      <mc:Choice Requires="a14">
        <xdr:graphicFrame macro="">
          <xdr:nvGraphicFramePr>
            <xdr:cNvPr id="14" name="CATEGORY NAME">
              <a:extLst>
                <a:ext uri="{FF2B5EF4-FFF2-40B4-BE49-F238E27FC236}">
                  <a16:creationId xmlns:a16="http://schemas.microsoft.com/office/drawing/2014/main" id="{1FADDDFC-4D71-E439-6DF5-144A4E144BFE}"/>
                </a:ext>
              </a:extLst>
            </xdr:cNvPr>
            <xdr:cNvGraphicFramePr/>
          </xdr:nvGraphicFramePr>
          <xdr:xfrm>
            <a:off x="0" y="0"/>
            <a:ext cx="0" cy="0"/>
          </xdr:xfrm>
          <a:graphic>
            <a:graphicData uri="http://schemas.microsoft.com/office/drawing/2010/slicer">
              <sle:slicer xmlns:sle="http://schemas.microsoft.com/office/drawing/2010/slicer" name="CATEGORY NAME"/>
            </a:graphicData>
          </a:graphic>
        </xdr:graphicFrame>
      </mc:Choice>
      <mc:Fallback xmlns="">
        <xdr:sp macro="" textlink="">
          <xdr:nvSpPr>
            <xdr:cNvPr id="0" name=""/>
            <xdr:cNvSpPr>
              <a:spLocks noTextEdit="1"/>
            </xdr:cNvSpPr>
          </xdr:nvSpPr>
          <xdr:spPr>
            <a:xfrm>
              <a:off x="165100" y="7708153"/>
              <a:ext cx="4148418" cy="2453341"/>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165100</xdr:colOff>
      <xdr:row>55</xdr:row>
      <xdr:rowOff>50801</xdr:rowOff>
    </xdr:from>
    <xdr:to>
      <xdr:col>6</xdr:col>
      <xdr:colOff>584200</xdr:colOff>
      <xdr:row>64</xdr:row>
      <xdr:rowOff>127001</xdr:rowOff>
    </xdr:to>
    <mc:AlternateContent xmlns:mc="http://schemas.openxmlformats.org/markup-compatibility/2006" xmlns:a14="http://schemas.microsoft.com/office/drawing/2010/main">
      <mc:Choice Requires="a14">
        <xdr:graphicFrame macro="">
          <xdr:nvGraphicFramePr>
            <xdr:cNvPr id="15" name="PAYMENT MODE">
              <a:extLst>
                <a:ext uri="{FF2B5EF4-FFF2-40B4-BE49-F238E27FC236}">
                  <a16:creationId xmlns:a16="http://schemas.microsoft.com/office/drawing/2014/main" id="{F572CD86-C18C-D225-44E2-620999596796}"/>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65100" y="10322860"/>
              <a:ext cx="4094629" cy="1757082"/>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190499</xdr:colOff>
      <xdr:row>66</xdr:row>
      <xdr:rowOff>85912</xdr:rowOff>
    </xdr:from>
    <xdr:to>
      <xdr:col>6</xdr:col>
      <xdr:colOff>555624</xdr:colOff>
      <xdr:row>83</xdr:row>
      <xdr:rowOff>85912</xdr:rowOff>
    </xdr:to>
    <mc:AlternateContent xmlns:mc="http://schemas.openxmlformats.org/markup-compatibility/2006" xmlns:a14="http://schemas.microsoft.com/office/drawing/2010/main">
      <mc:Choice Requires="a14">
        <xdr:graphicFrame macro="">
          <xdr:nvGraphicFramePr>
            <xdr:cNvPr id="16" name="SALE TYPE">
              <a:extLst>
                <a:ext uri="{FF2B5EF4-FFF2-40B4-BE49-F238E27FC236}">
                  <a16:creationId xmlns:a16="http://schemas.microsoft.com/office/drawing/2014/main" id="{C7D04BB8-ED28-8E5D-BD2B-3B2FB76B57DC}"/>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190499" y="12060198"/>
              <a:ext cx="4011839" cy="3084285"/>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405946</xdr:colOff>
      <xdr:row>26</xdr:row>
      <xdr:rowOff>74839</xdr:rowOff>
    </xdr:from>
    <xdr:to>
      <xdr:col>32</xdr:col>
      <xdr:colOff>263071</xdr:colOff>
      <xdr:row>40</xdr:row>
      <xdr:rowOff>144689</xdr:rowOff>
    </xdr:to>
    <xdr:graphicFrame macro="">
      <xdr:nvGraphicFramePr>
        <xdr:cNvPr id="17" name="Chart 16">
          <a:extLst>
            <a:ext uri="{FF2B5EF4-FFF2-40B4-BE49-F238E27FC236}">
              <a16:creationId xmlns:a16="http://schemas.microsoft.com/office/drawing/2014/main" id="{0C3D2476-6389-42BD-8A70-F08A235CE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355600</xdr:colOff>
      <xdr:row>4</xdr:row>
      <xdr:rowOff>0</xdr:rowOff>
    </xdr:from>
    <xdr:to>
      <xdr:col>32</xdr:col>
      <xdr:colOff>142875</xdr:colOff>
      <xdr:row>21</xdr:row>
      <xdr:rowOff>152400</xdr:rowOff>
    </xdr:to>
    <xdr:grpSp>
      <xdr:nvGrpSpPr>
        <xdr:cNvPr id="33" name="Group 32">
          <a:extLst>
            <a:ext uri="{FF2B5EF4-FFF2-40B4-BE49-F238E27FC236}">
              <a16:creationId xmlns:a16="http://schemas.microsoft.com/office/drawing/2014/main" id="{A987F388-0A90-E25D-980F-1DC659194517}"/>
            </a:ext>
          </a:extLst>
        </xdr:cNvPr>
        <xdr:cNvGrpSpPr/>
      </xdr:nvGrpSpPr>
      <xdr:grpSpPr>
        <a:xfrm>
          <a:off x="4638964" y="738909"/>
          <a:ext cx="15085002" cy="3292764"/>
          <a:chOff x="4578350" y="292100"/>
          <a:chExt cx="20332700" cy="3860800"/>
        </a:xfrm>
      </xdr:grpSpPr>
      <xdr:sp macro="" textlink="Sheet12!A2">
        <xdr:nvSpPr>
          <xdr:cNvPr id="18" name="Rectangle: Rounded Corners 17">
            <a:extLst>
              <a:ext uri="{FF2B5EF4-FFF2-40B4-BE49-F238E27FC236}">
                <a16:creationId xmlns:a16="http://schemas.microsoft.com/office/drawing/2014/main" id="{3F063EF8-39E1-806E-56AE-DD8D7E506273}"/>
              </a:ext>
            </a:extLst>
          </xdr:cNvPr>
          <xdr:cNvSpPr/>
        </xdr:nvSpPr>
        <xdr:spPr>
          <a:xfrm>
            <a:off x="4578350" y="1549400"/>
            <a:ext cx="4470400" cy="2603500"/>
          </a:xfrm>
          <a:prstGeom prst="roundRect">
            <a:avLst/>
          </a:prstGeom>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CDCD7B-3081-4E4E-A7FB-CEC5DEB2F59D}" type="TxLink">
              <a:rPr lang="en-US" sz="3600" b="0" i="0" u="none" strike="noStrike">
                <a:solidFill>
                  <a:srgbClr val="000000"/>
                </a:solidFill>
                <a:latin typeface="Calibri"/>
                <a:ea typeface="Calibri"/>
                <a:cs typeface="Calibri"/>
              </a:rPr>
              <a:pPr algn="ctr"/>
              <a:t>68.907,92</a:t>
            </a:fld>
            <a:endParaRPr lang="sr-Latn-RS" sz="3600"/>
          </a:p>
        </xdr:txBody>
      </xdr:sp>
      <xdr:sp macro="" textlink="Sheet12!A6">
        <xdr:nvSpPr>
          <xdr:cNvPr id="19" name="Rectangle: Rounded Corners 18">
            <a:extLst>
              <a:ext uri="{FF2B5EF4-FFF2-40B4-BE49-F238E27FC236}">
                <a16:creationId xmlns:a16="http://schemas.microsoft.com/office/drawing/2014/main" id="{A64BCC29-46D4-4307-AB60-C79214049021}"/>
              </a:ext>
            </a:extLst>
          </xdr:cNvPr>
          <xdr:cNvSpPr/>
        </xdr:nvSpPr>
        <xdr:spPr>
          <a:xfrm>
            <a:off x="9804400" y="1524000"/>
            <a:ext cx="4476750" cy="2603500"/>
          </a:xfrm>
          <a:prstGeom prst="roundRect">
            <a:avLst/>
          </a:prstGeom>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7E013FC-F073-4F18-9EB9-C524365FB2D2}" type="TxLink">
              <a:rPr lang="en-US" sz="3600" b="0" i="0" u="none" strike="noStrike">
                <a:solidFill>
                  <a:srgbClr val="000000"/>
                </a:solidFill>
                <a:latin typeface="Calibri"/>
                <a:ea typeface="Calibri"/>
                <a:cs typeface="Calibri"/>
              </a:rPr>
              <a:pPr algn="ctr"/>
              <a:t>401.411,92</a:t>
            </a:fld>
            <a:endParaRPr lang="sr-Latn-RS" sz="3600"/>
          </a:p>
        </xdr:txBody>
      </xdr:sp>
      <xdr:sp macro="" textlink="Sheet12!A10">
        <xdr:nvSpPr>
          <xdr:cNvPr id="20" name="Rectangle: Rounded Corners 19">
            <a:extLst>
              <a:ext uri="{FF2B5EF4-FFF2-40B4-BE49-F238E27FC236}">
                <a16:creationId xmlns:a16="http://schemas.microsoft.com/office/drawing/2014/main" id="{24CD7BE5-066B-4E27-9A90-8608E5E3ED83}"/>
              </a:ext>
            </a:extLst>
          </xdr:cNvPr>
          <xdr:cNvSpPr/>
        </xdr:nvSpPr>
        <xdr:spPr>
          <a:xfrm>
            <a:off x="15132050" y="1460500"/>
            <a:ext cx="4476750" cy="2616200"/>
          </a:xfrm>
          <a:prstGeom prst="roundRect">
            <a:avLst/>
          </a:prstGeom>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14A8B09-5EB7-475B-AEC6-2D6CEB7D5B33}" type="TxLink">
              <a:rPr lang="en-US" sz="3600" b="0" i="0" u="none" strike="noStrike">
                <a:solidFill>
                  <a:srgbClr val="000000"/>
                </a:solidFill>
                <a:latin typeface="Calibri"/>
                <a:ea typeface="Calibri"/>
                <a:cs typeface="Calibri"/>
              </a:rPr>
              <a:pPr algn="ctr"/>
              <a:t>332.504,00</a:t>
            </a:fld>
            <a:endParaRPr lang="sr-Latn-RS" sz="3600"/>
          </a:p>
        </xdr:txBody>
      </xdr:sp>
      <xdr:sp macro="" textlink="Sheet12!A14">
        <xdr:nvSpPr>
          <xdr:cNvPr id="21" name="Rectangle: Rounded Corners 20">
            <a:extLst>
              <a:ext uri="{FF2B5EF4-FFF2-40B4-BE49-F238E27FC236}">
                <a16:creationId xmlns:a16="http://schemas.microsoft.com/office/drawing/2014/main" id="{250A3598-EFD6-46D4-9F1C-6D7F94A5C651}"/>
              </a:ext>
            </a:extLst>
          </xdr:cNvPr>
          <xdr:cNvSpPr/>
        </xdr:nvSpPr>
        <xdr:spPr>
          <a:xfrm>
            <a:off x="20440650" y="1460500"/>
            <a:ext cx="4470400" cy="2616200"/>
          </a:xfrm>
          <a:prstGeom prst="roundRect">
            <a:avLst/>
          </a:prstGeom>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FE40E5-EC1B-44E2-96E2-87EFBA6E0FB6}" type="TxLink">
              <a:rPr lang="en-US" sz="3600" b="0" i="0" u="none" strike="noStrike">
                <a:solidFill>
                  <a:srgbClr val="000000"/>
                </a:solidFill>
                <a:latin typeface="Calibri"/>
                <a:ea typeface="Calibri"/>
                <a:cs typeface="Calibri"/>
              </a:rPr>
              <a:pPr algn="ctr"/>
              <a:t>17%</a:t>
            </a:fld>
            <a:endParaRPr lang="sr-Latn-RS" sz="3600"/>
          </a:p>
        </xdr:txBody>
      </xdr:sp>
      <xdr:sp macro="" textlink="">
        <xdr:nvSpPr>
          <xdr:cNvPr id="22" name="Rectangle: Rounded Corners 21">
            <a:extLst>
              <a:ext uri="{FF2B5EF4-FFF2-40B4-BE49-F238E27FC236}">
                <a16:creationId xmlns:a16="http://schemas.microsoft.com/office/drawing/2014/main" id="{B4F386C7-43F5-4827-908D-8DA0EE842DA0}"/>
              </a:ext>
            </a:extLst>
          </xdr:cNvPr>
          <xdr:cNvSpPr/>
        </xdr:nvSpPr>
        <xdr:spPr>
          <a:xfrm>
            <a:off x="4578350" y="406400"/>
            <a:ext cx="4470400" cy="889000"/>
          </a:xfrm>
          <a:prstGeom prst="roundRect">
            <a:avLst/>
          </a:prstGeom>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r-Latn-R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3" name="Rectangle: Rounded Corners 22">
            <a:extLst>
              <a:ext uri="{FF2B5EF4-FFF2-40B4-BE49-F238E27FC236}">
                <a16:creationId xmlns:a16="http://schemas.microsoft.com/office/drawing/2014/main" id="{D1B9E91B-BE28-4AA9-BBFD-45B0D1132E0B}"/>
              </a:ext>
            </a:extLst>
          </xdr:cNvPr>
          <xdr:cNvSpPr/>
        </xdr:nvSpPr>
        <xdr:spPr>
          <a:xfrm>
            <a:off x="9702800" y="406400"/>
            <a:ext cx="4476750" cy="889000"/>
          </a:xfrm>
          <a:prstGeom prst="roundRect">
            <a:avLst/>
          </a:prstGeom>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r-Latn-RS" sz="1100"/>
          </a:p>
        </xdr:txBody>
      </xdr:sp>
      <xdr:sp macro="" textlink="">
        <xdr:nvSpPr>
          <xdr:cNvPr id="24" name="Rectangle: Rounded Corners 23">
            <a:extLst>
              <a:ext uri="{FF2B5EF4-FFF2-40B4-BE49-F238E27FC236}">
                <a16:creationId xmlns:a16="http://schemas.microsoft.com/office/drawing/2014/main" id="{41A816C8-6148-48A6-95DD-D47238DFEACD}"/>
              </a:ext>
            </a:extLst>
          </xdr:cNvPr>
          <xdr:cNvSpPr/>
        </xdr:nvSpPr>
        <xdr:spPr>
          <a:xfrm>
            <a:off x="15081250" y="342900"/>
            <a:ext cx="4476750" cy="901700"/>
          </a:xfrm>
          <a:prstGeom prst="roundRect">
            <a:avLst/>
          </a:prstGeom>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r-Latn-RS" sz="1100"/>
          </a:p>
        </xdr:txBody>
      </xdr:sp>
      <xdr:sp macro="" textlink="">
        <xdr:nvSpPr>
          <xdr:cNvPr id="25" name="Rectangle: Rounded Corners 24">
            <a:extLst>
              <a:ext uri="{FF2B5EF4-FFF2-40B4-BE49-F238E27FC236}">
                <a16:creationId xmlns:a16="http://schemas.microsoft.com/office/drawing/2014/main" id="{D30BBCAD-2A73-4020-8959-2A354A689029}"/>
              </a:ext>
            </a:extLst>
          </xdr:cNvPr>
          <xdr:cNvSpPr/>
        </xdr:nvSpPr>
        <xdr:spPr>
          <a:xfrm>
            <a:off x="20389850" y="292100"/>
            <a:ext cx="4470400" cy="901700"/>
          </a:xfrm>
          <a:prstGeom prst="roundRect">
            <a:avLst/>
          </a:prstGeom>
          <a:gradFill>
            <a:gsLst>
              <a:gs pos="0">
                <a:schemeClr val="bg1">
                  <a:lumMod val="8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r-Latn-RS" sz="1100"/>
          </a:p>
        </xdr:txBody>
      </xdr:sp>
      <xdr:sp macro="" textlink="">
        <xdr:nvSpPr>
          <xdr:cNvPr id="29" name="Rectangle 28">
            <a:extLst>
              <a:ext uri="{FF2B5EF4-FFF2-40B4-BE49-F238E27FC236}">
                <a16:creationId xmlns:a16="http://schemas.microsoft.com/office/drawing/2014/main" id="{8B5E16EF-9196-6A39-59F9-BE076E906295}"/>
              </a:ext>
            </a:extLst>
          </xdr:cNvPr>
          <xdr:cNvSpPr/>
        </xdr:nvSpPr>
        <xdr:spPr>
          <a:xfrm>
            <a:off x="5152105" y="458286"/>
            <a:ext cx="3132393" cy="632982"/>
          </a:xfrm>
          <a:prstGeom prst="rect">
            <a:avLst/>
          </a:prstGeom>
          <a:noFill/>
        </xdr:spPr>
        <xdr:txBody>
          <a:bodyPr wrap="none" lIns="91440" tIns="45720" rIns="91440" bIns="45720">
            <a:spAutoFit/>
          </a:bodyPr>
          <a:lstStyle/>
          <a:p>
            <a:pPr algn="ctr"/>
            <a:r>
              <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TOTAL PROFIT</a:t>
            </a:r>
          </a:p>
        </xdr:txBody>
      </xdr:sp>
      <xdr:sp macro="" textlink="">
        <xdr:nvSpPr>
          <xdr:cNvPr id="30" name="Rectangle 29">
            <a:extLst>
              <a:ext uri="{FF2B5EF4-FFF2-40B4-BE49-F238E27FC236}">
                <a16:creationId xmlns:a16="http://schemas.microsoft.com/office/drawing/2014/main" id="{BC60E256-0D48-4E24-8A74-1D8CA8614246}"/>
              </a:ext>
            </a:extLst>
          </xdr:cNvPr>
          <xdr:cNvSpPr/>
        </xdr:nvSpPr>
        <xdr:spPr>
          <a:xfrm>
            <a:off x="10431139" y="458286"/>
            <a:ext cx="2874028" cy="632982"/>
          </a:xfrm>
          <a:prstGeom prst="rect">
            <a:avLst/>
          </a:prstGeom>
          <a:noFill/>
        </xdr:spPr>
        <xdr:txBody>
          <a:bodyPr wrap="none" lIns="91440" tIns="45720" rIns="91440" bIns="45720">
            <a:spAutoFit/>
          </a:bodyPr>
          <a:lstStyle/>
          <a:p>
            <a:pPr algn="ctr"/>
            <a:r>
              <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TOTAL SALES</a:t>
            </a:r>
          </a:p>
        </xdr:txBody>
      </xdr:sp>
      <xdr:sp macro="" textlink="">
        <xdr:nvSpPr>
          <xdr:cNvPr id="31" name="Rectangle 30">
            <a:extLst>
              <a:ext uri="{FF2B5EF4-FFF2-40B4-BE49-F238E27FC236}">
                <a16:creationId xmlns:a16="http://schemas.microsoft.com/office/drawing/2014/main" id="{D2C9676F-3816-4671-8501-C21DF2DA283D}"/>
              </a:ext>
            </a:extLst>
          </xdr:cNvPr>
          <xdr:cNvSpPr/>
        </xdr:nvSpPr>
        <xdr:spPr>
          <a:xfrm>
            <a:off x="15816103" y="457200"/>
            <a:ext cx="2802584" cy="632982"/>
          </a:xfrm>
          <a:prstGeom prst="rect">
            <a:avLst/>
          </a:prstGeom>
          <a:noFill/>
        </xdr:spPr>
        <xdr:txBody>
          <a:bodyPr wrap="none" lIns="91440" tIns="45720" rIns="91440" bIns="45720">
            <a:spAutoFit/>
          </a:bodyPr>
          <a:lstStyle/>
          <a:p>
            <a:pPr algn="ctr"/>
            <a:r>
              <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TOTAL COGS</a:t>
            </a:r>
          </a:p>
        </xdr:txBody>
      </xdr:sp>
      <xdr:sp macro="" textlink="">
        <xdr:nvSpPr>
          <xdr:cNvPr id="32" name="Rectangle 31">
            <a:extLst>
              <a:ext uri="{FF2B5EF4-FFF2-40B4-BE49-F238E27FC236}">
                <a16:creationId xmlns:a16="http://schemas.microsoft.com/office/drawing/2014/main" id="{B218A7B5-C243-4362-BEB2-C9EB6A892CA6}"/>
              </a:ext>
            </a:extLst>
          </xdr:cNvPr>
          <xdr:cNvSpPr/>
        </xdr:nvSpPr>
        <xdr:spPr>
          <a:xfrm>
            <a:off x="20890429" y="381000"/>
            <a:ext cx="3575935" cy="632982"/>
          </a:xfrm>
          <a:prstGeom prst="rect">
            <a:avLst/>
          </a:prstGeom>
          <a:noFill/>
        </xdr:spPr>
        <xdr:txBody>
          <a:bodyPr wrap="none" lIns="91440" tIns="45720" rIns="91440" bIns="45720">
            <a:spAutoFit/>
          </a:bodyPr>
          <a:lstStyle/>
          <a:p>
            <a:pPr algn="ctr"/>
            <a:r>
              <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PROFIT MARGIN</a:t>
            </a:r>
          </a:p>
        </xdr:txBody>
      </xdr:sp>
    </xdr:grpSp>
    <xdr:clientData/>
  </xdr:twoCellAnchor>
  <xdr:twoCellAnchor editAs="oneCell">
    <xdr:from>
      <xdr:col>0</xdr:col>
      <xdr:colOff>323272</xdr:colOff>
      <xdr:row>10</xdr:row>
      <xdr:rowOff>11544</xdr:rowOff>
    </xdr:from>
    <xdr:to>
      <xdr:col>6</xdr:col>
      <xdr:colOff>531090</xdr:colOff>
      <xdr:row>34</xdr:row>
      <xdr:rowOff>138546</xdr:rowOff>
    </xdr:to>
    <xdr:pic>
      <xdr:nvPicPr>
        <xdr:cNvPr id="34" name="Picture 33">
          <a:extLst>
            <a:ext uri="{FF2B5EF4-FFF2-40B4-BE49-F238E27FC236}">
              <a16:creationId xmlns:a16="http://schemas.microsoft.com/office/drawing/2014/main" id="{538359C0-997B-7FAA-A4E0-4A671C95E42F}"/>
            </a:ext>
          </a:extLst>
        </xdr:cNvPr>
        <xdr:cNvPicPr>
          <a:picLocks noChangeAspect="1" noChangeArrowheads="1"/>
        </xdr:cNvPicPr>
      </xdr:nvPicPr>
      <xdr:blipFill>
        <a:blip xmlns:r="http://schemas.openxmlformats.org/officeDocument/2006/relationships" r:embed="rId12">
          <a:alphaModFix/>
          <a:extLst>
            <a:ext uri="{28A0092B-C50C-407E-A947-70E740481C1C}">
              <a14:useLocalDpi xmlns:a14="http://schemas.microsoft.com/office/drawing/2010/main" val="0"/>
            </a:ext>
          </a:extLst>
        </a:blip>
        <a:srcRect/>
        <a:stretch>
          <a:fillRect/>
        </a:stretch>
      </xdr:blipFill>
      <xdr:spPr bwMode="auto">
        <a:xfrm>
          <a:off x="323272" y="1858817"/>
          <a:ext cx="3879273" cy="4560456"/>
        </a:xfrm>
        <a:prstGeom prst="rect">
          <a:avLst/>
        </a:prstGeom>
        <a:noFill/>
        <a:effectLst>
          <a:softEdge rad="228600"/>
        </a:effectLst>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291353</xdr:colOff>
      <xdr:row>115</xdr:row>
      <xdr:rowOff>141942</xdr:rowOff>
    </xdr:from>
    <xdr:to>
      <xdr:col>18</xdr:col>
      <xdr:colOff>585508</xdr:colOff>
      <xdr:row>136</xdr:row>
      <xdr:rowOff>23533</xdr:rowOff>
    </xdr:to>
    <xdr:graphicFrame macro="">
      <xdr:nvGraphicFramePr>
        <xdr:cNvPr id="3" name="Chart 2">
          <a:extLst>
            <a:ext uri="{FF2B5EF4-FFF2-40B4-BE49-F238E27FC236}">
              <a16:creationId xmlns:a16="http://schemas.microsoft.com/office/drawing/2014/main" id="{6809F14B-47F0-4870-9F32-DF2FB9447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522944</xdr:colOff>
      <xdr:row>115</xdr:row>
      <xdr:rowOff>141941</xdr:rowOff>
    </xdr:from>
    <xdr:to>
      <xdr:col>32</xdr:col>
      <xdr:colOff>351118</xdr:colOff>
      <xdr:row>136</xdr:row>
      <xdr:rowOff>29882</xdr:rowOff>
    </xdr:to>
    <xdr:graphicFrame macro="">
      <xdr:nvGraphicFramePr>
        <xdr:cNvPr id="26" name="Chart 25">
          <a:extLst>
            <a:ext uri="{FF2B5EF4-FFF2-40B4-BE49-F238E27FC236}">
              <a16:creationId xmlns:a16="http://schemas.microsoft.com/office/drawing/2014/main" id="{67A79BB7-2926-40E8-B8A6-5754AC612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343647</xdr:colOff>
      <xdr:row>137</xdr:row>
      <xdr:rowOff>156882</xdr:rowOff>
    </xdr:from>
    <xdr:to>
      <xdr:col>18</xdr:col>
      <xdr:colOff>590177</xdr:colOff>
      <xdr:row>158</xdr:row>
      <xdr:rowOff>114673</xdr:rowOff>
    </xdr:to>
    <xdr:graphicFrame macro="">
      <xdr:nvGraphicFramePr>
        <xdr:cNvPr id="27" name="Chart 26">
          <a:extLst>
            <a:ext uri="{FF2B5EF4-FFF2-40B4-BE49-F238E27FC236}">
              <a16:creationId xmlns:a16="http://schemas.microsoft.com/office/drawing/2014/main" id="{2302F14C-C137-41AF-A4B3-90F43FCF6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380999</xdr:colOff>
      <xdr:row>137</xdr:row>
      <xdr:rowOff>134470</xdr:rowOff>
    </xdr:from>
    <xdr:to>
      <xdr:col>32</xdr:col>
      <xdr:colOff>321234</xdr:colOff>
      <xdr:row>158</xdr:row>
      <xdr:rowOff>74705</xdr:rowOff>
    </xdr:to>
    <xdr:graphicFrame macro="">
      <xdr:nvGraphicFramePr>
        <xdr:cNvPr id="28" name="Chart 27">
          <a:extLst>
            <a:ext uri="{FF2B5EF4-FFF2-40B4-BE49-F238E27FC236}">
              <a16:creationId xmlns:a16="http://schemas.microsoft.com/office/drawing/2014/main" id="{82417D5E-DAC8-487C-9C5F-85F3697EF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262964</xdr:colOff>
      <xdr:row>2</xdr:row>
      <xdr:rowOff>23089</xdr:rowOff>
    </xdr:from>
    <xdr:to>
      <xdr:col>23</xdr:col>
      <xdr:colOff>46182</xdr:colOff>
      <xdr:row>38</xdr:row>
      <xdr:rowOff>138545</xdr:rowOff>
    </xdr:to>
    <xdr:graphicFrame macro="">
      <xdr:nvGraphicFramePr>
        <xdr:cNvPr id="2" name="Chart 1">
          <a:extLst>
            <a:ext uri="{FF2B5EF4-FFF2-40B4-BE49-F238E27FC236}">
              <a16:creationId xmlns:a16="http://schemas.microsoft.com/office/drawing/2014/main" id="{99195447-5F10-C1E0-40BF-D4090C442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82549</xdr:colOff>
      <xdr:row>0</xdr:row>
      <xdr:rowOff>139700</xdr:rowOff>
    </xdr:from>
    <xdr:to>
      <xdr:col>21</xdr:col>
      <xdr:colOff>217715</xdr:colOff>
      <xdr:row>26</xdr:row>
      <xdr:rowOff>127000</xdr:rowOff>
    </xdr:to>
    <xdr:graphicFrame macro="">
      <xdr:nvGraphicFramePr>
        <xdr:cNvPr id="2" name="Chart 1">
          <a:extLst>
            <a:ext uri="{FF2B5EF4-FFF2-40B4-BE49-F238E27FC236}">
              <a16:creationId xmlns:a16="http://schemas.microsoft.com/office/drawing/2014/main" id="{CF39BD6C-888D-22FE-BCD2-C940BD413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215900</xdr:colOff>
      <xdr:row>3</xdr:row>
      <xdr:rowOff>95250</xdr:rowOff>
    </xdr:from>
    <xdr:to>
      <xdr:col>18</xdr:col>
      <xdr:colOff>272142</xdr:colOff>
      <xdr:row>16</xdr:row>
      <xdr:rowOff>117929</xdr:rowOff>
    </xdr:to>
    <xdr:graphicFrame macro="">
      <xdr:nvGraphicFramePr>
        <xdr:cNvPr id="2" name="Chart 1">
          <a:extLst>
            <a:ext uri="{FF2B5EF4-FFF2-40B4-BE49-F238E27FC236}">
              <a16:creationId xmlns:a16="http://schemas.microsoft.com/office/drawing/2014/main" id="{A74FE027-84E2-9A6A-1C83-CBC64EB0A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253999</xdr:colOff>
      <xdr:row>2</xdr:row>
      <xdr:rowOff>63500</xdr:rowOff>
    </xdr:from>
    <xdr:to>
      <xdr:col>19</xdr:col>
      <xdr:colOff>18142</xdr:colOff>
      <xdr:row>29</xdr:row>
      <xdr:rowOff>163285</xdr:rowOff>
    </xdr:to>
    <xdr:graphicFrame macro="">
      <xdr:nvGraphicFramePr>
        <xdr:cNvPr id="2" name="Chart 1">
          <a:extLst>
            <a:ext uri="{FF2B5EF4-FFF2-40B4-BE49-F238E27FC236}">
              <a16:creationId xmlns:a16="http://schemas.microsoft.com/office/drawing/2014/main" id="{E6541633-0DE2-1A3E-D968-B9B11594F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88899</xdr:colOff>
      <xdr:row>0</xdr:row>
      <xdr:rowOff>146050</xdr:rowOff>
    </xdr:from>
    <xdr:to>
      <xdr:col>19</xdr:col>
      <xdr:colOff>81642</xdr:colOff>
      <xdr:row>28</xdr:row>
      <xdr:rowOff>117929</xdr:rowOff>
    </xdr:to>
    <xdr:graphicFrame macro="">
      <xdr:nvGraphicFramePr>
        <xdr:cNvPr id="2" name="Chart 1">
          <a:extLst>
            <a:ext uri="{FF2B5EF4-FFF2-40B4-BE49-F238E27FC236}">
              <a16:creationId xmlns:a16="http://schemas.microsoft.com/office/drawing/2014/main" id="{532C6C45-CC38-D382-2A45-2A5A45CAF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177800</xdr:colOff>
      <xdr:row>3</xdr:row>
      <xdr:rowOff>95250</xdr:rowOff>
    </xdr:from>
    <xdr:to>
      <xdr:col>14</xdr:col>
      <xdr:colOff>323850</xdr:colOff>
      <xdr:row>20</xdr:row>
      <xdr:rowOff>19050</xdr:rowOff>
    </xdr:to>
    <xdr:graphicFrame macro="">
      <xdr:nvGraphicFramePr>
        <xdr:cNvPr id="2" name="Chart 1">
          <a:extLst>
            <a:ext uri="{FF2B5EF4-FFF2-40B4-BE49-F238E27FC236}">
              <a16:creationId xmlns:a16="http://schemas.microsoft.com/office/drawing/2014/main" id="{8CA4E01E-C202-D29D-7E89-737503BB7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120650</xdr:colOff>
      <xdr:row>0</xdr:row>
      <xdr:rowOff>107950</xdr:rowOff>
    </xdr:from>
    <xdr:to>
      <xdr:col>10</xdr:col>
      <xdr:colOff>508000</xdr:colOff>
      <xdr:row>16</xdr:row>
      <xdr:rowOff>19050</xdr:rowOff>
    </xdr:to>
    <xdr:graphicFrame macro="">
      <xdr:nvGraphicFramePr>
        <xdr:cNvPr id="2" name="Chart 1">
          <a:extLst>
            <a:ext uri="{FF2B5EF4-FFF2-40B4-BE49-F238E27FC236}">
              <a16:creationId xmlns:a16="http://schemas.microsoft.com/office/drawing/2014/main" id="{77022C42-F9D4-99DB-8258-DE1306592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342900</xdr:colOff>
      <xdr:row>0</xdr:row>
      <xdr:rowOff>76200</xdr:rowOff>
    </xdr:from>
    <xdr:to>
      <xdr:col>12</xdr:col>
      <xdr:colOff>342900</xdr:colOff>
      <xdr:row>18</xdr:row>
      <xdr:rowOff>146050</xdr:rowOff>
    </xdr:to>
    <xdr:graphicFrame macro="">
      <xdr:nvGraphicFramePr>
        <xdr:cNvPr id="2" name="Chart 1">
          <a:extLst>
            <a:ext uri="{FF2B5EF4-FFF2-40B4-BE49-F238E27FC236}">
              <a16:creationId xmlns:a16="http://schemas.microsoft.com/office/drawing/2014/main" id="{2BCCAAE1-5B4F-1763-EBAA-962EF01FD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488950</xdr:colOff>
      <xdr:row>3</xdr:row>
      <xdr:rowOff>152400</xdr:rowOff>
    </xdr:from>
    <xdr:to>
      <xdr:col>9</xdr:col>
      <xdr:colOff>247650</xdr:colOff>
      <xdr:row>18</xdr:row>
      <xdr:rowOff>127000</xdr:rowOff>
    </xdr:to>
    <xdr:graphicFrame macro="">
      <xdr:nvGraphicFramePr>
        <xdr:cNvPr id="2" name="Chart 1">
          <a:extLst>
            <a:ext uri="{FF2B5EF4-FFF2-40B4-BE49-F238E27FC236}">
              <a16:creationId xmlns:a16="http://schemas.microsoft.com/office/drawing/2014/main" id="{F63E4ED1-9FCF-E383-793C-9F226F192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177800</xdr:colOff>
      <xdr:row>2</xdr:row>
      <xdr:rowOff>19050</xdr:rowOff>
    </xdr:from>
    <xdr:to>
      <xdr:col>12</xdr:col>
      <xdr:colOff>209550</xdr:colOff>
      <xdr:row>22</xdr:row>
      <xdr:rowOff>133350</xdr:rowOff>
    </xdr:to>
    <xdr:graphicFrame macro="">
      <xdr:nvGraphicFramePr>
        <xdr:cNvPr id="2" name="Chart 1">
          <a:extLst>
            <a:ext uri="{FF2B5EF4-FFF2-40B4-BE49-F238E27FC236}">
              <a16:creationId xmlns:a16="http://schemas.microsoft.com/office/drawing/2014/main" id="{9ACDBA2B-297F-1A53-5EBE-3E560F513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254000</xdr:colOff>
      <xdr:row>3</xdr:row>
      <xdr:rowOff>92075</xdr:rowOff>
    </xdr:from>
    <xdr:to>
      <xdr:col>11</xdr:col>
      <xdr:colOff>120650</xdr:colOff>
      <xdr:row>18</xdr:row>
      <xdr:rowOff>73025</xdr:rowOff>
    </xdr:to>
    <xdr:graphicFrame macro="">
      <xdr:nvGraphicFramePr>
        <xdr:cNvPr id="2" name="Chart 1">
          <a:extLst>
            <a:ext uri="{FF2B5EF4-FFF2-40B4-BE49-F238E27FC236}">
              <a16:creationId xmlns:a16="http://schemas.microsoft.com/office/drawing/2014/main" id="{EE707E83-8A37-446F-1C8C-9DBABC637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1019174</xdr:colOff>
      <xdr:row>26</xdr:row>
      <xdr:rowOff>57150</xdr:rowOff>
    </xdr:from>
    <xdr:to>
      <xdr:col>11</xdr:col>
      <xdr:colOff>507999</xdr:colOff>
      <xdr:row>46</xdr:row>
      <xdr:rowOff>177800</xdr:rowOff>
    </xdr:to>
    <xdr:graphicFrame macro="">
      <xdr:nvGraphicFramePr>
        <xdr:cNvPr id="2" name="Chart 1">
          <a:extLst>
            <a:ext uri="{FF2B5EF4-FFF2-40B4-BE49-F238E27FC236}">
              <a16:creationId xmlns:a16="http://schemas.microsoft.com/office/drawing/2014/main" id="{4A8B8025-D1F6-D7B7-1353-DA3D7D2B65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396874</xdr:colOff>
      <xdr:row>37</xdr:row>
      <xdr:rowOff>0</xdr:rowOff>
    </xdr:from>
    <xdr:to>
      <xdr:col>18</xdr:col>
      <xdr:colOff>469899</xdr:colOff>
      <xdr:row>55</xdr:row>
      <xdr:rowOff>165100</xdr:rowOff>
    </xdr:to>
    <xdr:graphicFrame macro="">
      <xdr:nvGraphicFramePr>
        <xdr:cNvPr id="2" name="Chart 1">
          <a:extLst>
            <a:ext uri="{FF2B5EF4-FFF2-40B4-BE49-F238E27FC236}">
              <a16:creationId xmlns:a16="http://schemas.microsoft.com/office/drawing/2014/main" id="{F0E929BB-7BA6-C751-D933-85F4A2651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177800</xdr:colOff>
      <xdr:row>2</xdr:row>
      <xdr:rowOff>171450</xdr:rowOff>
    </xdr:from>
    <xdr:to>
      <xdr:col>9</xdr:col>
      <xdr:colOff>444500</xdr:colOff>
      <xdr:row>24</xdr:row>
      <xdr:rowOff>0</xdr:rowOff>
    </xdr:to>
    <xdr:graphicFrame macro="">
      <xdr:nvGraphicFramePr>
        <xdr:cNvPr id="2" name="Chart 1">
          <a:extLst>
            <a:ext uri="{FF2B5EF4-FFF2-40B4-BE49-F238E27FC236}">
              <a16:creationId xmlns:a16="http://schemas.microsoft.com/office/drawing/2014/main" id="{C9B7867A-4933-F9E4-BB06-B819DF20C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400050</xdr:colOff>
      <xdr:row>1</xdr:row>
      <xdr:rowOff>38100</xdr:rowOff>
    </xdr:from>
    <xdr:to>
      <xdr:col>9</xdr:col>
      <xdr:colOff>508000</xdr:colOff>
      <xdr:row>21</xdr:row>
      <xdr:rowOff>31750</xdr:rowOff>
    </xdr:to>
    <xdr:graphicFrame macro="">
      <xdr:nvGraphicFramePr>
        <xdr:cNvPr id="2" name="Chart 1">
          <a:extLst>
            <a:ext uri="{FF2B5EF4-FFF2-40B4-BE49-F238E27FC236}">
              <a16:creationId xmlns:a16="http://schemas.microsoft.com/office/drawing/2014/main" id="{C4AC0764-667A-BADF-BBCF-76075069F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46990744" backgroundQuery="1" createdVersion="8" refreshedVersion="8" minRefreshableVersion="3" recordCount="0" supportSubquery="1" supportAdvancedDrill="1" xr:uid="{BCD6ACC4-DB08-42CE-B49F-DDCA3F23FE9C}">
  <cacheSource type="external" connectionId="6"/>
  <cacheFields count="5">
    <cacheField name="[Measures].[TotalSales]" caption="TotalSales" numFmtId="0" hierarchy="29" level="32767"/>
    <cacheField name="[Measures].[TotalSalesLY]" caption="TotalSalesLY" numFmtId="0" hierarchy="30" level="32767"/>
    <cacheField name="[DATE TABLE].[Year].[Year]" caption="Year" numFmtId="0" hierarchy="1" level="1">
      <sharedItems containsSemiMixedTypes="0" containsString="0" containsNumber="1" containsInteger="1" minValue="2021" maxValue="2022" count="2">
        <n v="2021"/>
        <n v="2022"/>
      </sharedItems>
      <extLst>
        <ext xmlns:x15="http://schemas.microsoft.com/office/spreadsheetml/2010/11/main" uri="{4F2E5C28-24EA-4eb8-9CBF-B6C8F9C3D259}">
          <x15:cachedUniqueNames>
            <x15:cachedUniqueName index="0" name="[DATE TABLE].[Year].&amp;[2021]"/>
            <x15:cachedUniqueName index="1" name="[DATE TABLE].[Year].&amp;[2022]"/>
          </x15:cachedUniqueNames>
        </ext>
      </extLst>
    </cacheField>
    <cacheField name="[DATE TABLE].[Month].[Month]" caption="Month"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E TABLE].[Month].&amp;[1]"/>
            <x15:cachedUniqueName index="1" name="[DATE TABLE].[Month].&amp;[2]"/>
            <x15:cachedUniqueName index="2" name="[DATE TABLE].[Month].&amp;[3]"/>
            <x15:cachedUniqueName index="3" name="[DATE TABLE].[Month].&amp;[4]"/>
            <x15:cachedUniqueName index="4" name="[DATE TABLE].[Month].&amp;[5]"/>
            <x15:cachedUniqueName index="5" name="[DATE TABLE].[Month].&amp;[6]"/>
            <x15:cachedUniqueName index="6" name="[DATE TABLE].[Month].&amp;[7]"/>
            <x15:cachedUniqueName index="7" name="[DATE TABLE].[Month].&amp;[8]"/>
            <x15:cachedUniqueName index="8" name="[DATE TABLE].[Month].&amp;[9]"/>
            <x15:cachedUniqueName index="9" name="[DATE TABLE].[Month].&amp;[10]"/>
            <x15:cachedUniqueName index="10" name="[DATE TABLE].[Month].&amp;[11]"/>
            <x15:cachedUniqueName index="11" name="[DATE TABLE].[Month].&amp;[12]"/>
          </x15:cachedUniqueNames>
        </ext>
      </extLst>
    </cacheField>
    <cacheField name="Unsupported0" numFmtId="0" hierarchy="44" level="32767">
      <extLst>
        <ext xmlns:x14="http://schemas.microsoft.com/office/spreadsheetml/2009/9/main" uri="{63CAB8AC-B538-458d-9737-405883B0398D}">
          <x14:cacheField ignore="1"/>
        </ext>
      </extLst>
    </cacheField>
  </cacheFields>
  <cacheHierarchies count="45">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2"/>
      </fieldsUsage>
    </cacheHierarchy>
    <cacheHierarchy uniqueName="[DATE TABLE].[Month]" caption="Month" attribute="1" defaultMemberUniqueName="[DATE TABLE].[Month].[All]" allUniqueName="[DATE TABLE].[Month].[All]" dimensionUniqueName="[DATE TABLE]" displayFolder="" count="2" memberValueDatatype="20" unbalanced="0">
      <fieldsUsage count="2">
        <fieldUsage x="-1"/>
        <fieldUsage x="3"/>
      </fieldsUsage>
    </cacheHierarchy>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oneField="1">
      <fieldsUsage count="1">
        <fieldUsage x="0"/>
      </fieldsUsage>
    </cacheHierarchy>
    <cacheHierarchy uniqueName="[Measures].[TotalSalesLY]" caption="TotalSalesLY" measure="1" displayFolder="" measureGroup="Input Data" count="0" oneField="1">
      <fieldsUsage count="1">
        <fieldUsage x="1"/>
      </fieldsUsage>
    </cacheHierarchy>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47569444" backgroundQuery="1" createdVersion="8" refreshedVersion="8" minRefreshableVersion="3" recordCount="0" supportSubquery="1" supportAdvancedDrill="1" xr:uid="{37C535B0-0AE3-4676-8B2B-CA3E8BA75320}">
  <cacheSource type="external" connectionId="6"/>
  <cacheFields count="4">
    <cacheField name="[Measures].[Total_COGS]" caption="Total_COGS" numFmtId="0" hierarchy="32" level="32767"/>
    <cacheField name="[DATE TABLE].[Year].[Year]" caption="Year" numFmtId="0" hierarchy="1" level="1">
      <sharedItems containsSemiMixedTypes="0" containsString="0" containsNumber="1" containsInteger="1" minValue="2021" maxValue="2022" count="2">
        <n v="2021"/>
        <n v="2022"/>
      </sharedItems>
      <extLst>
        <ext xmlns:x15="http://schemas.microsoft.com/office/spreadsheetml/2010/11/main" uri="{4F2E5C28-24EA-4eb8-9CBF-B6C8F9C3D259}">
          <x15:cachedUniqueNames>
            <x15:cachedUniqueName index="0" name="[DATE TABLE].[Year].&amp;[2021]"/>
            <x15:cachedUniqueName index="1" name="[DATE TABLE].[Year].&amp;[2022]"/>
          </x15:cachedUniqueNames>
        </ext>
      </extLst>
    </cacheField>
    <cacheField name="[DATE TABLE].[Month].[Month]" caption="Month"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E TABLE].[Month].&amp;[1]"/>
            <x15:cachedUniqueName index="1" name="[DATE TABLE].[Month].&amp;[2]"/>
            <x15:cachedUniqueName index="2" name="[DATE TABLE].[Month].&amp;[3]"/>
            <x15:cachedUniqueName index="3" name="[DATE TABLE].[Month].&amp;[4]"/>
            <x15:cachedUniqueName index="4" name="[DATE TABLE].[Month].&amp;[5]"/>
            <x15:cachedUniqueName index="5" name="[DATE TABLE].[Month].&amp;[6]"/>
            <x15:cachedUniqueName index="6" name="[DATE TABLE].[Month].&amp;[7]"/>
            <x15:cachedUniqueName index="7" name="[DATE TABLE].[Month].&amp;[8]"/>
            <x15:cachedUniqueName index="8" name="[DATE TABLE].[Month].&amp;[9]"/>
            <x15:cachedUniqueName index="9" name="[DATE TABLE].[Month].&amp;[10]"/>
            <x15:cachedUniqueName index="10" name="[DATE TABLE].[Month].&amp;[11]"/>
            <x15:cachedUniqueName index="11" name="[DATE TABLE].[Month].&amp;[12]"/>
          </x15:cachedUniqueNames>
        </ext>
      </extLst>
    </cacheField>
    <cacheField name="[Measures].[Total_COGS_LY]" caption="Total_COGS_LY" numFmtId="0" hierarchy="33" level="32767"/>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1"/>
      </fieldsUsage>
    </cacheHierarchy>
    <cacheHierarchy uniqueName="[DATE TABLE].[Month]" caption="Month" attribute="1" defaultMemberUniqueName="[DATE TABLE].[Month].[All]" allUniqueName="[DATE TABLE].[Month].[All]" dimensionUniqueName="[DATE TABLE]" displayFolder="" count="2" memberValueDatatype="20" unbalanced="0">
      <fieldsUsage count="2">
        <fieldUsage x="-1"/>
        <fieldUsage x="2"/>
      </fieldsUsage>
    </cacheHierarchy>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oneField="1">
      <fieldsUsage count="1">
        <fieldUsage x="0"/>
      </fieldsUsage>
    </cacheHierarchy>
    <cacheHierarchy uniqueName="[Measures].[Total_COGS_LY]" caption="Total_COGS_LY" measure="1" displayFolder="" measureGroup="Input Data" count="0" oneField="1">
      <fieldsUsage count="1">
        <fieldUsage x="3"/>
      </fieldsUsage>
    </cacheHierarchy>
    <cacheHierarchy uniqueName="[Measures].[TotalProfit]" caption="TotalProfit" measure="1" displayFolder="" measureGroup="Input Data" count="0"/>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48148145" backgroundQuery="1" createdVersion="8" refreshedVersion="8" minRefreshableVersion="3" recordCount="0" supportSubquery="1" supportAdvancedDrill="1" xr:uid="{10DB2BCE-2646-4B0D-BBD9-9D4C75930463}">
  <cacheSource type="external" connectionId="6"/>
  <cacheFields count="5">
    <cacheField name="[Measures].[TotalProfit]" caption="TotalProfit" numFmtId="0" hierarchy="34" level="32767"/>
    <cacheField name="[DATE TABLE].[Year].[Year]" caption="Year" numFmtId="0" hierarchy="1" level="1">
      <sharedItems containsSemiMixedTypes="0" containsString="0" containsNumber="1" containsInteger="1" minValue="2021" maxValue="2022" count="2">
        <n v="2021"/>
        <n v="2022"/>
      </sharedItems>
      <extLst>
        <ext xmlns:x15="http://schemas.microsoft.com/office/spreadsheetml/2010/11/main" uri="{4F2E5C28-24EA-4eb8-9CBF-B6C8F9C3D259}">
          <x15:cachedUniqueNames>
            <x15:cachedUniqueName index="0" name="[DATE TABLE].[Year].&amp;[2021]"/>
            <x15:cachedUniqueName index="1" name="[DATE TABLE].[Year].&amp;[2022]"/>
          </x15:cachedUniqueNames>
        </ext>
      </extLst>
    </cacheField>
    <cacheField name="[DATE TABLE].[Month].[Month]" caption="Month"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E TABLE].[Month].&amp;[1]"/>
            <x15:cachedUniqueName index="1" name="[DATE TABLE].[Month].&amp;[2]"/>
            <x15:cachedUniqueName index="2" name="[DATE TABLE].[Month].&amp;[3]"/>
            <x15:cachedUniqueName index="3" name="[DATE TABLE].[Month].&amp;[4]"/>
            <x15:cachedUniqueName index="4" name="[DATE TABLE].[Month].&amp;[5]"/>
            <x15:cachedUniqueName index="5" name="[DATE TABLE].[Month].&amp;[6]"/>
            <x15:cachedUniqueName index="6" name="[DATE TABLE].[Month].&amp;[7]"/>
            <x15:cachedUniqueName index="7" name="[DATE TABLE].[Month].&amp;[8]"/>
            <x15:cachedUniqueName index="8" name="[DATE TABLE].[Month].&amp;[9]"/>
            <x15:cachedUniqueName index="9" name="[DATE TABLE].[Month].&amp;[10]"/>
            <x15:cachedUniqueName index="10" name="[DATE TABLE].[Month].&amp;[11]"/>
            <x15:cachedUniqueName index="11" name="[DATE TABLE].[Month].&amp;[12]"/>
          </x15:cachedUniqueNames>
        </ext>
      </extLst>
    </cacheField>
    <cacheField name="[Measures].[TotalProfit_LY]" caption="TotalProfit_LY" numFmtId="0" hierarchy="35" level="32767"/>
    <cacheField name="Unsupported0" numFmtId="0" hierarchy="44" level="32767">
      <extLst>
        <ext xmlns:x14="http://schemas.microsoft.com/office/spreadsheetml/2009/9/main" uri="{63CAB8AC-B538-458d-9737-405883B0398D}">
          <x14:cacheField ignore="1"/>
        </ext>
      </extLst>
    </cacheField>
  </cacheFields>
  <cacheHierarchies count="45">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1"/>
      </fieldsUsage>
    </cacheHierarchy>
    <cacheHierarchy uniqueName="[DATE TABLE].[Month]" caption="Month" attribute="1" defaultMemberUniqueName="[DATE TABLE].[Month].[All]" allUniqueName="[DATE TABLE].[Month].[All]" dimensionUniqueName="[DATE TABLE]" displayFolder="" count="2" memberValueDatatype="20" unbalanced="0">
      <fieldsUsage count="2">
        <fieldUsage x="-1"/>
        <fieldUsage x="2"/>
      </fieldsUsage>
    </cacheHierarchy>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oneField="1">
      <fieldsUsage count="1">
        <fieldUsage x="0"/>
      </fieldsUsage>
    </cacheHierarchy>
    <cacheHierarchy uniqueName="[Measures].[TotalProfit_LY]" caption="TotalProfit_LY" measure="1" displayFolder="" measureGroup="Input Data" count="0" oneField="1">
      <fieldsUsage count="1">
        <fieldUsage x="3"/>
      </fieldsUsage>
    </cacheHierarchy>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48611114" backgroundQuery="1" createdVersion="8" refreshedVersion="8" minRefreshableVersion="3" recordCount="0" supportSubquery="1" supportAdvancedDrill="1" xr:uid="{6CD2F969-8654-4955-B46D-F91D10EC4F20}">
  <cacheSource type="external" connectionId="6"/>
  <cacheFields count="2">
    <cacheField name="[Product Category].[CATEGORY NAME].[CATEGORY NAME]" caption="CATEGORY NAME" numFmtId="0" hierarchy="24" level="1">
      <sharedItems count="5">
        <s v="Agriculture &amp; Animal Feed"/>
        <s v="Basic Food and Fresh Goods"/>
        <s v="Beverages &amp; Packaged Goods"/>
        <s v="Household Supplies"/>
        <s v="Tools &amp; Technical Equipment"/>
      </sharedItems>
    </cacheField>
    <cacheField name="[Measures].[TotalProfit]" caption="TotalProfit" numFmtId="0" hierarchy="34" level="32767"/>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fieldsUsage count="2">
        <fieldUsage x="-1"/>
        <fieldUsage x="0"/>
      </fieldsUsage>
    </cacheHierarchy>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oneField="1">
      <fieldsUsage count="1">
        <fieldUsage x="1"/>
      </fieldsUsage>
    </cacheHierarchy>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49074076" backgroundQuery="1" createdVersion="8" refreshedVersion="8" minRefreshableVersion="3" recordCount="0" supportSubquery="1" supportAdvancedDrill="1" xr:uid="{CC24DA91-128E-4F8A-A7DE-AB8A54C4A8D8}">
  <cacheSource type="external" connectionId="6"/>
  <cacheFields count="2">
    <cacheField name="[Input Data].[SALE TYPE].[SALE TYPE]" caption="SALE TYPE" numFmtId="0" hierarchy="10" level="1">
      <sharedItems count="3">
        <s v="Direct Sales"/>
        <s v="Online"/>
        <s v="Wholesaler"/>
      </sharedItems>
    </cacheField>
    <cacheField name="[Measures].[TotalProfit]" caption="TotalProfit" numFmtId="0" hierarchy="34" level="32767"/>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fieldsUsage count="2">
        <fieldUsage x="-1"/>
        <fieldUsage x="0"/>
      </fieldsUsage>
    </cacheHierarchy>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oneField="1">
      <fieldsUsage count="1">
        <fieldUsage x="1"/>
      </fieldsUsage>
    </cacheHierarchy>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49421299" backgroundQuery="1" createdVersion="8" refreshedVersion="8" minRefreshableVersion="3" recordCount="0" supportSubquery="1" supportAdvancedDrill="1" xr:uid="{1F56BBEF-EA62-40A1-8E99-FF33EED4E6AC}">
  <cacheSource type="external" connectionId="6"/>
  <cacheFields count="2">
    <cacheField name="[Input Data].[PAYMENT MODE].[PAYMENT MODE]" caption="PAYMENT MODE" numFmtId="0" hierarchy="11" level="1">
      <sharedItems count="2">
        <s v="Cash"/>
        <s v="Online"/>
      </sharedItems>
    </cacheField>
    <cacheField name="[Measures].[TotalProfit]" caption="TotalProfit" numFmtId="0" hierarchy="34" level="32767"/>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fieldsUsage count="2">
        <fieldUsage x="-1"/>
        <fieldUsage x="0"/>
      </fieldsUsage>
    </cacheHierarchy>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oneField="1">
      <fieldsUsage count="1">
        <fieldUsage x="1"/>
      </fieldsUsage>
    </cacheHierarchy>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5" backgroundQuery="1" createdVersion="8" refreshedVersion="8" minRefreshableVersion="3" recordCount="0" supportSubquery="1" supportAdvancedDrill="1" xr:uid="{F9F7C8FB-D5E7-4DEB-9E4C-2F7CCE3A9852}">
  <cacheSource type="external" connectionId="6"/>
  <cacheFields count="3">
    <cacheField name="[DATE TABLE].[Year].[Year]" caption="Year" numFmtId="0" hierarchy="1" level="1">
      <sharedItems containsSemiMixedTypes="0" containsString="0" containsNumber="1" containsInteger="1" minValue="2021" maxValue="2022" count="2">
        <n v="2021"/>
        <n v="2022"/>
      </sharedItems>
      <extLst>
        <ext xmlns:x15="http://schemas.microsoft.com/office/spreadsheetml/2010/11/main" uri="{4F2E5C28-24EA-4eb8-9CBF-B6C8F9C3D259}">
          <x15:cachedUniqueNames>
            <x15:cachedUniqueName index="0" name="[DATE TABLE].[Year].&amp;[2021]"/>
            <x15:cachedUniqueName index="1" name="[DATE TABLE].[Year].&amp;[2022]"/>
          </x15:cachedUniqueNames>
        </ext>
      </extLst>
    </cacheField>
    <cacheField name="[DATE TABLE].[Month].[Month]" caption="Month"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E TABLE].[Month].&amp;[1]"/>
            <x15:cachedUniqueName index="1" name="[DATE TABLE].[Month].&amp;[2]"/>
            <x15:cachedUniqueName index="2" name="[DATE TABLE].[Month].&amp;[3]"/>
            <x15:cachedUniqueName index="3" name="[DATE TABLE].[Month].&amp;[4]"/>
            <x15:cachedUniqueName index="4" name="[DATE TABLE].[Month].&amp;[5]"/>
            <x15:cachedUniqueName index="5" name="[DATE TABLE].[Month].&amp;[6]"/>
            <x15:cachedUniqueName index="6" name="[DATE TABLE].[Month].&amp;[7]"/>
            <x15:cachedUniqueName index="7" name="[DATE TABLE].[Month].&amp;[8]"/>
            <x15:cachedUniqueName index="8" name="[DATE TABLE].[Month].&amp;[9]"/>
            <x15:cachedUniqueName index="9" name="[DATE TABLE].[Month].&amp;[10]"/>
            <x15:cachedUniqueName index="10" name="[DATE TABLE].[Month].&amp;[11]"/>
            <x15:cachedUniqueName index="11" name="[DATE TABLE].[Month].&amp;[12]"/>
          </x15:cachedUniqueNames>
        </ext>
      </extLst>
    </cacheField>
    <cacheField name="[Measures].[TotalProfit]" caption="TotalProfit" numFmtId="0" hierarchy="34" level="32767"/>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0"/>
      </fieldsUsage>
    </cacheHierarchy>
    <cacheHierarchy uniqueName="[DATE TABLE].[Month]" caption="Month" attribute="1" defaultMemberUniqueName="[DATE TABLE].[Month].[All]" allUniqueName="[DATE TABLE].[Month].[All]" dimensionUniqueName="[DATE TABLE]" displayFolder="" count="2" memberValueDatatype="20" unbalanced="0">
      <fieldsUsage count="2">
        <fieldUsage x="-1"/>
        <fieldUsage x="1"/>
      </fieldsUsage>
    </cacheHierarchy>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oneField="1">
      <fieldsUsage count="1">
        <fieldUsage x="2"/>
      </fieldsUsage>
    </cacheHierarchy>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50462962" backgroundQuery="1" createdVersion="8" refreshedVersion="8" minRefreshableVersion="3" recordCount="0" supportSubquery="1" supportAdvancedDrill="1" xr:uid="{03160224-A3AA-4A88-9485-517A6EC518D5}">
  <cacheSource type="external" connectionId="6"/>
  <cacheFields count="2">
    <cacheField name="[Product Name].[Product Name].[Product Name]" caption="Product Name" numFmtId="0" hierarchy="26" level="1">
      <sharedItems count="15">
        <s v="Bathroom Cleaner – Extra Strength"/>
        <s v="Chocolate Bar – Family Pack"/>
        <s v="Cow Feed – High Energy Mix"/>
        <s v="Fertilizer – Nitrogen Boost"/>
        <s v="Granulated Sugar – Premium Grade"/>
        <s v="Laundry Powder – Heavy Duty"/>
        <s v="Measuring Tape – 148 Ft"/>
        <s v="Microfiber Mop – Extendable Handle"/>
        <s v="Orange Juice – 100% Natural"/>
        <s v="Plaster – Smooth Finish"/>
        <s v="Potato Chips – Salted Classic"/>
        <s v="Seed Bag – Wheat Premium"/>
        <s v="Tile Adhesive – Waterproof"/>
        <s v="Whole Wheat Bread – Family Size"/>
        <s v="Window Cleaner – Industrial Grade"/>
      </sharedItems>
    </cacheField>
    <cacheField name="[Measures].[TotalProfit]" caption="TotalProfit" numFmtId="0" hierarchy="34" level="32767"/>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2" memberValueDatatype="130" unbalanced="0">
      <fieldsUsage count="2">
        <fieldUsage x="-1"/>
        <fieldUsage x="0"/>
      </fieldsUsage>
    </cacheHierarchy>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oneField="1">
      <fieldsUsage count="1">
        <fieldUsage x="1"/>
      </fieldsUsage>
    </cacheHierarchy>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51157408" backgroundQuery="1" createdVersion="8" refreshedVersion="8" minRefreshableVersion="3" recordCount="0" supportSubquery="1" supportAdvancedDrill="1" xr:uid="{030299DB-0961-41F7-BF4F-1A503F840957}">
  <cacheSource type="external" connectionId="6"/>
  <cacheFields count="4">
    <cacheField name="[Master Data].[UOM].[UOM]" caption="UOM" numFmtId="0" hierarchy="19" level="1">
      <sharedItems count="4">
        <s v="Ft"/>
        <s v="Kg"/>
        <s v="Lt"/>
        <s v="No."/>
      </sharedItems>
    </cacheField>
    <cacheField name="[Measures].[TotalQuantitySold]" caption="TotalQuantitySold" numFmtId="0" hierarchy="31" level="32767"/>
    <cacheField name="[DATE TABLE].[Month].[Month]" caption="Month"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E TABLE].[Month].&amp;[1]"/>
            <x15:cachedUniqueName index="1" name="[DATE TABLE].[Month].&amp;[2]"/>
            <x15:cachedUniqueName index="2" name="[DATE TABLE].[Month].&amp;[3]"/>
            <x15:cachedUniqueName index="3" name="[DATE TABLE].[Month].&amp;[4]"/>
            <x15:cachedUniqueName index="4" name="[DATE TABLE].[Month].&amp;[5]"/>
            <x15:cachedUniqueName index="5" name="[DATE TABLE].[Month].&amp;[6]"/>
            <x15:cachedUniqueName index="6" name="[DATE TABLE].[Month].&amp;[7]"/>
            <x15:cachedUniqueName index="7" name="[DATE TABLE].[Month].&amp;[8]"/>
            <x15:cachedUniqueName index="8" name="[DATE TABLE].[Month].&amp;[9]"/>
            <x15:cachedUniqueName index="9" name="[DATE TABLE].[Month].&amp;[10]"/>
            <x15:cachedUniqueName index="10" name="[DATE TABLE].[Month].&amp;[11]"/>
            <x15:cachedUniqueName index="11" name="[DATE TABLE].[Month].&amp;[12]"/>
          </x15:cachedUniqueNames>
        </ext>
      </extLst>
    </cacheField>
    <cacheField name="[DATE TABLE].[Year].[Year]" caption="Year" numFmtId="0" hierarchy="1" level="1">
      <sharedItems containsSemiMixedTypes="0" containsString="0" containsNumber="1" containsInteger="1" minValue="2021" maxValue="2022" count="2">
        <n v="2021"/>
        <n v="2022"/>
      </sharedItems>
      <extLst>
        <ext xmlns:x15="http://schemas.microsoft.com/office/spreadsheetml/2010/11/main" uri="{4F2E5C28-24EA-4eb8-9CBF-B6C8F9C3D259}">
          <x15:cachedUniqueNames>
            <x15:cachedUniqueName index="0" name="[DATE TABLE].[Year].&amp;[2021]"/>
            <x15:cachedUniqueName index="1" name="[DATE TABLE].[Year].&amp;[2022]"/>
          </x15:cachedUniqueNames>
        </ext>
      </extLst>
    </cacheField>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3"/>
      </fieldsUsage>
    </cacheHierarchy>
    <cacheHierarchy uniqueName="[DATE TABLE].[Month]" caption="Month" attribute="1" defaultMemberUniqueName="[DATE TABLE].[Month].[All]" allUniqueName="[DATE TABLE].[Month].[All]" dimensionUniqueName="[DATE TABLE]" displayFolder="" count="2" memberValueDatatype="20" unbalanced="0">
      <fieldsUsage count="2">
        <fieldUsage x="-1"/>
        <fieldUsage x="2"/>
      </fieldsUsage>
    </cacheHierarchy>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2" memberValueDatatype="130" unbalanced="0">
      <fieldsUsage count="2">
        <fieldUsage x="-1"/>
        <fieldUsage x="0"/>
      </fieldsUsage>
    </cacheHierarchy>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oneField="1">
      <fieldsUsage count="1">
        <fieldUsage x="1"/>
      </fieldsUsage>
    </cacheHierarchy>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51736109" backgroundQuery="1" createdVersion="8" refreshedVersion="8" minRefreshableVersion="3" recordCount="0" supportSubquery="1" supportAdvancedDrill="1" xr:uid="{4793AF87-0EC0-47F2-94D7-34AEC7DCA25A}">
  <cacheSource type="external" connectionId="6"/>
  <cacheFields count="3">
    <cacheField name="[DATE TABLE].[Year].[Year]" caption="Year" numFmtId="0" hierarchy="1" level="1">
      <sharedItems containsSemiMixedTypes="0" containsString="0" containsNumber="1" containsInteger="1" minValue="2021" maxValue="2022" count="2">
        <n v="2021"/>
        <n v="2022"/>
      </sharedItems>
      <extLst>
        <ext xmlns:x15="http://schemas.microsoft.com/office/spreadsheetml/2010/11/main" uri="{4F2E5C28-24EA-4eb8-9CBF-B6C8F9C3D259}">
          <x15:cachedUniqueNames>
            <x15:cachedUniqueName index="0" name="[DATE TABLE].[Year].&amp;[2021]"/>
            <x15:cachedUniqueName index="1" name="[DATE TABLE].[Year].&amp;[2022]"/>
          </x15:cachedUniqueNames>
        </ext>
      </extLst>
    </cacheField>
    <cacheField name="[DATE TABLE].[Month].[Month]" caption="Month"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E TABLE].[Month].&amp;[1]"/>
            <x15:cachedUniqueName index="1" name="[DATE TABLE].[Month].&amp;[2]"/>
            <x15:cachedUniqueName index="2" name="[DATE TABLE].[Month].&amp;[3]"/>
            <x15:cachedUniqueName index="3" name="[DATE TABLE].[Month].&amp;[4]"/>
            <x15:cachedUniqueName index="4" name="[DATE TABLE].[Month].&amp;[5]"/>
            <x15:cachedUniqueName index="5" name="[DATE TABLE].[Month].&amp;[6]"/>
            <x15:cachedUniqueName index="6" name="[DATE TABLE].[Month].&amp;[7]"/>
            <x15:cachedUniqueName index="7" name="[DATE TABLE].[Month].&amp;[8]"/>
            <x15:cachedUniqueName index="8" name="[DATE TABLE].[Month].&amp;[9]"/>
            <x15:cachedUniqueName index="9" name="[DATE TABLE].[Month].&amp;[10]"/>
            <x15:cachedUniqueName index="10" name="[DATE TABLE].[Month].&amp;[11]"/>
            <x15:cachedUniqueName index="11" name="[DATE TABLE].[Month].&amp;[12]"/>
          </x15:cachedUniqueNames>
        </ext>
      </extLst>
    </cacheField>
    <cacheField name="[Measures].[TotalSales]" caption="TotalSales" numFmtId="0" hierarchy="29" level="32767"/>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0"/>
      </fieldsUsage>
    </cacheHierarchy>
    <cacheHierarchy uniqueName="[DATE TABLE].[Month]" caption="Month" attribute="1" defaultMemberUniqueName="[DATE TABLE].[Month].[All]" allUniqueName="[DATE TABLE].[Month].[All]" dimensionUniqueName="[DATE TABLE]" displayFolder="" count="2" memberValueDatatype="20" unbalanced="0">
      <fieldsUsage count="2">
        <fieldUsage x="-1"/>
        <fieldUsage x="1"/>
      </fieldsUsage>
    </cacheHierarchy>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oneField="1">
      <fieldsUsage count="1">
        <fieldUsage x="2"/>
      </fieldsUsage>
    </cacheHierarchy>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51851855" backgroundQuery="1" createdVersion="8" refreshedVersion="8" minRefreshableVersion="3" recordCount="0" supportSubquery="1" supportAdvancedDrill="1" xr:uid="{8A8F81A7-6735-4DE6-991C-9B3A654825E3}">
  <cacheSource type="external" connectionId="6"/>
  <cacheFields count="1">
    <cacheField name="[Measures].[TotalProfit]" caption="TotalProfit" numFmtId="0" hierarchy="34" level="32767"/>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oneField="1">
      <fieldsUsage count="1">
        <fieldUsage x="0"/>
      </fieldsUsage>
    </cacheHierarchy>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52083332" backgroundQuery="1" createdVersion="8" refreshedVersion="8" minRefreshableVersion="3" recordCount="0" supportSubquery="1" supportAdvancedDrill="1" xr:uid="{BCF97B93-054B-4D7A-BD44-C72F83B2D5A8}">
  <cacheSource type="external" connectionId="6"/>
  <cacheFields count="1">
    <cacheField name="[Measures].[TotalSales]" caption="TotalSales" numFmtId="0" hierarchy="29" level="32767"/>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oneField="1">
      <fieldsUsage count="1">
        <fieldUsage x="0"/>
      </fieldsUsage>
    </cacheHierarchy>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52199071" backgroundQuery="1" createdVersion="8" refreshedVersion="8" minRefreshableVersion="3" recordCount="0" supportSubquery="1" supportAdvancedDrill="1" xr:uid="{235CCB15-328E-4DAC-BB8A-B431562BD2AB}">
  <cacheSource type="external" connectionId="6"/>
  <cacheFields count="1">
    <cacheField name="[Measures].[Total_COGS]" caption="Total_COGS" numFmtId="0" hierarchy="32" level="32767"/>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oneField="1">
      <fieldsUsage count="1">
        <fieldUsage x="0"/>
      </fieldsUsage>
    </cacheHierarchy>
    <cacheHierarchy uniqueName="[Measures].[Total_COGS_LY]" caption="Total_COGS_LY" measure="1" displayFolder="" measureGroup="Input Data" count="0"/>
    <cacheHierarchy uniqueName="[Measures].[TotalProfit]" caption="TotalProfit" measure="1" displayFolder="" measureGroup="Input Data" count="0"/>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52314817" backgroundQuery="1" createdVersion="8" refreshedVersion="8" minRefreshableVersion="3" recordCount="0" supportSubquery="1" supportAdvancedDrill="1" xr:uid="{1F3A5DCF-900C-4B2E-8EB6-5F1909CF43AF}">
  <cacheSource type="external" connectionId="6"/>
  <cacheFields count="1">
    <cacheField name="[Measures].[ProfitMargin]" caption="ProfitMargin" numFmtId="0" hierarchy="36" level="32767"/>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cacheHierarchy uniqueName="[Measures].[TotalProfit_LY]" caption="TotalProfit_LY" measure="1" displayFolder="" measureGroup="Input Data" count="0"/>
    <cacheHierarchy uniqueName="[Measures].[ProfitMargin]" caption="ProfitMargin" measure="1" displayFolder="" measureGroup="Input Data" count="0" oneField="1">
      <fieldsUsage count="1">
        <fieldUsage x="0"/>
      </fieldsUsage>
    </cacheHierarchy>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52893517" backgroundQuery="1" createdVersion="8" refreshedVersion="8" minRefreshableVersion="3" recordCount="0" supportSubquery="1" supportAdvancedDrill="1" xr:uid="{4F65CCBC-5447-43F5-B5E2-4A2CEDC79225}">
  <cacheSource type="external" connectionId="6"/>
  <cacheFields count="3">
    <cacheField name="[DATE TABLE].[Month].[Month]" caption="Month"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E TABLE].[Month].&amp;[1]"/>
            <x15:cachedUniqueName index="1" name="[DATE TABLE].[Month].&amp;[2]"/>
            <x15:cachedUniqueName index="2" name="[DATE TABLE].[Month].&amp;[3]"/>
            <x15:cachedUniqueName index="3" name="[DATE TABLE].[Month].&amp;[4]"/>
            <x15:cachedUniqueName index="4" name="[DATE TABLE].[Month].&amp;[5]"/>
            <x15:cachedUniqueName index="5" name="[DATE TABLE].[Month].&amp;[6]"/>
            <x15:cachedUniqueName index="6" name="[DATE TABLE].[Month].&amp;[7]"/>
            <x15:cachedUniqueName index="7" name="[DATE TABLE].[Month].&amp;[8]"/>
            <x15:cachedUniqueName index="8" name="[DATE TABLE].[Month].&amp;[9]"/>
            <x15:cachedUniqueName index="9" name="[DATE TABLE].[Month].&amp;[10]"/>
            <x15:cachedUniqueName index="10" name="[DATE TABLE].[Month].&amp;[11]"/>
            <x15:cachedUniqueName index="11" name="[DATE TABLE].[Month].&amp;[12]"/>
          </x15:cachedUniqueNames>
        </ext>
      </extLst>
    </cacheField>
    <cacheField name="[Measures].[TotalProfit]" caption="TotalProfit" numFmtId="0" hierarchy="34" level="32767"/>
    <cacheField name="[Product Category].[CATEGORY NAME].[CATEGORY NAME]" caption="CATEGORY NAME" numFmtId="0" hierarchy="24" level="1">
      <sharedItems count="5">
        <s v="Agriculture &amp; Animal Feed"/>
        <s v="Basic Food and Fresh Goods"/>
        <s v="Beverages &amp; Packaged Goods"/>
        <s v="Household Supplies"/>
        <s v="Tools &amp; Technical Equipment"/>
      </sharedItems>
    </cacheField>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2" memberValueDatatype="20" unbalanced="0">
      <fieldsUsage count="2">
        <fieldUsage x="-1"/>
        <fieldUsage x="0"/>
      </fieldsUsage>
    </cacheHierarchy>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fieldsUsage count="2">
        <fieldUsage x="-1"/>
        <fieldUsage x="2"/>
      </fieldsUsage>
    </cacheHierarchy>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oneField="1">
      <fieldsUsage count="1">
        <fieldUsage x="1"/>
      </fieldsUsage>
    </cacheHierarchy>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53472225" backgroundQuery="1" createdVersion="8" refreshedVersion="8" minRefreshableVersion="3" recordCount="0" supportSubquery="1" supportAdvancedDrill="1" xr:uid="{0DE46669-73FC-445B-9DFA-D7CD2D08BBFB}">
  <cacheSource type="external" connectionId="6"/>
  <cacheFields count="3">
    <cacheField name="[DATE TABLE].[Month].[Month]" caption="Month"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E TABLE].[Month].&amp;[1]"/>
            <x15:cachedUniqueName index="1" name="[DATE TABLE].[Month].&amp;[2]"/>
            <x15:cachedUniqueName index="2" name="[DATE TABLE].[Month].&amp;[3]"/>
            <x15:cachedUniqueName index="3" name="[DATE TABLE].[Month].&amp;[4]"/>
            <x15:cachedUniqueName index="4" name="[DATE TABLE].[Month].&amp;[5]"/>
            <x15:cachedUniqueName index="5" name="[DATE TABLE].[Month].&amp;[6]"/>
            <x15:cachedUniqueName index="6" name="[DATE TABLE].[Month].&amp;[7]"/>
            <x15:cachedUniqueName index="7" name="[DATE TABLE].[Month].&amp;[8]"/>
            <x15:cachedUniqueName index="8" name="[DATE TABLE].[Month].&amp;[9]"/>
            <x15:cachedUniqueName index="9" name="[DATE TABLE].[Month].&amp;[10]"/>
            <x15:cachedUniqueName index="10" name="[DATE TABLE].[Month].&amp;[11]"/>
            <x15:cachedUniqueName index="11" name="[DATE TABLE].[Month].&amp;[12]"/>
          </x15:cachedUniqueNames>
        </ext>
      </extLst>
    </cacheField>
    <cacheField name="[Input Data].[SALE TYPE].[SALE TYPE]" caption="SALE TYPE" numFmtId="0" hierarchy="10" level="1">
      <sharedItems count="3">
        <s v="Direct Sales"/>
        <s v="Online"/>
        <s v="Wholesaler"/>
      </sharedItems>
    </cacheField>
    <cacheField name="[Measures].[TotalProfit]" caption="TotalProfit" numFmtId="0" hierarchy="34" level="32767"/>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2" memberValueDatatype="20" unbalanced="0">
      <fieldsUsage count="2">
        <fieldUsage x="-1"/>
        <fieldUsage x="0"/>
      </fieldsUsage>
    </cacheHierarchy>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fieldsUsage count="2">
        <fieldUsage x="-1"/>
        <fieldUsage x="1"/>
      </fieldsUsage>
    </cacheHierarchy>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oneField="1">
      <fieldsUsage count="1">
        <fieldUsage x="2"/>
      </fieldsUsage>
    </cacheHierarchy>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54050926" backgroundQuery="1" createdVersion="8" refreshedVersion="8" minRefreshableVersion="3" recordCount="0" supportSubquery="1" supportAdvancedDrill="1" xr:uid="{94FB99F3-DDA9-4D98-A27A-CB94B5072B8E}">
  <cacheSource type="external" connectionId="6"/>
  <cacheFields count="3">
    <cacheField name="[DATE TABLE].[Month].[Month]" caption="Month"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E TABLE].[Month].&amp;[1]"/>
            <x15:cachedUniqueName index="1" name="[DATE TABLE].[Month].&amp;[2]"/>
            <x15:cachedUniqueName index="2" name="[DATE TABLE].[Month].&amp;[3]"/>
            <x15:cachedUniqueName index="3" name="[DATE TABLE].[Month].&amp;[4]"/>
            <x15:cachedUniqueName index="4" name="[DATE TABLE].[Month].&amp;[5]"/>
            <x15:cachedUniqueName index="5" name="[DATE TABLE].[Month].&amp;[6]"/>
            <x15:cachedUniqueName index="6" name="[DATE TABLE].[Month].&amp;[7]"/>
            <x15:cachedUniqueName index="7" name="[DATE TABLE].[Month].&amp;[8]"/>
            <x15:cachedUniqueName index="8" name="[DATE TABLE].[Month].&amp;[9]"/>
            <x15:cachedUniqueName index="9" name="[DATE TABLE].[Month].&amp;[10]"/>
            <x15:cachedUniqueName index="10" name="[DATE TABLE].[Month].&amp;[11]"/>
            <x15:cachedUniqueName index="11" name="[DATE TABLE].[Month].&amp;[12]"/>
          </x15:cachedUniqueNames>
        </ext>
      </extLst>
    </cacheField>
    <cacheField name="[Master Data].[PRICE CATEGORY].[PRICE CATEGORY]" caption="PRICE CATEGORY" numFmtId="0" hierarchy="22" level="1">
      <sharedItems count="5">
        <s v="Cheap 47-87"/>
        <s v="Expensive 129-169"/>
        <s v="Moderate 88-128"/>
        <s v="Very Cheap 6-46"/>
        <s v="Very Expensive 170-MAX"/>
      </sharedItems>
    </cacheField>
    <cacheField name="[Measures].[TotalProfit]" caption="TotalProfit" numFmtId="0" hierarchy="34" level="32767"/>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2" memberValueDatatype="20" unbalanced="0">
      <fieldsUsage count="2">
        <fieldUsage x="-1"/>
        <fieldUsage x="0"/>
      </fieldsUsage>
    </cacheHierarchy>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2" memberValueDatatype="130" unbalanced="0">
      <fieldsUsage count="2">
        <fieldUsage x="-1"/>
        <fieldUsage x="1"/>
      </fieldsUsage>
    </cacheHierarchy>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oneField="1">
      <fieldsUsage count="1">
        <fieldUsage x="2"/>
      </fieldsUsage>
    </cacheHierarchy>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54745372" backgroundQuery="1" createdVersion="8" refreshedVersion="8" minRefreshableVersion="3" recordCount="0" supportSubquery="1" supportAdvancedDrill="1" xr:uid="{B0C2571F-11D5-4AD5-8669-71AB124F29AB}">
  <cacheSource type="external" connectionId="6"/>
  <cacheFields count="3">
    <cacheField name="[Measures].[ProfitMargin]" caption="ProfitMargin" numFmtId="0" hierarchy="36" level="32767"/>
    <cacheField name="[DATE TABLE].[Year].[Year]" caption="Year" numFmtId="0" hierarchy="1" level="1">
      <sharedItems containsSemiMixedTypes="0" containsString="0" containsNumber="1" containsInteger="1" minValue="2021" maxValue="2022" count="2">
        <n v="2021"/>
        <n v="2022"/>
      </sharedItems>
      <extLst>
        <ext xmlns:x15="http://schemas.microsoft.com/office/spreadsheetml/2010/11/main" uri="{4F2E5C28-24EA-4eb8-9CBF-B6C8F9C3D259}">
          <x15:cachedUniqueNames>
            <x15:cachedUniqueName index="0" name="[DATE TABLE].[Year].&amp;[2021]"/>
            <x15:cachedUniqueName index="1" name="[DATE TABLE].[Year].&amp;[2022]"/>
          </x15:cachedUniqueNames>
        </ext>
      </extLst>
    </cacheField>
    <cacheField name="[DATE TABLE].[Month].[Month]" caption="Month"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E TABLE].[Month].&amp;[1]"/>
            <x15:cachedUniqueName index="1" name="[DATE TABLE].[Month].&amp;[2]"/>
            <x15:cachedUniqueName index="2" name="[DATE TABLE].[Month].&amp;[3]"/>
            <x15:cachedUniqueName index="3" name="[DATE TABLE].[Month].&amp;[4]"/>
            <x15:cachedUniqueName index="4" name="[DATE TABLE].[Month].&amp;[5]"/>
            <x15:cachedUniqueName index="5" name="[DATE TABLE].[Month].&amp;[6]"/>
            <x15:cachedUniqueName index="6" name="[DATE TABLE].[Month].&amp;[7]"/>
            <x15:cachedUniqueName index="7" name="[DATE TABLE].[Month].&amp;[8]"/>
            <x15:cachedUniqueName index="8" name="[DATE TABLE].[Month].&amp;[9]"/>
            <x15:cachedUniqueName index="9" name="[DATE TABLE].[Month].&amp;[10]"/>
            <x15:cachedUniqueName index="10" name="[DATE TABLE].[Month].&amp;[11]"/>
            <x15:cachedUniqueName index="11" name="[DATE TABLE].[Month].&amp;[12]"/>
          </x15:cachedUniqueNames>
        </ext>
      </extLst>
    </cacheField>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1"/>
      </fieldsUsage>
    </cacheHierarchy>
    <cacheHierarchy uniqueName="[DATE TABLE].[Month]" caption="Month" attribute="1" defaultMemberUniqueName="[DATE TABLE].[Month].[All]" allUniqueName="[DATE TABLE].[Month].[All]" dimensionUniqueName="[DATE TABLE]" displayFolder="" count="2" memberValueDatatype="20" unbalanced="0">
      <fieldsUsage count="2">
        <fieldUsage x="-1"/>
        <fieldUsage x="2"/>
      </fieldsUsage>
    </cacheHierarchy>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cacheHierarchy uniqueName="[Measures].[TotalProfit_LY]" caption="TotalProfit_LY" measure="1" displayFolder="" measureGroup="Input Data" count="0"/>
    <cacheHierarchy uniqueName="[Measures].[ProfitMargin]" caption="ProfitMargin" measure="1" displayFolder="" measureGroup="Input Data" count="0" oneField="1">
      <fieldsUsage count="1">
        <fieldUsage x="0"/>
      </fieldsUsage>
    </cacheHierarchy>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581955208334" backgroundQuery="1" createdVersion="8" refreshedVersion="8" minRefreshableVersion="3" recordCount="0" supportSubquery="1" supportAdvancedDrill="1" xr:uid="{7FBD178B-C143-4E0C-812A-458755A1B1C6}">
  <cacheSource type="external" connectionId="6"/>
  <cacheFields count="3">
    <cacheField name="[DATE TABLE].[Month].[Month]" caption="Month"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E TABLE].[Month].&amp;[1]"/>
            <x15:cachedUniqueName index="1" name="[DATE TABLE].[Month].&amp;[2]"/>
            <x15:cachedUniqueName index="2" name="[DATE TABLE].[Month].&amp;[3]"/>
            <x15:cachedUniqueName index="3" name="[DATE TABLE].[Month].&amp;[4]"/>
            <x15:cachedUniqueName index="4" name="[DATE TABLE].[Month].&amp;[5]"/>
            <x15:cachedUniqueName index="5" name="[DATE TABLE].[Month].&amp;[6]"/>
            <x15:cachedUniqueName index="6" name="[DATE TABLE].[Month].&amp;[7]"/>
            <x15:cachedUniqueName index="7" name="[DATE TABLE].[Month].&amp;[8]"/>
            <x15:cachedUniqueName index="8" name="[DATE TABLE].[Month].&amp;[9]"/>
            <x15:cachedUniqueName index="9" name="[DATE TABLE].[Month].&amp;[10]"/>
            <x15:cachedUniqueName index="10" name="[DATE TABLE].[Month].&amp;[11]"/>
            <x15:cachedUniqueName index="11" name="[DATE TABLE].[Month].&amp;[12]"/>
          </x15:cachedUniqueNames>
        </ext>
      </extLst>
    </cacheField>
    <cacheField name="[Input Data].[PAYMENT MODE].[PAYMENT MODE]" caption="PAYMENT MODE" numFmtId="0" hierarchy="11" level="1">
      <sharedItems count="2">
        <s v="Cash"/>
        <s v="Online"/>
      </sharedItems>
    </cacheField>
    <cacheField name="[Measures].[TotalProfit]" caption="TotalProfit" numFmtId="0" hierarchy="34" level="32767"/>
  </cacheFields>
  <cacheHierarchies count="44">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2" memberValueDatatype="20" unbalanced="0">
      <fieldsUsage count="2">
        <fieldUsage x="-1"/>
        <fieldUsage x="0"/>
      </fieldsUsage>
    </cacheHierarchy>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fieldsUsage count="2">
        <fieldUsage x="-1"/>
        <fieldUsage x="1"/>
      </fieldsUsage>
    </cacheHierarchy>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oneField="1">
      <fieldsUsage count="1">
        <fieldUsage x="2"/>
      </fieldsUsage>
    </cacheHierarchy>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y uniqueName="[Measures].[Count of PAYMENT MODE]" caption="Count of PAYMENT MODE" measure="1" displayFolder="" measureGroup="Input Data" count="0" hidden="1">
      <extLst>
        <ext xmlns:x15="http://schemas.microsoft.com/office/spreadsheetml/2010/11/main" uri="{B97F6D7D-B522-45F9-BDA1-12C45D357490}">
          <x15:cacheHierarchy aggregatedColumn="11"/>
        </ext>
      </extLst>
    </cacheHierarchy>
  </cacheHierarchies>
  <kpis count="0"/>
  <dimensions count="6">
    <dimension name="DATE TABLE" uniqueName="[DATE TABLE]" caption="DATE TABLE"/>
    <dimension name="Input Data" uniqueName="[Input Data]" caption="Input Data"/>
    <dimension name="Master Data" uniqueName="[Master Data]" caption="Master Data"/>
    <dimension measure="1" name="Measures" uniqueName="[Measures]" caption="Measures"/>
    <dimension name="Product Category" uniqueName="[Product Category]" caption="Product Category"/>
    <dimension name="Product Name" uniqueName="[Product Name]" caption="Product Name"/>
  </dimensions>
  <measureGroups count="5">
    <measureGroup name="DATE TABLE" caption="DATE TABLE"/>
    <measureGroup name="Input Data" caption="Input Data"/>
    <measureGroup name="Master Data" caption="Master Data"/>
    <measureGroup name="Product Category" caption="Product Category"/>
    <measureGroup name="Product Name" caption="Product Name"/>
  </measureGroups>
  <maps count="10">
    <map measureGroup="0" dimension="0"/>
    <map measureGroup="1" dimension="0"/>
    <map measureGroup="1" dimension="1"/>
    <map measureGroup="1" dimension="2"/>
    <map measureGroup="1" dimension="4"/>
    <map measureGroup="1" dimension="5"/>
    <map measureGroup="2" dimension="2"/>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347368402778" backgroundQuery="1" createdVersion="3" refreshedVersion="8" minRefreshableVersion="3" recordCount="0" supportSubquery="1" supportAdvancedDrill="1" xr:uid="{21C62FB3-F60F-4105-B60E-D5AE740930D2}">
  <cacheSource type="external" connectionId="6">
    <extLst>
      <ext xmlns:x14="http://schemas.microsoft.com/office/spreadsheetml/2009/9/main" uri="{F057638F-6D5F-4e77-A914-E7F072B9BCA8}">
        <x14:sourceConnection name="ThisWorkbookDataModel"/>
      </ext>
    </extLst>
  </cacheSource>
  <cacheFields count="0"/>
  <cacheHierarchies count="43">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2" memberValueDatatype="130" unbalanced="0"/>
    <cacheHierarchy uniqueName="[Input Data].[PAYMENT MODE]" caption="PAYMENT MODE" attribute="1" defaultMemberUniqueName="[Input Data].[PAYMENT MODE].[All]" allUniqueName="[Input Data].[PAYMENT MODE].[All]" dimensionUniqueName="[Input Data]" displayFolder="" count="2"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2"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42087157"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932.347369328701" backgroundQuery="1" createdVersion="3" refreshedVersion="8" minRefreshableVersion="3" recordCount="0" supportSubquery="1" supportAdvancedDrill="1" xr:uid="{33675024-69CC-4246-9A34-3AC61A02EBCF}">
  <cacheSource type="external" connectionId="6">
    <extLst>
      <ext xmlns:x14="http://schemas.microsoft.com/office/spreadsheetml/2009/9/main" uri="{F057638F-6D5F-4e77-A914-E7F072B9BCA8}">
        <x14:sourceConnection name="ThisWorkbookDataModel"/>
      </ext>
    </extLst>
  </cacheSource>
  <cacheFields count="0"/>
  <cacheHierarchies count="43">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Quarter]" caption="Quarter" attribute="1" defaultMemberUniqueName="[DATE TABLE].[Quarter].[All]" allUniqueName="[DATE TABLE].[Quarter].[All]" dimensionUniqueName="[DATE TABLE]" displayFolder="" count="0" memberValueDatatype="20" unbalanced="0"/>
    <cacheHierarchy uniqueName="[DATE TABLE].[DATE (Year)]" caption="DATE (Year)" attribute="1" defaultMemberUniqueName="[DATE TABLE].[DATE (Year)].[All]" allUniqueName="[DATE TABLE].[DATE (Year)].[All]" dimensionUniqueName="[DATE TABLE]" displayFolder="" count="0" memberValueDatatype="130" unbalanced="0"/>
    <cacheHierarchy uniqueName="[DATE TABLE].[DATE (Quarter)]" caption="DATE (Quarter)" attribute="1" defaultMemberUniqueName="[DATE TABLE].[DATE (Quarter)].[All]" allUniqueName="[DATE TABLE].[DATE (Quarter)].[All]" dimensionUniqueName="[DATE TABLE]" displayFolder="" count="0" memberValueDatatype="130" unbalanced="0"/>
    <cacheHierarchy uniqueName="[DATE TABLE].[DATE (Month)]" caption="DATE (Month)" attribute="1" defaultMemberUniqueName="[DATE TABLE].[DATE (Month)].[All]" allUniqueName="[DATE TABLE].[DATE (Month)].[All]" dimensionUniqueName="[DATE TABLE]" displayFolder="" count="0" memberValueDatatype="130" unbalanced="0"/>
    <cacheHierarchy uniqueName="[Input Data].[DATE]" caption="DATE" attribute="1" time="1" defaultMemberUniqueName="[Input Data].[DATE].[All]" allUniqueName="[Input Data].[DATE].[All]" dimensionUniqueName="[Input Data]" displayFolder="" count="0" memberValueDatatype="7" unbalanced="0"/>
    <cacheHierarchy uniqueName="[Input Data].[PRODUCT ID]" caption="PRODUCT ID" attribute="1" defaultMemberUniqueName="[Input Data].[PRODUCT ID].[All]" allUniqueName="[Input Data].[PRODUCT ID].[All]" dimensionUniqueName="[Input Data]" displayFolder="" count="0" memberValueDatatype="130" unbalanced="0"/>
    <cacheHierarchy uniqueName="[Input Data].[QUANTITY]" caption="QUANTITY" attribute="1" defaultMemberUniqueName="[Input Data].[QUANTITY].[All]" allUniqueName="[Input Data].[QUANTITY].[All]" dimensionUniqueName="[Input Data]" displayFolder="" count="0" memberValueDatatype="20" unbalanced="0"/>
    <cacheHierarchy uniqueName="[Input Data].[SALE TYPE]" caption="SALE TYPE" attribute="1" defaultMemberUniqueName="[Input Data].[SALE TYPE].[All]" allUniqueName="[Input Data].[SALE TYPE].[All]" dimensionUniqueName="[Input Data]" displayFolder="" count="0" memberValueDatatype="130" unbalanced="0"/>
    <cacheHierarchy uniqueName="[Input Data].[PAYMENT MODE]" caption="PAYMENT MODE" attribute="1" defaultMemberUniqueName="[Input Data].[PAYMENT MODE].[All]" allUniqueName="[Input Data].[PAYMENT MODE].[All]" dimensionUniqueName="[Input Data]" displayFolder="" count="0" memberValueDatatype="130" unbalanced="0"/>
    <cacheHierarchy uniqueName="[Input Data].[DISCOUNT %]" caption="DISCOUNT %" attribute="1" defaultMemberUniqueName="[Input Data].[DISCOUNT %].[All]" allUniqueName="[Input Data].[DISCOUNT %].[All]" dimensionUniqueName="[Input Data]" displayFolder="" count="0" memberValueDatatype="20" unbalanced="0"/>
    <cacheHierarchy uniqueName="[Input Data].[DATE (Year)]" caption="DATE (Year)" attribute="1" defaultMemberUniqueName="[Input Data].[DATE (Year)].[All]" allUniqueName="[Input Data].[DATE (Year)].[All]" dimensionUniqueName="[Input Data]" displayFolder="" count="0" memberValueDatatype="130" unbalanced="0"/>
    <cacheHierarchy uniqueName="[Input Data].[DATE (Quarter)]" caption="DATE (Quarter)" attribute="1" defaultMemberUniqueName="[Input Data].[DATE (Quarter)].[All]" allUniqueName="[Input Data].[DATE (Quarter)].[All]" dimensionUniqueName="[Input Data]" displayFolder="" count="0" memberValueDatatype="130" unbalanced="0"/>
    <cacheHierarchy uniqueName="[Input Data].[DATE (Month)]" caption="DATE (Month)" attribute="1" defaultMemberUniqueName="[Input Data].[DATE (Month)].[All]" allUniqueName="[Input Data].[DATE (Month)].[All]" dimensionUniqueName="[Input Data]" displayFolder="" count="0" memberValueDatatype="130" unbalanced="0"/>
    <cacheHierarchy uniqueName="[Master Data].[PRODUCT ID]" caption="PRODUCT ID" attribute="1" defaultMemberUniqueName="[Master Data].[PRODUCT ID].[All]" allUniqueName="[Master Data].[PRODUCT ID].[All]" dimensionUniqueName="[Master Data]" displayFolder="" count="0" memberValueDatatype="130" unbalanced="0"/>
    <cacheHierarchy uniqueName="[Master Data].[PRODUCT]" caption="PRODUCT" attribute="1" defaultMemberUniqueName="[Master Data].[PRODUCT].[All]" allUniqueName="[Master Data].[PRODUCT].[All]" dimensionUniqueName="[Master Data]" displayFolder="" count="0" memberValueDatatype="130" unbalanced="0"/>
    <cacheHierarchy uniqueName="[Master Data].[CATEGORY]" caption="CATEGORY" attribute="1" defaultMemberUniqueName="[Master Data].[CATEGORY].[All]" allUniqueName="[Master Data].[CATEGORY].[All]" dimensionUniqueName="[Master Data]" displayFolder="" count="0" memberValueDatatype="130" unbalanced="0"/>
    <cacheHierarchy uniqueName="[Master Data].[UOM]" caption="UOM" attribute="1" defaultMemberUniqueName="[Master Data].[UOM].[All]" allUniqueName="[Master Data].[UOM].[All]" dimensionUniqueName="[Master Data]" displayFolder="" count="0" memberValueDatatype="130" unbalanced="0"/>
    <cacheHierarchy uniqueName="[Master Data].[BUYING PRIZE]" caption="BUYING PRIZE" attribute="1" defaultMemberUniqueName="[Master Data].[BUYING PRIZE].[All]" allUniqueName="[Master Data].[BUYING PRIZE].[All]" dimensionUniqueName="[Master Data]" displayFolder="" count="0" memberValueDatatype="20" unbalanced="0"/>
    <cacheHierarchy uniqueName="[Master Data].[SELLING PRICE]" caption="SELLING PRICE" attribute="1" defaultMemberUniqueName="[Master Data].[SELLING PRICE].[All]" allUniqueName="[Master Data].[SELLING PRICE].[All]" dimensionUniqueName="[Master Data]" displayFolder="" count="0" memberValueDatatype="5" unbalanced="0"/>
    <cacheHierarchy uniqueName="[Master Data].[PRICE CATEGORY]" caption="PRICE CATEGORY" attribute="1" defaultMemberUniqueName="[Master Data].[PRICE CATEGORY].[All]" allUniqueName="[Master Data].[PRICE CATEGORY].[All]" dimensionUniqueName="[Master Data]"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CATEGORY NAME]" caption="CATEGORY NAME" attribute="1" defaultMemberUniqueName="[Product Category].[CATEGORY NAME].[All]" allUniqueName="[Product Category].[CATEGORY NAME].[All]" dimensionUniqueName="[Product Category]" displayFolder="" count="0" memberValueDatatype="130" unbalanced="0"/>
    <cacheHierarchy uniqueName="[Product Name].[PRODUCT ID]" caption="PRODUCT ID" attribute="1" defaultMemberUniqueName="[Product Name].[PRODUCT ID].[All]" allUniqueName="[Product Name].[PRODUCT ID].[All]" dimensionUniqueName="[Product Name]" displayFolder="" count="0" memberValueDatatype="130" unbalanced="0"/>
    <cacheHierarchy uniqueName="[Product Name].[Product Name]" caption="Product Name" attribute="1" defaultMemberUniqueName="[Product Name].[Product Name].[All]" allUniqueName="[Product Name].[Product Name].[All]" dimensionUniqueName="[Product Name]" displayFolder="" count="0" memberValueDatatype="130" unbalanced="0"/>
    <cacheHierarchy uniqueName="[DATE TABLE].[DATE (Month Index)]" caption="DATE (Month Index)" attribute="1" defaultMemberUniqueName="[DATE TABLE].[DATE (Month Index)].[All]" allUniqueName="[DATE TABLE].[DATE (Month Index)].[All]" dimensionUniqueName="[DATE TABLE]" displayFolder="" count="0" memberValueDatatype="20" unbalanced="0" hidden="1"/>
    <cacheHierarchy uniqueName="[Input Data].[DATE (Month Index)]" caption="DATE (Month Index)" attribute="1" defaultMemberUniqueName="[Input Data].[DATE (Month Index)].[All]" allUniqueName="[Input Data].[DATE (Month Index)].[All]" dimensionUniqueName="[Input Data]" displayFolder="" count="0" memberValueDatatype="20" unbalanced="0" hidden="1"/>
    <cacheHierarchy uniqueName="[Measures].[TotalSales]" caption="TotalSales" measure="1" displayFolder="" measureGroup="Input Data" count="0"/>
    <cacheHierarchy uniqueName="[Measures].[TotalSalesLY]" caption="TotalSalesLY" measure="1" displayFolder="" measureGroup="Input Data" count="0"/>
    <cacheHierarchy uniqueName="[Measures].[TotalQuantitySold]" caption="TotalQuantitySold" measure="1" displayFolder="" measureGroup="Input Data" count="0"/>
    <cacheHierarchy uniqueName="[Measures].[Total_COGS]" caption="Total_COGS" measure="1" displayFolder="" measureGroup="Input Data" count="0"/>
    <cacheHierarchy uniqueName="[Measures].[Total_COGS_LY]" caption="Total_COGS_LY" measure="1" displayFolder="" measureGroup="Input Data" count="0"/>
    <cacheHierarchy uniqueName="[Measures].[TotalProfit]" caption="TotalProfit" measure="1" displayFolder="" measureGroup="Input Data" count="0"/>
    <cacheHierarchy uniqueName="[Measures].[TotalProfit_LY]" caption="TotalProfit_LY" measure="1" displayFolder="" measureGroup="Input Data" count="0"/>
    <cacheHierarchy uniqueName="[Measures].[ProfitMargin]" caption="ProfitMargin" measure="1" displayFolder="" measureGroup="Input Data" count="0"/>
    <cacheHierarchy uniqueName="[Measures].[__XL_Count Input Data]" caption="__XL_Count Input Data" measure="1" displayFolder="" measureGroup="Input Data" count="0" hidden="1"/>
    <cacheHierarchy uniqueName="[Measures].[__XL_Count Master Data]" caption="__XL_Count Master Data" measure="1" displayFolder="" measureGroup="Master Data" count="0" hidden="1"/>
    <cacheHierarchy uniqueName="[Measures].[__XL_Count Product Category]" caption="__XL_Count Product Category" measure="1" displayFolder="" measureGroup="Product Category" count="0" hidden="1"/>
    <cacheHierarchy uniqueName="[Measures].[__XL_Count Product Name]" caption="__XL_Count Product Name" measure="1" displayFolder="" measureGroup="Product Name"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0450521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C4E44D-3D2A-4D9E-A355-87AF2D645C1D}" name="PivotTable12" cacheId="1133" applyNumberFormats="0" applyBorderFormats="0" applyFontFormats="0" applyPatternFormats="0" applyAlignmentFormats="0" applyWidthHeightFormats="1" dataCaption="Values" tag="9fb19574-8021-444b-b10e-24f57f22207a" updatedVersion="8" minRefreshableVersion="5"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put Data]"/>
        <x15:activeTabTopLevelEntity name="[Product Category]"/>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98EB4E-2869-4275-BAF3-2A40EB11B2B6}" name="PivotTable15" cacheId="1142" applyNumberFormats="0" applyBorderFormats="0" applyFontFormats="0" applyPatternFormats="0" applyAlignmentFormats="0" applyWidthHeightFormats="1" dataCaption="Values" tag="bdcf63ab-99e0-4a0b-941d-c569d910e3f5" updatedVersion="8" minRefreshableVersion="5" useAutoFormatting="1" itemPrintTitles="1" createdVersion="8" indent="0" outline="1" outlineData="1" multipleFieldFilters="0">
  <location ref="A13:A14" firstHeaderRow="1" firstDataRow="1" firstDataCol="0"/>
  <pivotFields count="1">
    <pivotField dataField="1" subtotalTop="0" showAll="0" defaultSubtotal="0"/>
  </pivotFields>
  <rowItems count="1">
    <i/>
  </rowItems>
  <colItems count="1">
    <i/>
  </colItems>
  <dataFields count="1">
    <dataField fld="0" subtotal="count" baseField="0" baseItem="0" numFmtId="9"/>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put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32043C-2C14-4E71-9BF5-B8AA719306E2}" name="PivotTable14" cacheId="1139" applyNumberFormats="0" applyBorderFormats="0" applyFontFormats="0" applyPatternFormats="0" applyAlignmentFormats="0" applyWidthHeightFormats="1" dataCaption="Values" tag="2717a81a-454f-4890-a05c-bfd8ddc7f645" updatedVersion="8" minRefreshableVersion="5" useAutoFormatting="1" itemPrintTitles="1" createdVersion="8" indent="0" outline="1" outlineData="1" multipleFieldFilters="0">
  <location ref="A9:A10"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put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D4E2AD-DC6D-4741-A288-CC3810DC6E88}" name="PivotTable13" cacheId="1136" applyNumberFormats="0" applyBorderFormats="0" applyFontFormats="0" applyPatternFormats="0" applyAlignmentFormats="0" applyWidthHeightFormats="1" dataCaption="Values" tag="2e401fd8-9627-4e4c-b4db-c2221e321da9" updatedVersion="8" minRefreshableVersion="5" useAutoFormatting="1" itemPrintTitles="1" createdVersion="8" indent="0" outline="1" outlineData="1" multipleFieldFilters="0">
  <location ref="A5:A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put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CE969A-949F-411D-9F7C-381F93B53099}" name="PivotTable1" cacheId="1103" applyNumberFormats="0" applyBorderFormats="0" applyFontFormats="0" applyPatternFormats="0" applyAlignmentFormats="0" applyWidthHeightFormats="1" dataCaption="Values" tag="f6cab98b-093b-4e7a-991e-c439c73f85f3" updatedVersion="8" minRefreshableVersion="5" useAutoFormatting="1" itemPrintTitles="1" createdVersion="8" indent="0" outline="1" outlineData="1" multipleFieldFilters="0" chartFormat="15">
  <location ref="A1:D28"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3"/>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3">
    <i>
      <x/>
    </i>
    <i i="1">
      <x v="1"/>
    </i>
    <i i="2">
      <x v="2"/>
    </i>
  </colItems>
  <dataFields count="3">
    <dataField fld="1" subtotal="count" baseField="0" baseItem="0"/>
    <dataField fld="0" subtotal="count" baseField="0" baseItem="0"/>
    <dataField name="RunningTotalSales" fld="4" subtotal="count" showDataAs="runTotal" baseField="3" baseItem="0">
      <extLst>
        <ext xmlns:x14="http://schemas.microsoft.com/office/spreadsheetml/2009/9/main" uri="{E15A36E0-9728-4e99-A89B-3F7291B0FE68}">
          <x14:dataField sourceField="0" uniqueName="[__Xl2].[Measures].[TotalSales]"/>
        </ext>
      </extLst>
    </dataField>
  </dataFields>
  <chartFormats count="8">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3">
          <reference field="4294967294" count="1" selected="0">
            <x v="1"/>
          </reference>
          <reference field="2" count="1" selected="0">
            <x v="1"/>
          </reference>
          <reference field="3" count="1" selected="0">
            <x v="3"/>
          </reference>
        </references>
      </pivotArea>
    </chartFormat>
    <chartFormat chart="0" format="3" series="1">
      <pivotArea type="data" outline="0" fieldPosition="0">
        <references count="1">
          <reference field="4294967294"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 chart="14" format="10">
      <pivotArea type="data" outline="0" fieldPosition="0">
        <references count="3">
          <reference field="4294967294" count="1" selected="0">
            <x v="1"/>
          </reference>
          <reference field="2" count="1" selected="0">
            <x v="1"/>
          </reference>
          <reference field="3" count="1" selected="0">
            <x v="3"/>
          </reference>
        </references>
      </pivotArea>
    </chartFormat>
    <chartFormat chart="14" format="11" series="1">
      <pivotArea type="data" outline="0" fieldPosition="0">
        <references count="1">
          <reference field="4294967294" count="1" selected="0">
            <x v="2"/>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RunningTotal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put Data]"/>
        <x15:activeTabTopLevelEntity name="[DATE TABLE]"/>
        <x15:activeTabTopLevelEntity name="[Product 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0634A5-8CF8-46CA-8193-610E83C4FB5D}" name="PivotTable2" cacheId="1127" applyNumberFormats="0" applyBorderFormats="0" applyFontFormats="0" applyPatternFormats="0" applyAlignmentFormats="0" applyWidthHeightFormats="1" dataCaption="Values" tag="542bed78-f28d-4565-a5c3-c96fa60be09c" updatedVersion="8" minRefreshableVersion="5" useAutoFormatting="1" itemPrintTitles="1" createdVersion="8" indent="0" outline="1" outlineData="1" multipleFieldFilters="0" chartFormat="6">
  <location ref="A1:F29" firstHeaderRow="1" firstDataRow="2" firstDataCol="1"/>
  <pivotFields count="4">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s>
  <rowFields count="2">
    <field x="3"/>
    <field x="2"/>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0"/>
  </colFields>
  <colItems count="5">
    <i>
      <x/>
    </i>
    <i>
      <x v="1"/>
    </i>
    <i>
      <x v="2"/>
    </i>
    <i>
      <x v="3"/>
    </i>
    <i t="grand">
      <x/>
    </i>
  </colItems>
  <dataFields count="1">
    <dataField fld="1"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5" format="9" series="1">
      <pivotArea type="data" outline="0" fieldPosition="0">
        <references count="2">
          <reference field="4294967294" count="1" selected="0">
            <x v="0"/>
          </reference>
          <reference field="0" count="1" selected="0">
            <x v="0"/>
          </reference>
        </references>
      </pivotArea>
    </chartFormat>
    <chartFormat chart="5" format="10" series="1">
      <pivotArea type="data" outline="0" fieldPosition="0">
        <references count="2">
          <reference field="4294967294" count="1" selected="0">
            <x v="0"/>
          </reference>
          <reference field="0" count="1" selected="0">
            <x v="1"/>
          </reference>
        </references>
      </pivotArea>
    </chartFormat>
    <chartFormat chart="5" format="11" series="1">
      <pivotArea type="data" outline="0" fieldPosition="0">
        <references count="2">
          <reference field="4294967294" count="1" selected="0">
            <x v="0"/>
          </reference>
          <reference field="0" count="1" selected="0">
            <x v="2"/>
          </reference>
        </references>
      </pivotArea>
    </chartFormat>
    <chartFormat chart="5" format="12" series="1">
      <pivotArea type="data" outline="0" fieldPosition="0">
        <references count="2">
          <reference field="4294967294" count="1" selected="0">
            <x v="0"/>
          </reference>
          <reference field="0" count="1" selected="0">
            <x v="3"/>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 Data]"/>
        <x15:activeTabTopLevelEntity name="[Input Data]"/>
        <x15:activeTabTopLevelEntity name="[DATE TABLE]"/>
        <x15:activeTabTopLevelEntity name="[Product 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6EF3E6-6928-4FAA-A91D-DDD01844B2A1}" name="PivotTable3" cacheId="1130" applyNumberFormats="0" applyBorderFormats="0" applyFontFormats="0" applyPatternFormats="0" applyAlignmentFormats="0" applyWidthHeightFormats="1" dataCaption="Values" tag="14fc9894-efbe-4fae-9a9c-ee840051c06f" updatedVersion="8" minRefreshableVersion="5" useAutoFormatting="1" subtotalHiddenItems="1" itemPrintTitles="1" createdVersion="8" indent="0" outline="1" outlineData="1" multipleFieldFilters="0" chartFormat="5">
  <location ref="A1:B28"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2">
    <field x="0"/>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fld="2" subtotal="count" showDataAs="difference" baseField="0" baseItem="1048828"/>
  </dataFields>
  <conditionalFormats count="1">
    <conditionalFormat scope="field" priority="1">
      <pivotAreas count="1">
        <pivotArea outline="0" collapsedLevelsAreSubtotals="1" fieldPosition="0">
          <references count="2">
            <reference field="4294967294" count="1" selected="0">
              <x v="0"/>
            </reference>
            <reference field="1" count="0" selected="0"/>
          </references>
        </pivotArea>
      </pivotAreas>
    </conditionalFormat>
  </conditional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1"/>
          </reference>
          <reference field="1" count="1" selected="0">
            <x v="3"/>
          </reference>
        </references>
      </pivotArea>
    </chartFormat>
    <chartFormat chart="0" format="2">
      <pivotArea type="data" outline="0" fieldPosition="0">
        <references count="3">
          <reference field="4294967294" count="1" selected="0">
            <x v="0"/>
          </reference>
          <reference field="0" count="1" selected="0">
            <x v="1"/>
          </reference>
          <reference field="1" count="1" selected="0">
            <x v="6"/>
          </reference>
        </references>
      </pivotArea>
    </chartFormat>
    <chartFormat chart="0" format="3">
      <pivotArea type="data" outline="0" fieldPosition="0">
        <references count="3">
          <reference field="4294967294" count="1" selected="0">
            <x v="0"/>
          </reference>
          <reference field="0" count="1" selected="0">
            <x v="1"/>
          </reference>
          <reference field="1" count="1" selected="0">
            <x v="5"/>
          </reference>
        </references>
      </pivotArea>
    </chartFormat>
    <chartFormat chart="0" format="4">
      <pivotArea type="data" outline="0" fieldPosition="0">
        <references count="3">
          <reference field="4294967294" count="1" selected="0">
            <x v="0"/>
          </reference>
          <reference field="0" count="1" selected="0">
            <x v="1"/>
          </reference>
          <reference field="1" count="1" selected="0">
            <x v="11"/>
          </reference>
        </references>
      </pivotArea>
    </chartFormat>
    <chartFormat chart="0" format="5">
      <pivotArea type="data" outline="0" fieldPosition="0">
        <references count="3">
          <reference field="4294967294" count="1" selected="0">
            <x v="0"/>
          </reference>
          <reference field="0" count="1" selected="0">
            <x v="1"/>
          </reference>
          <reference field="1"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3">
          <reference field="4294967294" count="1" selected="0">
            <x v="0"/>
          </reference>
          <reference field="0" count="1" selected="0">
            <x v="1"/>
          </reference>
          <reference field="1" count="1" selected="0">
            <x v="0"/>
          </reference>
        </references>
      </pivotArea>
    </chartFormat>
    <chartFormat chart="4" format="14">
      <pivotArea type="data" outline="0" fieldPosition="0">
        <references count="3">
          <reference field="4294967294" count="1" selected="0">
            <x v="0"/>
          </reference>
          <reference field="0" count="1" selected="0">
            <x v="1"/>
          </reference>
          <reference field="1" count="1" selected="0">
            <x v="3"/>
          </reference>
        </references>
      </pivotArea>
    </chartFormat>
    <chartFormat chart="4" format="15">
      <pivotArea type="data" outline="0" fieldPosition="0">
        <references count="3">
          <reference field="4294967294" count="1" selected="0">
            <x v="0"/>
          </reference>
          <reference field="0" count="1" selected="0">
            <x v="1"/>
          </reference>
          <reference field="1" count="1" selected="0">
            <x v="5"/>
          </reference>
        </references>
      </pivotArea>
    </chartFormat>
    <chartFormat chart="4" format="16">
      <pivotArea type="data" outline="0" fieldPosition="0">
        <references count="3">
          <reference field="4294967294" count="1" selected="0">
            <x v="0"/>
          </reference>
          <reference field="0" count="1" selected="0">
            <x v="1"/>
          </reference>
          <reference field="1" count="1" selected="0">
            <x v="6"/>
          </reference>
        </references>
      </pivotArea>
    </chartFormat>
    <chartFormat chart="4" format="17">
      <pivotArea type="data" outline="0" fieldPosition="0">
        <references count="3">
          <reference field="4294967294" count="1" selected="0">
            <x v="0"/>
          </reference>
          <reference field="0" count="1" selected="0">
            <x v="1"/>
          </reference>
          <reference field="1" count="1" selected="0">
            <x v="1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Input Data]"/>
        <x15:activeTabTopLevelEntity name="[Product 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CB8305-CB9A-498D-A1DC-1DBA6D3A69E1}" name="PivotTable4" cacheId="1106" applyNumberFormats="0" applyBorderFormats="0" applyFontFormats="0" applyPatternFormats="0" applyAlignmentFormats="0" applyWidthHeightFormats="1" dataCaption="Values" tag="b6bc7e3a-623d-4946-adc2-8805333bf7d4" updatedVersion="8" minRefreshableVersion="5" useAutoFormatting="1" itemPrintTitles="1" createdVersion="8" indent="0" outline="1" outlineData="1" multipleFieldFilters="0" chartFormat="5">
  <location ref="A1:C28"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2">
    <field x="1"/>
    <field x="2"/>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dataFields count="2">
    <dataField fld="3" subtotal="count" baseField="0" baseItem="0"/>
    <dataField fld="0" subtotal="count" baseField="0" baseItem="0"/>
  </dataField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put Data]"/>
        <x15:activeTabTopLevelEntity name="[DATE TABLE]"/>
        <x15:activeTabTopLevelEntity name="[Product 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AF2E1D-DBBE-4441-A9A5-90E13B3464A3}" name="PivotTable5" cacheId="1109" applyNumberFormats="0" applyBorderFormats="0" applyFontFormats="0" applyPatternFormats="0" applyAlignmentFormats="0" applyWidthHeightFormats="1" dataCaption="Values" tag="6fd49b51-f295-4414-ac35-76978ba47d87" updatedVersion="8" minRefreshableVersion="5" useAutoFormatting="1" itemPrintTitles="1" createdVersion="8" indent="0" outline="1" outlineData="1" multipleFieldFilters="0" chartFormat="3">
  <location ref="A1:D28"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2"/>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3">
    <i>
      <x/>
    </i>
    <i i="1">
      <x v="1"/>
    </i>
    <i i="2">
      <x v="2"/>
    </i>
  </colItems>
  <dataFields count="3">
    <dataField fld="3" subtotal="count" baseField="0" baseItem="0"/>
    <dataField name="TotalProfit" fld="0" subtotal="count" baseField="2" baseItem="4"/>
    <dataField name="RunningProfit" fld="4" subtotal="count" showDataAs="runTotal" baseField="2" baseItem="0">
      <extLst>
        <ext xmlns:x14="http://schemas.microsoft.com/office/spreadsheetml/2009/9/main" uri="{E15A36E0-9728-4e99-A89B-3F7291B0FE68}">
          <x14:dataField sourceField="0" uniqueName="[__Xl2].[Measures].[TotalProfit]"/>
        </ext>
      </extLst>
    </dataField>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3">
          <reference field="4294967294" count="1" selected="0">
            <x v="0"/>
          </reference>
          <reference field="1" count="1" selected="0">
            <x v="1"/>
          </reference>
          <reference field="2" count="1" selected="0">
            <x v="9"/>
          </reference>
        </references>
      </pivotArea>
    </chartFormat>
    <chartFormat chart="0" format="4">
      <pivotArea type="data" outline="0" fieldPosition="0">
        <references count="3">
          <reference field="4294967294" count="1" selected="0">
            <x v="0"/>
          </reference>
          <reference field="1" count="1" selected="0">
            <x v="1"/>
          </reference>
          <reference field="2"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3">
          <reference field="4294967294" count="1" selected="0">
            <x v="0"/>
          </reference>
          <reference field="1" count="1" selected="0">
            <x v="1"/>
          </reference>
          <reference field="2" count="1" selected="0">
            <x v="0"/>
          </reference>
        </references>
      </pivotArea>
    </chartFormat>
    <chartFormat chart="2" format="12">
      <pivotArea type="data" outline="0" fieldPosition="0">
        <references count="3">
          <reference field="4294967294" count="1" selected="0">
            <x v="0"/>
          </reference>
          <reference field="1" count="1" selected="0">
            <x v="1"/>
          </reference>
          <reference field="2" count="1" selected="0">
            <x v="9"/>
          </reference>
        </references>
      </pivotArea>
    </chartFormat>
    <chartFormat chart="2" format="13"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2"/>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put Data]"/>
        <x15:activeTabTopLevelEntity name="[DATE TABLE]"/>
        <x15:activeTabTopLevelEntity name="[Product 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E5F409-FDEA-483A-B44D-5A39703FD6D7}" name="PivotTable6" cacheId="1121" applyNumberFormats="0" applyBorderFormats="0" applyFontFormats="0" applyPatternFormats="0" applyAlignmentFormats="0" applyWidthHeightFormats="1" dataCaption="Values" tag="8f073c1d-1109-4350-9136-4bd76eeb41eb" updatedVersion="8" minRefreshableVersion="5" useAutoFormatting="1" itemPrintTitles="1" createdVersion="8" indent="0" outline="1" outlineData="1" multipleFieldFilters="0" chartFormat="5">
  <location ref="A1:B28"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2">
    <field x="0"/>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fld="2" subtotal="count" showDataAs="difference" baseField="0" baseItem="1048828"/>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Input Data]"/>
        <x15:activeTabTopLevelEntity name="[Product 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9DD8CE-226E-49CA-AA68-679CA35E73EB}" name="PivotTable7" cacheId="1112" applyNumberFormats="0" applyBorderFormats="0" applyFontFormats="0" applyPatternFormats="0" applyAlignmentFormats="0" applyWidthHeightFormats="1" dataCaption="Values" tag="7330295e-c230-4327-9a59-8d65d6eaa89d" updatedVersion="8" minRefreshableVersion="5" useAutoFormatting="1" itemPrintTitles="1" createdVersion="8" indent="0" outline="1" outlineData="1" multipleFieldFilters="0" chartFormat="5">
  <location ref="A1:B7"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1"/>
    </i>
    <i>
      <x/>
    </i>
    <i>
      <x v="3"/>
    </i>
    <i>
      <x v="4"/>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Category]"/>
        <x15:activeTabTopLevelEntity name="[Input Data]"/>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ACBC21-E84E-41BC-AD09-2EB7198B1B39}" name="PivotTable8" cacheId="1124" applyNumberFormats="0" applyBorderFormats="0" applyFontFormats="0" applyPatternFormats="0" applyAlignmentFormats="0" applyWidthHeightFormats="1" dataCaption="Values" tag="a9cd9128-5fef-4dfa-846d-efc7a5ce9757" updatedVersion="8" minRefreshableVersion="5" useAutoFormatting="1" itemPrintTitles="1" createdVersion="8" indent="0" outline="1" outlineData="1" multipleFieldFilters="0" chartFormat="5">
  <location ref="A1:B17" firstHeaderRow="1" firstDataRow="1" firstDataCol="1"/>
  <pivotFields count="2">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6">
    <i>
      <x v="10"/>
    </i>
    <i>
      <x v="8"/>
    </i>
    <i>
      <x v="7"/>
    </i>
    <i>
      <x v="2"/>
    </i>
    <i>
      <x v="13"/>
    </i>
    <i>
      <x v="1"/>
    </i>
    <i>
      <x v="5"/>
    </i>
    <i>
      <x v="9"/>
    </i>
    <i>
      <x/>
    </i>
    <i>
      <x v="4"/>
    </i>
    <i>
      <x v="12"/>
    </i>
    <i>
      <x v="3"/>
    </i>
    <i>
      <x v="11"/>
    </i>
    <i>
      <x v="14"/>
    </i>
    <i>
      <x v="6"/>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5" filterVal="1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Name]"/>
        <x15:activeTabTopLevelEntity name="[Input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653EAF-4D1C-4B80-BBDD-A242D0F435C0}" name="PivotTable9" cacheId="1118" applyNumberFormats="0" applyBorderFormats="0" applyFontFormats="0" applyPatternFormats="0" applyAlignmentFormats="0" applyWidthHeightFormats="1" dataCaption="Values" tag="b8e9a071-21dd-45b3-a547-db5b54ef40ab" updatedVersion="8" minRefreshableVersion="5" useAutoFormatting="1" itemPrintTitles="1" createdVersion="8" indent="0" outline="1" outlineData="1" multipleFieldFilters="0" chartFormat="5">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put Data]"/>
        <x15:activeTabTopLevelEntity name="[DATE TABLE]"/>
        <x15:activeTabTopLevelEntity name="[Product 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D68CD59-A22B-4E43-B95D-E59460D8BE13}" name="PivotTable10" cacheId="1115" applyNumberFormats="0" applyBorderFormats="0" applyFontFormats="0" applyPatternFormats="0" applyAlignmentFormats="0" applyWidthHeightFormats="1" dataCaption="Values" tag="d5bd3ee9-70ba-468a-8991-9b224f625e7f" updatedVersion="8" minRefreshableVersion="5" useAutoFormatting="1" itemPrintTitles="1" createdVersion="8" indent="0" outline="1" outlineData="1" multipleFieldFilters="0" chartFormat="5">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put Data]"/>
        <x15:activeTabTopLevelEntity name="[Product Category]"/>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6CF8CE9-8BD2-416A-A7C9-6D8A052B4ABB}" name="PivotTable11" cacheId="1154" applyNumberFormats="0" applyBorderFormats="0" applyFontFormats="0" applyPatternFormats="0" applyAlignmentFormats="0" applyWidthHeightFormats="1" dataCaption="Values" tag="fd32609d-1549-4978-b61d-762e25011966" updatedVersion="8" minRefreshableVersion="5" useAutoFormatting="1" itemPrintTitles="1" createdVersion="8" indent="0" outline="1" outlineData="1" multipleFieldFilters="0" chartFormat="5">
  <location ref="A1:B2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1"/>
    <field x="2"/>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fld="0" subtotal="count" baseField="0" baseItem="0" numFmtId="9"/>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put Data]"/>
        <x15:activeTabTopLevelEntity name="[DATE TABLE]"/>
        <x15:activeTabTopLevelEntity name="[Product 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30E186D-421B-4680-BA48-6F23186DFAD8}" name="PivotTable1" cacheId="1151" applyNumberFormats="0" applyBorderFormats="0" applyFontFormats="0" applyPatternFormats="0" applyAlignmentFormats="0" applyWidthHeightFormats="1" dataCaption="Values" tag="14fccf0d-414c-4d45-8f91-ff5cb85001de" updatedVersion="8" minRefreshableVersion="5" useAutoFormatting="1" itemPrintTitles="1" createdVersion="8" indent="0" outline="1" outlineData="1" multipleFieldFilters="0">
  <location ref="A1:N8" firstHeaderRow="1" firstDataRow="2" firstDataCol="1"/>
  <pivotFields count="3">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13">
    <i>
      <x/>
    </i>
    <i>
      <x v="1"/>
    </i>
    <i>
      <x v="2"/>
    </i>
    <i>
      <x v="3"/>
    </i>
    <i>
      <x v="4"/>
    </i>
    <i>
      <x v="5"/>
    </i>
    <i>
      <x v="6"/>
    </i>
    <i>
      <x v="7"/>
    </i>
    <i>
      <x v="8"/>
    </i>
    <i>
      <x v="9"/>
    </i>
    <i>
      <x v="10"/>
    </i>
    <i>
      <x v="11"/>
    </i>
    <i t="grand">
      <x/>
    </i>
  </colItems>
  <dataFields count="1">
    <dataField fld="2"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Master Data]"/>
        <x15:activeTabTopLevelEntity name="[Input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AD521CE-4E41-4786-BDAC-52A4A3052A1C}" name="PivotTable1" cacheId="1145" applyNumberFormats="0" applyBorderFormats="0" applyFontFormats="0" applyPatternFormats="0" applyAlignmentFormats="0" applyWidthHeightFormats="1" dataCaption="Values" tag="f04f0e42-9eae-4e54-a937-642e5417d1d4" updatedVersion="8" minRefreshableVersion="5" useAutoFormatting="1" itemPrintTitles="1" createdVersion="8" indent="0" outline="1" outlineData="1" multipleFieldFilters="0">
  <location ref="A1:N8" firstHeaderRow="1" firstDataRow="2" firstDataCol="1"/>
  <pivotFields count="3">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0"/>
  </colFields>
  <colItems count="13">
    <i>
      <x/>
    </i>
    <i>
      <x v="1"/>
    </i>
    <i>
      <x v="2"/>
    </i>
    <i>
      <x v="3"/>
    </i>
    <i>
      <x v="4"/>
    </i>
    <i>
      <x v="5"/>
    </i>
    <i>
      <x v="6"/>
    </i>
    <i>
      <x v="7"/>
    </i>
    <i>
      <x v="8"/>
    </i>
    <i>
      <x v="9"/>
    </i>
    <i>
      <x v="10"/>
    </i>
    <i>
      <x v="11"/>
    </i>
    <i t="grand">
      <x/>
    </i>
  </colItems>
  <dataFields count="1">
    <dataField fld="1"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Input Data]"/>
        <x15:activeTabTopLevelEntity name="[Master Data]"/>
        <x15:activeTabTopLevelEntity name="[Product 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23A0BED-B274-45F8-A9A4-3ECBFA2A5B55}" name="PivotTable2" cacheId="1148" applyNumberFormats="0" applyBorderFormats="0" applyFontFormats="0" applyPatternFormats="0" applyAlignmentFormats="0" applyWidthHeightFormats="1" dataCaption="Values" tag="907046af-988d-4ac9-a03f-6078121c0b51" updatedVersion="8" minRefreshableVersion="5" useAutoFormatting="1" itemPrintTitles="1" createdVersion="8" indent="0" outline="1" outlineData="1" multipleFieldFilters="0" chartFormat="5">
  <location ref="A1:E15" firstHeaderRow="1" firstDataRow="2"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4">
    <i>
      <x/>
    </i>
    <i>
      <x v="1"/>
    </i>
    <i>
      <x v="2"/>
    </i>
    <i t="grand">
      <x/>
    </i>
  </colItems>
  <dataFields count="1">
    <dataField fld="2" subtotal="count" baseField="0" baseItem="0"/>
  </dataFields>
  <chartFormats count="1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3">
          <reference field="4294967294" count="1" selected="0">
            <x v="0"/>
          </reference>
          <reference field="0" count="1" selected="0">
            <x v="2"/>
          </reference>
          <reference field="1" count="1" selected="0">
            <x v="0"/>
          </reference>
        </references>
      </pivotArea>
    </chartFormat>
    <chartFormat chart="0" format="5">
      <pivotArea type="data" outline="0" fieldPosition="0">
        <references count="3">
          <reference field="4294967294" count="1" selected="0">
            <x v="0"/>
          </reference>
          <reference field="0" count="1" selected="0">
            <x v="0"/>
          </reference>
          <reference field="1" count="1" selected="0">
            <x v="0"/>
          </reference>
        </references>
      </pivotArea>
    </chartFormat>
    <chartFormat chart="0" format="6">
      <pivotArea type="data" outline="0" fieldPosition="0">
        <references count="3">
          <reference field="4294967294" count="1" selected="0">
            <x v="0"/>
          </reference>
          <reference field="0" count="1" selected="0">
            <x v="4"/>
          </reference>
          <reference field="1" count="1" selected="0">
            <x v="0"/>
          </reference>
        </references>
      </pivotArea>
    </chartFormat>
    <chartFormat chart="0" format="7">
      <pivotArea type="data" outline="0" fieldPosition="0">
        <references count="3">
          <reference field="4294967294" count="1" selected="0">
            <x v="0"/>
          </reference>
          <reference field="0" count="1" selected="0">
            <x v="5"/>
          </reference>
          <reference field="1" count="1" selected="0">
            <x v="0"/>
          </reference>
        </references>
      </pivotArea>
    </chartFormat>
    <chartFormat chart="0" format="8">
      <pivotArea type="data" outline="0" fieldPosition="0">
        <references count="3">
          <reference field="4294967294" count="1" selected="0">
            <x v="0"/>
          </reference>
          <reference field="0" count="1" selected="0">
            <x v="6"/>
          </reference>
          <reference field="1" count="1" selected="0">
            <x v="0"/>
          </reference>
        </references>
      </pivotArea>
    </chartFormat>
    <chartFormat chart="0" format="9">
      <pivotArea type="data" outline="0" fieldPosition="0">
        <references count="3">
          <reference field="4294967294" count="1" selected="0">
            <x v="0"/>
          </reference>
          <reference field="0" count="1" selected="0">
            <x v="7"/>
          </reference>
          <reference field="1" count="1" selected="0">
            <x v="0"/>
          </reference>
        </references>
      </pivotArea>
    </chartFormat>
    <chartFormat chart="4" format="19" series="1">
      <pivotArea type="data" outline="0" fieldPosition="0">
        <references count="2">
          <reference field="4294967294" count="1" selected="0">
            <x v="0"/>
          </reference>
          <reference field="1" count="1" selected="0">
            <x v="0"/>
          </reference>
        </references>
      </pivotArea>
    </chartFormat>
    <chartFormat chart="4" format="20">
      <pivotArea type="data" outline="0" fieldPosition="0">
        <references count="3">
          <reference field="4294967294" count="1" selected="0">
            <x v="0"/>
          </reference>
          <reference field="0" count="1" selected="0">
            <x v="0"/>
          </reference>
          <reference field="1" count="1" selected="0">
            <x v="0"/>
          </reference>
        </references>
      </pivotArea>
    </chartFormat>
    <chartFormat chart="4" format="21">
      <pivotArea type="data" outline="0" fieldPosition="0">
        <references count="3">
          <reference field="4294967294" count="1" selected="0">
            <x v="0"/>
          </reference>
          <reference field="0" count="1" selected="0">
            <x v="2"/>
          </reference>
          <reference field="1" count="1" selected="0">
            <x v="0"/>
          </reference>
        </references>
      </pivotArea>
    </chartFormat>
    <chartFormat chart="4" format="22">
      <pivotArea type="data" outline="0" fieldPosition="0">
        <references count="3">
          <reference field="4294967294" count="1" selected="0">
            <x v="0"/>
          </reference>
          <reference field="0" count="1" selected="0">
            <x v="4"/>
          </reference>
          <reference field="1" count="1" selected="0">
            <x v="0"/>
          </reference>
        </references>
      </pivotArea>
    </chartFormat>
    <chartFormat chart="4" format="23">
      <pivotArea type="data" outline="0" fieldPosition="0">
        <references count="3">
          <reference field="4294967294" count="1" selected="0">
            <x v="0"/>
          </reference>
          <reference field="0" count="1" selected="0">
            <x v="5"/>
          </reference>
          <reference field="1" count="1" selected="0">
            <x v="0"/>
          </reference>
        </references>
      </pivotArea>
    </chartFormat>
    <chartFormat chart="4" format="24">
      <pivotArea type="data" outline="0" fieldPosition="0">
        <references count="3">
          <reference field="4294967294" count="1" selected="0">
            <x v="0"/>
          </reference>
          <reference field="0" count="1" selected="0">
            <x v="6"/>
          </reference>
          <reference field="1" count="1" selected="0">
            <x v="0"/>
          </reference>
        </references>
      </pivotArea>
    </chartFormat>
    <chartFormat chart="4" format="25">
      <pivotArea type="data" outline="0" fieldPosition="0">
        <references count="3">
          <reference field="4294967294" count="1" selected="0">
            <x v="0"/>
          </reference>
          <reference field="0" count="1" selected="0">
            <x v="7"/>
          </reference>
          <reference field="1" count="1" selected="0">
            <x v="0"/>
          </reference>
        </references>
      </pivotArea>
    </chartFormat>
    <chartFormat chart="4" format="26" series="1">
      <pivotArea type="data" outline="0" fieldPosition="0">
        <references count="2">
          <reference field="4294967294" count="1" selected="0">
            <x v="0"/>
          </reference>
          <reference field="1" count="1" selected="0">
            <x v="1"/>
          </reference>
        </references>
      </pivotArea>
    </chartFormat>
    <chartFormat chart="4" format="27" series="1">
      <pivotArea type="data" outline="0" fieldPosition="0">
        <references count="2">
          <reference field="4294967294" count="1" selected="0">
            <x v="0"/>
          </reference>
          <reference field="1" count="1" selected="0">
            <x v="2"/>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Input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0D5237E-1273-4818-B2C2-87ABDF605F85}" name="PivotTable3" cacheId="1157" applyNumberFormats="0" applyBorderFormats="0" applyFontFormats="0" applyPatternFormats="0" applyAlignmentFormats="0" applyWidthHeightFormats="1" dataCaption="Values" tag="f69f9a63-6438-479d-b2ea-3db6e9767b09" updatedVersion="8" minRefreshableVersion="5" useAutoFormatting="1" itemPrintTitles="1" createdVersion="8" indent="0" outline="1" outlineData="1" multipleFieldFilters="0" chartFormat="5">
  <location ref="A1:D15" firstHeaderRow="1" firstDataRow="2"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fld="2" subtotal="count" baseField="0" baseItem="0"/>
  </dataFields>
  <chartFormats count="4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0" count="1" selected="0">
            <x v="0"/>
          </reference>
          <reference field="1" count="1" selected="0">
            <x v="1"/>
          </reference>
        </references>
      </pivotArea>
    </chartFormat>
    <chartFormat chart="0" format="3">
      <pivotArea type="data" outline="0" fieldPosition="0">
        <references count="3">
          <reference field="4294967294" count="1" selected="0">
            <x v="0"/>
          </reference>
          <reference field="0" count="1" selected="0">
            <x v="2"/>
          </reference>
          <reference field="1" count="1" selected="0">
            <x v="1"/>
          </reference>
        </references>
      </pivotArea>
    </chartFormat>
    <chartFormat chart="0" format="4">
      <pivotArea type="data" outline="0" fieldPosition="0">
        <references count="3">
          <reference field="4294967294" count="1" selected="0">
            <x v="0"/>
          </reference>
          <reference field="0" count="1" selected="0">
            <x v="3"/>
          </reference>
          <reference field="1" count="1" selected="0">
            <x v="1"/>
          </reference>
        </references>
      </pivotArea>
    </chartFormat>
    <chartFormat chart="0" format="5">
      <pivotArea type="data" outline="0" fieldPosition="0">
        <references count="3">
          <reference field="4294967294" count="1" selected="0">
            <x v="0"/>
          </reference>
          <reference field="0" count="1" selected="0">
            <x v="5"/>
          </reference>
          <reference field="1" count="1" selected="0">
            <x v="1"/>
          </reference>
        </references>
      </pivotArea>
    </chartFormat>
    <chartFormat chart="0" format="6">
      <pivotArea type="data" outline="0" fieldPosition="0">
        <references count="3">
          <reference field="4294967294" count="1" selected="0">
            <x v="0"/>
          </reference>
          <reference field="0" count="1" selected="0">
            <x v="6"/>
          </reference>
          <reference field="1" count="1" selected="0">
            <x v="1"/>
          </reference>
        </references>
      </pivotArea>
    </chartFormat>
    <chartFormat chart="0" format="7">
      <pivotArea type="data" outline="0" fieldPosition="0">
        <references count="3">
          <reference field="4294967294" count="1" selected="0">
            <x v="0"/>
          </reference>
          <reference field="0" count="1" selected="0">
            <x v="7"/>
          </reference>
          <reference field="1" count="1" selected="0">
            <x v="1"/>
          </reference>
        </references>
      </pivotArea>
    </chartFormat>
    <chartFormat chart="0" format="8">
      <pivotArea type="data" outline="0" fieldPosition="0">
        <references count="3">
          <reference field="4294967294" count="1" selected="0">
            <x v="0"/>
          </reference>
          <reference field="0" count="1" selected="0">
            <x v="8"/>
          </reference>
          <reference field="1" count="1" selected="0">
            <x v="1"/>
          </reference>
        </references>
      </pivotArea>
    </chartFormat>
    <chartFormat chart="0" format="9">
      <pivotArea type="data" outline="0" fieldPosition="0">
        <references count="3">
          <reference field="4294967294" count="1" selected="0">
            <x v="0"/>
          </reference>
          <reference field="0" count="1" selected="0">
            <x v="9"/>
          </reference>
          <reference field="1" count="1" selected="0">
            <x v="1"/>
          </reference>
        </references>
      </pivotArea>
    </chartFormat>
    <chartFormat chart="0" format="10">
      <pivotArea type="data" outline="0" fieldPosition="0">
        <references count="3">
          <reference field="4294967294" count="1" selected="0">
            <x v="0"/>
          </reference>
          <reference field="0" count="1" selected="0">
            <x v="0"/>
          </reference>
          <reference field="1" count="1" selected="0">
            <x v="0"/>
          </reference>
        </references>
      </pivotArea>
    </chartFormat>
    <chartFormat chart="0" format="11">
      <pivotArea type="data" outline="0" fieldPosition="0">
        <references count="3">
          <reference field="4294967294" count="1" selected="0">
            <x v="0"/>
          </reference>
          <reference field="0" count="1" selected="0">
            <x v="1"/>
          </reference>
          <reference field="1" count="1" selected="0">
            <x v="0"/>
          </reference>
        </references>
      </pivotArea>
    </chartFormat>
    <chartFormat chart="0" format="12">
      <pivotArea type="data" outline="0" fieldPosition="0">
        <references count="3">
          <reference field="4294967294" count="1" selected="0">
            <x v="0"/>
          </reference>
          <reference field="0" count="1" selected="0">
            <x v="2"/>
          </reference>
          <reference field="1" count="1" selected="0">
            <x v="0"/>
          </reference>
        </references>
      </pivotArea>
    </chartFormat>
    <chartFormat chart="0" format="13">
      <pivotArea type="data" outline="0" fieldPosition="0">
        <references count="3">
          <reference field="4294967294" count="1" selected="0">
            <x v="0"/>
          </reference>
          <reference field="0" count="1" selected="0">
            <x v="3"/>
          </reference>
          <reference field="1" count="1" selected="0">
            <x v="0"/>
          </reference>
        </references>
      </pivotArea>
    </chartFormat>
    <chartFormat chart="0" format="14">
      <pivotArea type="data" outline="0" fieldPosition="0">
        <references count="3">
          <reference field="4294967294" count="1" selected="0">
            <x v="0"/>
          </reference>
          <reference field="0" count="1" selected="0">
            <x v="4"/>
          </reference>
          <reference field="1" count="1" selected="0">
            <x v="0"/>
          </reference>
        </references>
      </pivotArea>
    </chartFormat>
    <chartFormat chart="0" format="15">
      <pivotArea type="data" outline="0" fieldPosition="0">
        <references count="3">
          <reference field="4294967294" count="1" selected="0">
            <x v="0"/>
          </reference>
          <reference field="0" count="1" selected="0">
            <x v="6"/>
          </reference>
          <reference field="1" count="1" selected="0">
            <x v="0"/>
          </reference>
        </references>
      </pivotArea>
    </chartFormat>
    <chartFormat chart="3" format="16" series="1">
      <pivotArea type="data" outline="0" fieldPosition="0">
        <references count="2">
          <reference field="4294967294" count="1" selected="0">
            <x v="0"/>
          </reference>
          <reference field="1" count="1" selected="0">
            <x v="0"/>
          </reference>
        </references>
      </pivotArea>
    </chartFormat>
    <chartFormat chart="3" format="17">
      <pivotArea type="data" outline="0" fieldPosition="0">
        <references count="3">
          <reference field="4294967294" count="1" selected="0">
            <x v="0"/>
          </reference>
          <reference field="0" count="1" selected="0">
            <x v="0"/>
          </reference>
          <reference field="1" count="1" selected="0">
            <x v="0"/>
          </reference>
        </references>
      </pivotArea>
    </chartFormat>
    <chartFormat chart="3" format="18">
      <pivotArea type="data" outline="0" fieldPosition="0">
        <references count="3">
          <reference field="4294967294" count="1" selected="0">
            <x v="0"/>
          </reference>
          <reference field="0" count="1" selected="0">
            <x v="1"/>
          </reference>
          <reference field="1" count="1" selected="0">
            <x v="0"/>
          </reference>
        </references>
      </pivotArea>
    </chartFormat>
    <chartFormat chart="3" format="19">
      <pivotArea type="data" outline="0" fieldPosition="0">
        <references count="3">
          <reference field="4294967294" count="1" selected="0">
            <x v="0"/>
          </reference>
          <reference field="0" count="1" selected="0">
            <x v="2"/>
          </reference>
          <reference field="1" count="1" selected="0">
            <x v="0"/>
          </reference>
        </references>
      </pivotArea>
    </chartFormat>
    <chartFormat chart="3" format="20">
      <pivotArea type="data" outline="0" fieldPosition="0">
        <references count="3">
          <reference field="4294967294" count="1" selected="0">
            <x v="0"/>
          </reference>
          <reference field="0" count="1" selected="0">
            <x v="3"/>
          </reference>
          <reference field="1" count="1" selected="0">
            <x v="0"/>
          </reference>
        </references>
      </pivotArea>
    </chartFormat>
    <chartFormat chart="3" format="21">
      <pivotArea type="data" outline="0" fieldPosition="0">
        <references count="3">
          <reference field="4294967294" count="1" selected="0">
            <x v="0"/>
          </reference>
          <reference field="0" count="1" selected="0">
            <x v="4"/>
          </reference>
          <reference field="1" count="1" selected="0">
            <x v="0"/>
          </reference>
        </references>
      </pivotArea>
    </chartFormat>
    <chartFormat chart="3" format="22">
      <pivotArea type="data" outline="0" fieldPosition="0">
        <references count="3">
          <reference field="4294967294" count="1" selected="0">
            <x v="0"/>
          </reference>
          <reference field="0" count="1" selected="0">
            <x v="6"/>
          </reference>
          <reference field="1" count="1" selected="0">
            <x v="0"/>
          </reference>
        </references>
      </pivotArea>
    </chartFormat>
    <chartFormat chart="3" format="23" series="1">
      <pivotArea type="data" outline="0" fieldPosition="0">
        <references count="2">
          <reference field="4294967294" count="1" selected="0">
            <x v="0"/>
          </reference>
          <reference field="1" count="1" selected="0">
            <x v="1"/>
          </reference>
        </references>
      </pivotArea>
    </chartFormat>
    <chartFormat chart="3" format="24">
      <pivotArea type="data" outline="0" fieldPosition="0">
        <references count="3">
          <reference field="4294967294" count="1" selected="0">
            <x v="0"/>
          </reference>
          <reference field="0" count="1" selected="0">
            <x v="0"/>
          </reference>
          <reference field="1" count="1" selected="0">
            <x v="1"/>
          </reference>
        </references>
      </pivotArea>
    </chartFormat>
    <chartFormat chart="3" format="25">
      <pivotArea type="data" outline="0" fieldPosition="0">
        <references count="3">
          <reference field="4294967294" count="1" selected="0">
            <x v="0"/>
          </reference>
          <reference field="0" count="1" selected="0">
            <x v="2"/>
          </reference>
          <reference field="1" count="1" selected="0">
            <x v="1"/>
          </reference>
        </references>
      </pivotArea>
    </chartFormat>
    <chartFormat chart="3" format="26">
      <pivotArea type="data" outline="0" fieldPosition="0">
        <references count="3">
          <reference field="4294967294" count="1" selected="0">
            <x v="0"/>
          </reference>
          <reference field="0" count="1" selected="0">
            <x v="3"/>
          </reference>
          <reference field="1" count="1" selected="0">
            <x v="1"/>
          </reference>
        </references>
      </pivotArea>
    </chartFormat>
    <chartFormat chart="3" format="27">
      <pivotArea type="data" outline="0" fieldPosition="0">
        <references count="3">
          <reference field="4294967294" count="1" selected="0">
            <x v="0"/>
          </reference>
          <reference field="0" count="1" selected="0">
            <x v="5"/>
          </reference>
          <reference field="1" count="1" selected="0">
            <x v="1"/>
          </reference>
        </references>
      </pivotArea>
    </chartFormat>
    <chartFormat chart="3" format="28">
      <pivotArea type="data" outline="0" fieldPosition="0">
        <references count="3">
          <reference field="4294967294" count="1" selected="0">
            <x v="0"/>
          </reference>
          <reference field="0" count="1" selected="0">
            <x v="6"/>
          </reference>
          <reference field="1" count="1" selected="0">
            <x v="1"/>
          </reference>
        </references>
      </pivotArea>
    </chartFormat>
    <chartFormat chart="3" format="29">
      <pivotArea type="data" outline="0" fieldPosition="0">
        <references count="3">
          <reference field="4294967294" count="1" selected="0">
            <x v="0"/>
          </reference>
          <reference field="0" count="1" selected="0">
            <x v="7"/>
          </reference>
          <reference field="1" count="1" selected="0">
            <x v="1"/>
          </reference>
        </references>
      </pivotArea>
    </chartFormat>
    <chartFormat chart="3" format="30">
      <pivotArea type="data" outline="0" fieldPosition="0">
        <references count="3">
          <reference field="4294967294" count="1" selected="0">
            <x v="0"/>
          </reference>
          <reference field="0" count="1" selected="0">
            <x v="8"/>
          </reference>
          <reference field="1" count="1" selected="0">
            <x v="1"/>
          </reference>
        </references>
      </pivotArea>
    </chartFormat>
    <chartFormat chart="3" format="31">
      <pivotArea type="data" outline="0" fieldPosition="0">
        <references count="3">
          <reference field="4294967294" count="1" selected="0">
            <x v="0"/>
          </reference>
          <reference field="0" count="1" selected="0">
            <x v="9"/>
          </reference>
          <reference field="1" count="1" selected="0">
            <x v="1"/>
          </reference>
        </references>
      </pivotArea>
    </chartFormat>
    <chartFormat chart="4" format="32" series="1">
      <pivotArea type="data" outline="0" fieldPosition="0">
        <references count="2">
          <reference field="4294967294" count="1" selected="0">
            <x v="0"/>
          </reference>
          <reference field="1" count="1" selected="0">
            <x v="0"/>
          </reference>
        </references>
      </pivotArea>
    </chartFormat>
    <chartFormat chart="4" format="33">
      <pivotArea type="data" outline="0" fieldPosition="0">
        <references count="3">
          <reference field="4294967294" count="1" selected="0">
            <x v="0"/>
          </reference>
          <reference field="0" count="1" selected="0">
            <x v="0"/>
          </reference>
          <reference field="1" count="1" selected="0">
            <x v="0"/>
          </reference>
        </references>
      </pivotArea>
    </chartFormat>
    <chartFormat chart="4" format="34">
      <pivotArea type="data" outline="0" fieldPosition="0">
        <references count="3">
          <reference field="4294967294" count="1" selected="0">
            <x v="0"/>
          </reference>
          <reference field="0" count="1" selected="0">
            <x v="1"/>
          </reference>
          <reference field="1" count="1" selected="0">
            <x v="0"/>
          </reference>
        </references>
      </pivotArea>
    </chartFormat>
    <chartFormat chart="4" format="35">
      <pivotArea type="data" outline="0" fieldPosition="0">
        <references count="3">
          <reference field="4294967294" count="1" selected="0">
            <x v="0"/>
          </reference>
          <reference field="0" count="1" selected="0">
            <x v="2"/>
          </reference>
          <reference field="1" count="1" selected="0">
            <x v="0"/>
          </reference>
        </references>
      </pivotArea>
    </chartFormat>
    <chartFormat chart="4" format="36">
      <pivotArea type="data" outline="0" fieldPosition="0">
        <references count="3">
          <reference field="4294967294" count="1" selected="0">
            <x v="0"/>
          </reference>
          <reference field="0" count="1" selected="0">
            <x v="3"/>
          </reference>
          <reference field="1" count="1" selected="0">
            <x v="0"/>
          </reference>
        </references>
      </pivotArea>
    </chartFormat>
    <chartFormat chart="4" format="37">
      <pivotArea type="data" outline="0" fieldPosition="0">
        <references count="3">
          <reference field="4294967294" count="1" selected="0">
            <x v="0"/>
          </reference>
          <reference field="0" count="1" selected="0">
            <x v="4"/>
          </reference>
          <reference field="1" count="1" selected="0">
            <x v="0"/>
          </reference>
        </references>
      </pivotArea>
    </chartFormat>
    <chartFormat chart="4" format="38">
      <pivotArea type="data" outline="0" fieldPosition="0">
        <references count="3">
          <reference field="4294967294" count="1" selected="0">
            <x v="0"/>
          </reference>
          <reference field="0" count="1" selected="0">
            <x v="6"/>
          </reference>
          <reference field="1" count="1" selected="0">
            <x v="0"/>
          </reference>
        </references>
      </pivotArea>
    </chartFormat>
    <chartFormat chart="4" format="39" series="1">
      <pivotArea type="data" outline="0" fieldPosition="0">
        <references count="2">
          <reference field="4294967294" count="1" selected="0">
            <x v="0"/>
          </reference>
          <reference field="1" count="1" selected="0">
            <x v="1"/>
          </reference>
        </references>
      </pivotArea>
    </chartFormat>
    <chartFormat chart="4" format="40">
      <pivotArea type="data" outline="0" fieldPosition="0">
        <references count="3">
          <reference field="4294967294" count="1" selected="0">
            <x v="0"/>
          </reference>
          <reference field="0" count="1" selected="0">
            <x v="0"/>
          </reference>
          <reference field="1" count="1" selected="0">
            <x v="1"/>
          </reference>
        </references>
      </pivotArea>
    </chartFormat>
    <chartFormat chart="4" format="41">
      <pivotArea type="data" outline="0" fieldPosition="0">
        <references count="3">
          <reference field="4294967294" count="1" selected="0">
            <x v="0"/>
          </reference>
          <reference field="0" count="1" selected="0">
            <x v="2"/>
          </reference>
          <reference field="1" count="1" selected="0">
            <x v="1"/>
          </reference>
        </references>
      </pivotArea>
    </chartFormat>
    <chartFormat chart="4" format="42">
      <pivotArea type="data" outline="0" fieldPosition="0">
        <references count="3">
          <reference field="4294967294" count="1" selected="0">
            <x v="0"/>
          </reference>
          <reference field="0" count="1" selected="0">
            <x v="3"/>
          </reference>
          <reference field="1" count="1" selected="0">
            <x v="1"/>
          </reference>
        </references>
      </pivotArea>
    </chartFormat>
    <chartFormat chart="4" format="43">
      <pivotArea type="data" outline="0" fieldPosition="0">
        <references count="3">
          <reference field="4294967294" count="1" selected="0">
            <x v="0"/>
          </reference>
          <reference field="0" count="1" selected="0">
            <x v="5"/>
          </reference>
          <reference field="1" count="1" selected="0">
            <x v="1"/>
          </reference>
        </references>
      </pivotArea>
    </chartFormat>
    <chartFormat chart="4" format="44">
      <pivotArea type="data" outline="0" fieldPosition="0">
        <references count="3">
          <reference field="4294967294" count="1" selected="0">
            <x v="0"/>
          </reference>
          <reference field="0" count="1" selected="0">
            <x v="6"/>
          </reference>
          <reference field="1" count="1" selected="0">
            <x v="1"/>
          </reference>
        </references>
      </pivotArea>
    </chartFormat>
    <chartFormat chart="4" format="45">
      <pivotArea type="data" outline="0" fieldPosition="0">
        <references count="3">
          <reference field="4294967294" count="1" selected="0">
            <x v="0"/>
          </reference>
          <reference field="0" count="1" selected="0">
            <x v="7"/>
          </reference>
          <reference field="1" count="1" selected="0">
            <x v="1"/>
          </reference>
        </references>
      </pivotArea>
    </chartFormat>
    <chartFormat chart="4" format="46">
      <pivotArea type="data" outline="0" fieldPosition="0">
        <references count="3">
          <reference field="4294967294" count="1" selected="0">
            <x v="0"/>
          </reference>
          <reference field="0" count="1" selected="0">
            <x v="8"/>
          </reference>
          <reference field="1" count="1" selected="0">
            <x v="1"/>
          </reference>
        </references>
      </pivotArea>
    </chartFormat>
    <chartFormat chart="4" format="47">
      <pivotArea type="data" outline="0" fieldPosition="0">
        <references count="3">
          <reference field="4294967294" count="1" selected="0">
            <x v="0"/>
          </reference>
          <reference field="0" count="1" selected="0">
            <x v="9"/>
          </reference>
          <reference field="1"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Input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4899A9B4-F8A6-46E7-84CC-CD4E23045599}" sourceName="[Product Category].[CATEGORY NAME]">
  <pivotTables>
    <pivotTable tabId="4" name="PivotTable4"/>
    <pivotTable tabId="5" name="PivotTable5"/>
    <pivotTable tabId="10" name="PivotTable10"/>
    <pivotTable tabId="9" name="PivotTable9"/>
    <pivotTable tabId="6" name="PivotTable6"/>
    <pivotTable tabId="8" name="PivotTable8"/>
    <pivotTable tabId="2" name="PivotTable2"/>
    <pivotTable tabId="1" name="PivotTable1"/>
    <pivotTable tabId="3" name="PivotTable3"/>
    <pivotTable tabId="12" name="PivotTable11"/>
    <pivotTable tabId="13" name="PivotTable12"/>
    <pivotTable tabId="13" name="PivotTable13"/>
    <pivotTable tabId="13" name="PivotTable14"/>
    <pivotTable tabId="13" name="PivotTable15"/>
    <pivotTable tabId="17" name="PivotTable2"/>
    <pivotTable tabId="14" name="PivotTable1"/>
    <pivotTable tabId="18" name="PivotTable3"/>
  </pivotTables>
  <data>
    <olap pivotCacheId="1742087157">
      <levels count="2">
        <level uniqueName="[Product Category].[CATEGORY NAME].[(All)]" sourceCaption="(All)" count="0"/>
        <level uniqueName="[Product Category].[CATEGORY NAME].[CATEGORY NAME]" sourceCaption="CATEGORY NAME" count="5">
          <ranges>
            <range startItem="0">
              <i n="[Product Category].[CATEGORY NAME].&amp;[Agriculture &amp; Animal Feed]" c="Agriculture &amp; Animal Feed"/>
              <i n="[Product Category].[CATEGORY NAME].&amp;[Basic Food and Fresh Goods]" c="Basic Food and Fresh Goods"/>
              <i n="[Product Category].[CATEGORY NAME].&amp;[Beverages &amp; Packaged Goods]" c="Beverages &amp; Packaged Goods"/>
              <i n="[Product Category].[CATEGORY NAME].&amp;[Household Supplies]" c="Household Supplies"/>
              <i n="[Product Category].[CATEGORY NAME].&amp;[Tools &amp; Technical Equipment]" c="Tools &amp; Technical Equipment"/>
            </range>
          </ranges>
        </level>
      </levels>
      <selections count="1">
        <selection n="[Product Category].[CATEGOR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C889D64-33DC-4009-BD21-CC36EADE1DD5}" sourceName="[Input Data].[PAYMENT MODE]">
  <pivotTables>
    <pivotTable tabId="4" name="PivotTable4"/>
    <pivotTable tabId="5" name="PivotTable5"/>
    <pivotTable tabId="7" name="PivotTable7"/>
    <pivotTable tabId="10" name="PivotTable10"/>
    <pivotTable tabId="6" name="PivotTable6"/>
    <pivotTable tabId="8" name="PivotTable8"/>
    <pivotTable tabId="2" name="PivotTable2"/>
    <pivotTable tabId="1" name="PivotTable1"/>
    <pivotTable tabId="3" name="PivotTable3"/>
    <pivotTable tabId="13" name="PivotTable12"/>
    <pivotTable tabId="13" name="PivotTable13"/>
    <pivotTable tabId="13" name="PivotTable14"/>
    <pivotTable tabId="13" name="PivotTable15"/>
    <pivotTable tabId="12" name="PivotTable11"/>
    <pivotTable tabId="16" name="PivotTable1"/>
    <pivotTable tabId="17" name="PivotTable2"/>
    <pivotTable tabId="14" name="PivotTable1"/>
  </pivotTables>
  <data>
    <olap pivotCacheId="1742087157">
      <levels count="2">
        <level uniqueName="[Input Data].[PAYMENT MODE].[(All)]" sourceCaption="(All)" count="0"/>
        <level uniqueName="[Input Data].[PAYMENT MODE].[PAYMENT MODE]" sourceCaption="PAYMENT MODE" count="2">
          <ranges>
            <range startItem="0">
              <i n="[Input Data].[PAYMENT MODE].&amp;[Cash]" c="Cash"/>
              <i n="[Input Data].[PAYMENT MODE].&amp;[Online]" c="Online"/>
            </range>
          </ranges>
        </level>
      </levels>
      <selections count="1">
        <selection n="[Input Data].[PAYMENT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7D2AA2E5-9B19-4127-9164-745EC6501AEE}" sourceName="[Input Data].[SALE TYPE]">
  <pivotTables>
    <pivotTable tabId="4" name="PivotTable4"/>
    <pivotTable tabId="5" name="PivotTable5"/>
    <pivotTable tabId="7" name="PivotTable7"/>
    <pivotTable tabId="9" name="PivotTable9"/>
    <pivotTable tabId="6" name="PivotTable6"/>
    <pivotTable tabId="8" name="PivotTable8"/>
    <pivotTable tabId="2" name="PivotTable2"/>
    <pivotTable tabId="1" name="PivotTable1"/>
    <pivotTable tabId="3" name="PivotTable3"/>
    <pivotTable tabId="13" name="PivotTable12"/>
    <pivotTable tabId="13" name="PivotTable13"/>
    <pivotTable tabId="13" name="PivotTable14"/>
    <pivotTable tabId="13" name="PivotTable15"/>
    <pivotTable tabId="12" name="PivotTable11"/>
    <pivotTable tabId="16" name="PivotTable1"/>
    <pivotTable tabId="14" name="PivotTable1"/>
    <pivotTable tabId="18" name="PivotTable3"/>
  </pivotTables>
  <data>
    <olap pivotCacheId="1742087157">
      <levels count="2">
        <level uniqueName="[Input Data].[SALE TYPE].[(All)]" sourceCaption="(All)" count="0"/>
        <level uniqueName="[Input Data].[SALE TYPE].[SALE TYPE]" sourceCaption="SALE TYPE" count="3">
          <ranges>
            <range startItem="0">
              <i n="[Input Data].[SALE TYPE].&amp;[Direct Sales]" c="Direct Sales"/>
              <i n="[Input Data].[SALE TYPE].&amp;[Online]" c="Online"/>
              <i n="[Input Data].[SALE TYPE].&amp;[Wholesaler]" c="Wholesaler"/>
            </range>
          </ranges>
        </level>
      </levels>
      <selections count="1">
        <selection n="[Input Data].[SALE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NAME" xr10:uid="{D820265E-55B0-4073-92DF-931F9A8509D0}" cache="Slicer_CATEGORY_NAME" caption="CATEGORY NAME" level="1" style="SlicerStyleOther1" rowHeight="241300"/>
  <slicer name="PAYMENT MODE" xr10:uid="{2A11ABDE-7A13-4BD4-94A1-43D4B1FF8E64}" cache="Slicer_PAYMENT_MODE" caption="PAYMENT MODE" level="1" style="SlicerStyleOther1" rowHeight="241300"/>
  <slicer name="SALE TYPE" xr10:uid="{6A01908A-AD53-4391-A70A-AFB9FDA1A763}" cache="Slicer_SALE_TYPE" caption="SALE TYPE" level="1"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15C0F9C0-82A1-4985-841C-B7B7728C1880}" sourceName="[DATE TABLE].[DATE]">
  <pivotTables>
    <pivotTable tabId="1" name="PivotTable1"/>
    <pivotTable tabId="4" name="PivotTable4"/>
    <pivotTable tabId="5" name="PivotTable5"/>
    <pivotTable tabId="7" name="PivotTable7"/>
    <pivotTable tabId="10" name="PivotTable10"/>
    <pivotTable tabId="9" name="PivotTable9"/>
    <pivotTable tabId="6" name="PivotTable6"/>
    <pivotTable tabId="8" name="PivotTable8"/>
    <pivotTable tabId="2" name="PivotTable2"/>
    <pivotTable tabId="3" name="PivotTable3"/>
    <pivotTable tabId="13" name="PivotTable12"/>
    <pivotTable tabId="13" name="PivotTable13"/>
    <pivotTable tabId="13" name="PivotTable14"/>
    <pivotTable tabId="13" name="PivotTable15"/>
    <pivotTable tabId="16" name="PivotTable1"/>
    <pivotTable tabId="17" name="PivotTable2"/>
    <pivotTable tabId="14" name="PivotTable1"/>
    <pivotTable tabId="12" name="PivotTable11"/>
    <pivotTable tabId="18" name="PivotTable3"/>
  </pivotTables>
  <state minimalRefreshVersion="6" lastRefreshVersion="6" pivotCacheId="2045052185"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B34CEE6-AF2E-4903-9336-89B97D6E4CAD}" cache="Timeline_DATE" caption="DATE" level="0" selectionLevel="0" scrollPosition="2021-01-01T00:00:00" style="TimeSlicerStyleDark3"/>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7.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6E378-89FD-41C6-AF21-493E1C0D8D64}">
  <dimension ref="B26"/>
  <sheetViews>
    <sheetView tabSelected="1" topLeftCell="A3" zoomScale="55" zoomScaleNormal="55" workbookViewId="0">
      <selection activeCell="AT117" sqref="AT117"/>
    </sheetView>
  </sheetViews>
  <sheetFormatPr defaultRowHeight="14.5" x14ac:dyDescent="0.35"/>
  <cols>
    <col min="1" max="16384" width="8.7265625" style="7"/>
  </cols>
  <sheetData>
    <row r="26" spans="2:2" x14ac:dyDescent="0.35">
      <c r="B2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DF11D-11BF-43AD-A044-DDC084904C52}">
  <dimension ref="A1:A14"/>
  <sheetViews>
    <sheetView workbookViewId="0">
      <selection activeCell="A2" sqref="A2"/>
    </sheetView>
  </sheetViews>
  <sheetFormatPr defaultRowHeight="14.5" x14ac:dyDescent="0.35"/>
  <cols>
    <col min="1" max="1" width="11.453125" bestFit="1" customWidth="1"/>
  </cols>
  <sheetData>
    <row r="1" spans="1:1" x14ac:dyDescent="0.35">
      <c r="A1" t="s">
        <v>13</v>
      </c>
    </row>
    <row r="2" spans="1:1" x14ac:dyDescent="0.35">
      <c r="A2" s="4">
        <v>68907.920000000158</v>
      </c>
    </row>
    <row r="5" spans="1:1" x14ac:dyDescent="0.35">
      <c r="A5" t="s">
        <v>2</v>
      </c>
    </row>
    <row r="6" spans="1:1" x14ac:dyDescent="0.35">
      <c r="A6" s="4">
        <v>401411.92000000016</v>
      </c>
    </row>
    <row r="9" spans="1:1" x14ac:dyDescent="0.35">
      <c r="A9" t="s">
        <v>11</v>
      </c>
    </row>
    <row r="10" spans="1:1" x14ac:dyDescent="0.35">
      <c r="A10" s="4">
        <v>332504</v>
      </c>
    </row>
    <row r="13" spans="1:1" x14ac:dyDescent="0.35">
      <c r="A13" t="s">
        <v>37</v>
      </c>
    </row>
    <row r="14" spans="1:1" x14ac:dyDescent="0.35">
      <c r="A14" s="6">
        <v>0.17166386090378216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topLeftCell="A5" zoomScale="55" zoomScaleNormal="55" workbookViewId="0">
      <selection activeCell="G44" sqref="G44"/>
    </sheetView>
  </sheetViews>
  <sheetFormatPr defaultRowHeight="14.5" x14ac:dyDescent="0.35"/>
  <cols>
    <col min="1" max="1" width="14.453125" bestFit="1" customWidth="1"/>
    <col min="2" max="2" width="11.36328125" bestFit="1" customWidth="1"/>
    <col min="3" max="4" width="16.26953125" bestFit="1" customWidth="1"/>
  </cols>
  <sheetData>
    <row r="1" spans="1:4" x14ac:dyDescent="0.35">
      <c r="A1" s="1" t="s">
        <v>0</v>
      </c>
      <c r="B1" t="s">
        <v>3</v>
      </c>
      <c r="C1" t="s">
        <v>10</v>
      </c>
      <c r="D1" t="s">
        <v>10</v>
      </c>
    </row>
    <row r="2" spans="1:4" x14ac:dyDescent="0.35">
      <c r="A2" s="2">
        <v>2021</v>
      </c>
      <c r="B2" s="8"/>
      <c r="C2" s="8"/>
      <c r="D2" s="8"/>
    </row>
    <row r="3" spans="1:4" x14ac:dyDescent="0.35">
      <c r="A3" s="3">
        <v>1</v>
      </c>
      <c r="B3" s="4"/>
      <c r="C3" s="4">
        <v>17765.339999999997</v>
      </c>
      <c r="D3" s="4">
        <v>17765.339999999997</v>
      </c>
    </row>
    <row r="4" spans="1:4" x14ac:dyDescent="0.35">
      <c r="A4" s="3">
        <v>2</v>
      </c>
      <c r="B4" s="4"/>
      <c r="C4" s="4">
        <v>12598.570000000002</v>
      </c>
      <c r="D4" s="4">
        <v>30363.909999999996</v>
      </c>
    </row>
    <row r="5" spans="1:4" x14ac:dyDescent="0.35">
      <c r="A5" s="3">
        <v>3</v>
      </c>
      <c r="B5" s="4"/>
      <c r="C5" s="4">
        <v>16419.79</v>
      </c>
      <c r="D5" s="4">
        <v>46783.7</v>
      </c>
    </row>
    <row r="6" spans="1:4" x14ac:dyDescent="0.35">
      <c r="A6" s="3">
        <v>4</v>
      </c>
      <c r="B6" s="4"/>
      <c r="C6" s="4">
        <v>15252.430000000002</v>
      </c>
      <c r="D6" s="4">
        <v>62036.13</v>
      </c>
    </row>
    <row r="7" spans="1:4" x14ac:dyDescent="0.35">
      <c r="A7" s="3">
        <v>5</v>
      </c>
      <c r="B7" s="4"/>
      <c r="C7" s="4">
        <v>7957.4600000000009</v>
      </c>
      <c r="D7" s="4">
        <v>69993.59</v>
      </c>
    </row>
    <row r="8" spans="1:4" x14ac:dyDescent="0.35">
      <c r="A8" s="3">
        <v>6</v>
      </c>
      <c r="B8" s="4"/>
      <c r="C8" s="4">
        <v>16442.169999999998</v>
      </c>
      <c r="D8" s="4">
        <v>86435.76</v>
      </c>
    </row>
    <row r="9" spans="1:4" x14ac:dyDescent="0.35">
      <c r="A9" s="3">
        <v>7</v>
      </c>
      <c r="B9" s="4"/>
      <c r="C9" s="4">
        <v>19054.619999999995</v>
      </c>
      <c r="D9" s="4">
        <v>105490.37999999999</v>
      </c>
    </row>
    <row r="10" spans="1:4" x14ac:dyDescent="0.35">
      <c r="A10" s="3">
        <v>8</v>
      </c>
      <c r="B10" s="4"/>
      <c r="C10" s="4">
        <v>14155.35</v>
      </c>
      <c r="D10" s="4">
        <v>119645.73</v>
      </c>
    </row>
    <row r="11" spans="1:4" x14ac:dyDescent="0.35">
      <c r="A11" s="3">
        <v>9</v>
      </c>
      <c r="B11" s="4"/>
      <c r="C11" s="4">
        <v>18853.819999999996</v>
      </c>
      <c r="D11" s="4">
        <v>138499.54999999999</v>
      </c>
    </row>
    <row r="12" spans="1:4" x14ac:dyDescent="0.35">
      <c r="A12" s="3">
        <v>10</v>
      </c>
      <c r="B12" s="4"/>
      <c r="C12" s="4">
        <v>20453.900000000005</v>
      </c>
      <c r="D12" s="4">
        <v>158953.44999999998</v>
      </c>
    </row>
    <row r="13" spans="1:4" x14ac:dyDescent="0.35">
      <c r="A13" s="3">
        <v>11</v>
      </c>
      <c r="B13" s="4"/>
      <c r="C13" s="4">
        <v>9702.4</v>
      </c>
      <c r="D13" s="4">
        <v>168655.84999999998</v>
      </c>
    </row>
    <row r="14" spans="1:4" x14ac:dyDescent="0.35">
      <c r="A14" s="3">
        <v>12</v>
      </c>
      <c r="B14" s="4"/>
      <c r="C14" s="4">
        <v>18628.47</v>
      </c>
      <c r="D14" s="4">
        <v>187284.31999999998</v>
      </c>
    </row>
    <row r="15" spans="1:4" x14ac:dyDescent="0.35">
      <c r="A15" s="2">
        <v>2022</v>
      </c>
      <c r="B15" s="8"/>
      <c r="C15" s="8"/>
      <c r="D15" s="8"/>
    </row>
    <row r="16" spans="1:4" x14ac:dyDescent="0.35">
      <c r="A16" s="3">
        <v>1</v>
      </c>
      <c r="B16" s="4">
        <v>17765.34</v>
      </c>
      <c r="C16" s="4">
        <v>23581.62</v>
      </c>
      <c r="D16" s="4">
        <v>23581.62</v>
      </c>
    </row>
    <row r="17" spans="1:4" x14ac:dyDescent="0.35">
      <c r="A17" s="3">
        <v>2</v>
      </c>
      <c r="B17" s="4">
        <v>12598.569999999998</v>
      </c>
      <c r="C17" s="4">
        <v>18258.73</v>
      </c>
      <c r="D17" s="4">
        <v>41840.35</v>
      </c>
    </row>
    <row r="18" spans="1:4" x14ac:dyDescent="0.35">
      <c r="A18" s="3">
        <v>3</v>
      </c>
      <c r="B18" s="4">
        <v>16419.79</v>
      </c>
      <c r="C18" s="4">
        <v>12196.86</v>
      </c>
      <c r="D18" s="4">
        <v>54037.21</v>
      </c>
    </row>
    <row r="19" spans="1:4" x14ac:dyDescent="0.35">
      <c r="A19" s="3">
        <v>4</v>
      </c>
      <c r="B19" s="4">
        <v>15252.43</v>
      </c>
      <c r="C19" s="4">
        <v>11326.68</v>
      </c>
      <c r="D19" s="4">
        <v>65363.89</v>
      </c>
    </row>
    <row r="20" spans="1:4" x14ac:dyDescent="0.35">
      <c r="A20" s="3">
        <v>5</v>
      </c>
      <c r="B20" s="4">
        <v>7957.4600000000009</v>
      </c>
      <c r="C20" s="4">
        <v>22952.989999999998</v>
      </c>
      <c r="D20" s="4">
        <v>88316.88</v>
      </c>
    </row>
    <row r="21" spans="1:4" x14ac:dyDescent="0.35">
      <c r="A21" s="3">
        <v>6</v>
      </c>
      <c r="B21" s="4">
        <v>16442.170000000002</v>
      </c>
      <c r="C21" s="4">
        <v>14091.539999999999</v>
      </c>
      <c r="D21" s="4">
        <v>102408.42</v>
      </c>
    </row>
    <row r="22" spans="1:4" x14ac:dyDescent="0.35">
      <c r="A22" s="3">
        <v>7</v>
      </c>
      <c r="B22" s="4">
        <v>19054.62</v>
      </c>
      <c r="C22" s="4">
        <v>16197.17</v>
      </c>
      <c r="D22" s="4">
        <v>118605.59</v>
      </c>
    </row>
    <row r="23" spans="1:4" x14ac:dyDescent="0.35">
      <c r="A23" s="3">
        <v>8</v>
      </c>
      <c r="B23" s="4">
        <v>14155.349999999999</v>
      </c>
      <c r="C23" s="4">
        <v>21195.050000000003</v>
      </c>
      <c r="D23" s="4">
        <v>139800.64000000001</v>
      </c>
    </row>
    <row r="24" spans="1:4" x14ac:dyDescent="0.35">
      <c r="A24" s="3">
        <v>9</v>
      </c>
      <c r="B24" s="4">
        <v>18853.82</v>
      </c>
      <c r="C24" s="4">
        <v>16388.989999999998</v>
      </c>
      <c r="D24" s="4">
        <v>156189.63</v>
      </c>
    </row>
    <row r="25" spans="1:4" x14ac:dyDescent="0.35">
      <c r="A25" s="3">
        <v>10</v>
      </c>
      <c r="B25" s="4">
        <v>20453.900000000005</v>
      </c>
      <c r="C25" s="4">
        <v>13046.79</v>
      </c>
      <c r="D25" s="4">
        <v>169236.42</v>
      </c>
    </row>
    <row r="26" spans="1:4" x14ac:dyDescent="0.35">
      <c r="A26" s="3">
        <v>11</v>
      </c>
      <c r="B26" s="4">
        <v>9702.4</v>
      </c>
      <c r="C26" s="4">
        <v>26421.669999999995</v>
      </c>
      <c r="D26" s="4">
        <v>195658.09</v>
      </c>
    </row>
    <row r="27" spans="1:4" x14ac:dyDescent="0.35">
      <c r="A27" s="3">
        <v>12</v>
      </c>
      <c r="B27" s="4">
        <v>18628.47</v>
      </c>
      <c r="C27" s="4">
        <v>18469.509999999998</v>
      </c>
      <c r="D27" s="4">
        <v>214127.6</v>
      </c>
    </row>
    <row r="28" spans="1:4" x14ac:dyDescent="0.35">
      <c r="A28" s="2" t="s">
        <v>1</v>
      </c>
      <c r="B28" s="4">
        <v>187284.32000000004</v>
      </c>
      <c r="C28" s="4">
        <v>401411.92000000016</v>
      </c>
      <c r="D28" s="4"/>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125AD-E933-49EB-B802-70A828957881}">
  <dimension ref="A1:F29"/>
  <sheetViews>
    <sheetView topLeftCell="B1" zoomScale="70" zoomScaleNormal="70" workbookViewId="0">
      <selection activeCell="B19" sqref="B19"/>
    </sheetView>
  </sheetViews>
  <sheetFormatPr defaultRowHeight="14.5" x14ac:dyDescent="0.35"/>
  <cols>
    <col min="1" max="1" width="16.08984375" bestFit="1" customWidth="1"/>
    <col min="2" max="2" width="15.90625" bestFit="1" customWidth="1"/>
    <col min="3" max="3" width="5.36328125" bestFit="1" customWidth="1"/>
    <col min="4" max="5" width="3.81640625" bestFit="1" customWidth="1"/>
    <col min="6" max="6" width="10.7265625" bestFit="1" customWidth="1"/>
  </cols>
  <sheetData>
    <row r="1" spans="1:6" x14ac:dyDescent="0.35">
      <c r="A1" s="1" t="s">
        <v>8</v>
      </c>
      <c r="B1" s="1" t="s">
        <v>9</v>
      </c>
    </row>
    <row r="2" spans="1:6" x14ac:dyDescent="0.35">
      <c r="A2" s="1" t="s">
        <v>0</v>
      </c>
      <c r="B2" t="s">
        <v>4</v>
      </c>
      <c r="C2" t="s">
        <v>5</v>
      </c>
      <c r="D2" t="s">
        <v>6</v>
      </c>
      <c r="E2" t="s">
        <v>7</v>
      </c>
      <c r="F2" t="s">
        <v>1</v>
      </c>
    </row>
    <row r="3" spans="1:6" x14ac:dyDescent="0.35">
      <c r="A3" s="2">
        <v>2021</v>
      </c>
      <c r="B3" s="8"/>
      <c r="C3" s="8"/>
      <c r="D3" s="8"/>
      <c r="E3" s="8"/>
      <c r="F3" s="8"/>
    </row>
    <row r="4" spans="1:6" x14ac:dyDescent="0.35">
      <c r="A4" s="3">
        <v>1</v>
      </c>
      <c r="B4" s="5">
        <v>32</v>
      </c>
      <c r="C4" s="5">
        <v>106</v>
      </c>
      <c r="D4" s="5">
        <v>46</v>
      </c>
      <c r="E4" s="5">
        <v>29</v>
      </c>
      <c r="F4" s="5">
        <v>213</v>
      </c>
    </row>
    <row r="5" spans="1:6" x14ac:dyDescent="0.35">
      <c r="A5" s="3">
        <v>2</v>
      </c>
      <c r="B5" s="5">
        <v>34</v>
      </c>
      <c r="C5" s="5">
        <v>47</v>
      </c>
      <c r="D5" s="5">
        <v>18</v>
      </c>
      <c r="E5" s="5">
        <v>34</v>
      </c>
      <c r="F5" s="5">
        <v>133</v>
      </c>
    </row>
    <row r="6" spans="1:6" x14ac:dyDescent="0.35">
      <c r="A6" s="3">
        <v>3</v>
      </c>
      <c r="B6" s="5">
        <v>47</v>
      </c>
      <c r="C6" s="5">
        <v>46</v>
      </c>
      <c r="D6" s="5">
        <v>42</v>
      </c>
      <c r="E6" s="5">
        <v>48</v>
      </c>
      <c r="F6" s="5">
        <v>183</v>
      </c>
    </row>
    <row r="7" spans="1:6" x14ac:dyDescent="0.35">
      <c r="A7" s="3">
        <v>4</v>
      </c>
      <c r="B7" s="5">
        <v>48</v>
      </c>
      <c r="C7" s="5">
        <v>47</v>
      </c>
      <c r="D7" s="5">
        <v>14</v>
      </c>
      <c r="E7" s="5">
        <v>34</v>
      </c>
      <c r="F7" s="5">
        <v>143</v>
      </c>
    </row>
    <row r="8" spans="1:6" x14ac:dyDescent="0.35">
      <c r="A8" s="3">
        <v>5</v>
      </c>
      <c r="B8" s="5">
        <v>16</v>
      </c>
      <c r="C8" s="5">
        <v>36</v>
      </c>
      <c r="D8" s="5">
        <v>7</v>
      </c>
      <c r="E8" s="5">
        <v>68</v>
      </c>
      <c r="F8" s="5">
        <v>127</v>
      </c>
    </row>
    <row r="9" spans="1:6" x14ac:dyDescent="0.35">
      <c r="A9" s="3">
        <v>6</v>
      </c>
      <c r="B9" s="5">
        <v>54</v>
      </c>
      <c r="C9" s="5">
        <v>29</v>
      </c>
      <c r="D9" s="5">
        <v>44</v>
      </c>
      <c r="E9" s="5">
        <v>86</v>
      </c>
      <c r="F9" s="5">
        <v>213</v>
      </c>
    </row>
    <row r="10" spans="1:6" x14ac:dyDescent="0.35">
      <c r="A10" s="3">
        <v>7</v>
      </c>
      <c r="B10" s="5">
        <v>60</v>
      </c>
      <c r="C10" s="5">
        <v>71</v>
      </c>
      <c r="D10" s="5">
        <v>45</v>
      </c>
      <c r="E10" s="5">
        <v>11</v>
      </c>
      <c r="F10" s="5">
        <v>187</v>
      </c>
    </row>
    <row r="11" spans="1:6" x14ac:dyDescent="0.35">
      <c r="A11" s="3">
        <v>8</v>
      </c>
      <c r="B11" s="5">
        <v>24</v>
      </c>
      <c r="C11" s="5">
        <v>55</v>
      </c>
      <c r="D11" s="5">
        <v>61</v>
      </c>
      <c r="E11" s="5">
        <v>48</v>
      </c>
      <c r="F11" s="5">
        <v>188</v>
      </c>
    </row>
    <row r="12" spans="1:6" x14ac:dyDescent="0.35">
      <c r="A12" s="3">
        <v>9</v>
      </c>
      <c r="B12" s="5">
        <v>69</v>
      </c>
      <c r="C12" s="5">
        <v>54</v>
      </c>
      <c r="D12" s="5">
        <v>8</v>
      </c>
      <c r="E12" s="5">
        <v>21</v>
      </c>
      <c r="F12" s="5">
        <v>152</v>
      </c>
    </row>
    <row r="13" spans="1:6" x14ac:dyDescent="0.35">
      <c r="A13" s="3">
        <v>10</v>
      </c>
      <c r="B13" s="5">
        <v>55</v>
      </c>
      <c r="C13" s="5">
        <v>80</v>
      </c>
      <c r="D13" s="5">
        <v>39</v>
      </c>
      <c r="E13" s="5">
        <v>28</v>
      </c>
      <c r="F13" s="5">
        <v>202</v>
      </c>
    </row>
    <row r="14" spans="1:6" x14ac:dyDescent="0.35">
      <c r="A14" s="3">
        <v>11</v>
      </c>
      <c r="B14" s="5">
        <v>9</v>
      </c>
      <c r="C14" s="5">
        <v>57</v>
      </c>
      <c r="D14" s="5">
        <v>29</v>
      </c>
      <c r="E14" s="5">
        <v>15</v>
      </c>
      <c r="F14" s="5">
        <v>110</v>
      </c>
    </row>
    <row r="15" spans="1:6" x14ac:dyDescent="0.35">
      <c r="A15" s="3">
        <v>12</v>
      </c>
      <c r="B15" s="5">
        <v>68</v>
      </c>
      <c r="C15" s="5">
        <v>46</v>
      </c>
      <c r="D15" s="5">
        <v>50</v>
      </c>
      <c r="E15" s="5">
        <v>20</v>
      </c>
      <c r="F15" s="5">
        <v>184</v>
      </c>
    </row>
    <row r="16" spans="1:6" x14ac:dyDescent="0.35">
      <c r="A16" s="2">
        <v>2022</v>
      </c>
      <c r="B16" s="8"/>
      <c r="C16" s="8"/>
      <c r="D16" s="8"/>
      <c r="E16" s="8"/>
      <c r="F16" s="8"/>
    </row>
    <row r="17" spans="1:6" x14ac:dyDescent="0.35">
      <c r="A17" s="3">
        <v>1</v>
      </c>
      <c r="B17" s="5">
        <v>78</v>
      </c>
      <c r="C17" s="5">
        <v>74</v>
      </c>
      <c r="D17" s="5">
        <v>29</v>
      </c>
      <c r="E17" s="5">
        <v>13</v>
      </c>
      <c r="F17" s="5">
        <v>194</v>
      </c>
    </row>
    <row r="18" spans="1:6" x14ac:dyDescent="0.35">
      <c r="A18" s="3">
        <v>2</v>
      </c>
      <c r="B18" s="5">
        <v>48</v>
      </c>
      <c r="C18" s="5">
        <v>84</v>
      </c>
      <c r="D18" s="5">
        <v>3</v>
      </c>
      <c r="E18" s="5">
        <v>32</v>
      </c>
      <c r="F18" s="5">
        <v>167</v>
      </c>
    </row>
    <row r="19" spans="1:6" x14ac:dyDescent="0.35">
      <c r="A19" s="3">
        <v>3</v>
      </c>
      <c r="B19" s="5">
        <v>22</v>
      </c>
      <c r="C19" s="5">
        <v>55</v>
      </c>
      <c r="D19" s="5">
        <v>23</v>
      </c>
      <c r="E19" s="5">
        <v>28</v>
      </c>
      <c r="F19" s="5">
        <v>128</v>
      </c>
    </row>
    <row r="20" spans="1:6" x14ac:dyDescent="0.35">
      <c r="A20" s="3">
        <v>4</v>
      </c>
      <c r="B20" s="5">
        <v>11</v>
      </c>
      <c r="C20" s="5">
        <v>57</v>
      </c>
      <c r="D20" s="5">
        <v>23</v>
      </c>
      <c r="E20" s="5">
        <v>62</v>
      </c>
      <c r="F20" s="5">
        <v>153</v>
      </c>
    </row>
    <row r="21" spans="1:6" x14ac:dyDescent="0.35">
      <c r="A21" s="3">
        <v>5</v>
      </c>
      <c r="B21" s="5">
        <v>55</v>
      </c>
      <c r="C21" s="5">
        <v>89</v>
      </c>
      <c r="D21" s="5">
        <v>79</v>
      </c>
      <c r="E21" s="5">
        <v>24</v>
      </c>
      <c r="F21" s="5">
        <v>247</v>
      </c>
    </row>
    <row r="22" spans="1:6" x14ac:dyDescent="0.35">
      <c r="A22" s="3">
        <v>6</v>
      </c>
      <c r="B22" s="5">
        <v>35</v>
      </c>
      <c r="C22" s="5">
        <v>55</v>
      </c>
      <c r="D22" s="5">
        <v>27</v>
      </c>
      <c r="E22" s="5">
        <v>34</v>
      </c>
      <c r="F22" s="5">
        <v>151</v>
      </c>
    </row>
    <row r="23" spans="1:6" x14ac:dyDescent="0.35">
      <c r="A23" s="3">
        <v>7</v>
      </c>
      <c r="B23" s="5">
        <v>42</v>
      </c>
      <c r="C23" s="5">
        <v>75</v>
      </c>
      <c r="D23" s="5">
        <v>16</v>
      </c>
      <c r="E23" s="5">
        <v>39</v>
      </c>
      <c r="F23" s="5">
        <v>172</v>
      </c>
    </row>
    <row r="24" spans="1:6" x14ac:dyDescent="0.35">
      <c r="A24" s="3">
        <v>8</v>
      </c>
      <c r="B24" s="5">
        <v>67</v>
      </c>
      <c r="C24" s="5">
        <v>62</v>
      </c>
      <c r="D24" s="5">
        <v>35</v>
      </c>
      <c r="E24" s="5">
        <v>60</v>
      </c>
      <c r="F24" s="5">
        <v>224</v>
      </c>
    </row>
    <row r="25" spans="1:6" x14ac:dyDescent="0.35">
      <c r="A25" s="3">
        <v>9</v>
      </c>
      <c r="B25" s="5">
        <v>21</v>
      </c>
      <c r="C25" s="5">
        <v>109</v>
      </c>
      <c r="D25" s="5">
        <v>16</v>
      </c>
      <c r="E25" s="5">
        <v>48</v>
      </c>
      <c r="F25" s="5">
        <v>194</v>
      </c>
    </row>
    <row r="26" spans="1:6" x14ac:dyDescent="0.35">
      <c r="A26" s="3">
        <v>10</v>
      </c>
      <c r="B26" s="5">
        <v>26</v>
      </c>
      <c r="C26" s="5">
        <v>77</v>
      </c>
      <c r="D26" s="5">
        <v>20</v>
      </c>
      <c r="E26" s="5">
        <v>11</v>
      </c>
      <c r="F26" s="5">
        <v>134</v>
      </c>
    </row>
    <row r="27" spans="1:6" x14ac:dyDescent="0.35">
      <c r="A27" s="3">
        <v>11</v>
      </c>
      <c r="B27" s="5">
        <v>61</v>
      </c>
      <c r="C27" s="5">
        <v>102</v>
      </c>
      <c r="D27" s="5">
        <v>63</v>
      </c>
      <c r="E27" s="5">
        <v>42</v>
      </c>
      <c r="F27" s="5">
        <v>268</v>
      </c>
    </row>
    <row r="28" spans="1:6" x14ac:dyDescent="0.35">
      <c r="A28" s="3">
        <v>12</v>
      </c>
      <c r="B28" s="5">
        <v>38</v>
      </c>
      <c r="C28" s="5">
        <v>95</v>
      </c>
      <c r="D28" s="5">
        <v>28</v>
      </c>
      <c r="E28" s="5">
        <v>52</v>
      </c>
      <c r="F28" s="5">
        <v>213</v>
      </c>
    </row>
    <row r="29" spans="1:6" x14ac:dyDescent="0.35">
      <c r="A29" s="2" t="s">
        <v>1</v>
      </c>
      <c r="B29" s="5">
        <v>1020</v>
      </c>
      <c r="C29" s="5">
        <v>1608</v>
      </c>
      <c r="D29" s="5">
        <v>765</v>
      </c>
      <c r="E29" s="5">
        <v>887</v>
      </c>
      <c r="F29" s="5">
        <v>4280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FDFEA-4DAE-4A19-ADBE-858027F36E3C}">
  <dimension ref="A1:B28"/>
  <sheetViews>
    <sheetView zoomScale="70" zoomScaleNormal="70" workbookViewId="0">
      <selection activeCell="A13" sqref="A13"/>
    </sheetView>
  </sheetViews>
  <sheetFormatPr defaultRowHeight="14.5" x14ac:dyDescent="0.35"/>
  <cols>
    <col min="1" max="1" width="13.08984375" bestFit="1" customWidth="1"/>
    <col min="2" max="2" width="9.26953125" bestFit="1" customWidth="1"/>
  </cols>
  <sheetData>
    <row r="1" spans="1:2" x14ac:dyDescent="0.35">
      <c r="A1" s="1" t="s">
        <v>0</v>
      </c>
      <c r="B1" t="s">
        <v>2</v>
      </c>
    </row>
    <row r="2" spans="1:2" x14ac:dyDescent="0.35">
      <c r="A2" s="2">
        <v>2021</v>
      </c>
      <c r="B2" s="8"/>
    </row>
    <row r="3" spans="1:2" x14ac:dyDescent="0.35">
      <c r="A3" s="3">
        <v>1</v>
      </c>
      <c r="B3" s="4"/>
    </row>
    <row r="4" spans="1:2" x14ac:dyDescent="0.35">
      <c r="A4" s="3">
        <v>2</v>
      </c>
      <c r="B4" s="4"/>
    </row>
    <row r="5" spans="1:2" x14ac:dyDescent="0.35">
      <c r="A5" s="3">
        <v>3</v>
      </c>
      <c r="B5" s="4"/>
    </row>
    <row r="6" spans="1:2" x14ac:dyDescent="0.35">
      <c r="A6" s="3">
        <v>4</v>
      </c>
      <c r="B6" s="4"/>
    </row>
    <row r="7" spans="1:2" x14ac:dyDescent="0.35">
      <c r="A7" s="3">
        <v>5</v>
      </c>
      <c r="B7" s="4"/>
    </row>
    <row r="8" spans="1:2" x14ac:dyDescent="0.35">
      <c r="A8" s="3">
        <v>6</v>
      </c>
      <c r="B8" s="4"/>
    </row>
    <row r="9" spans="1:2" x14ac:dyDescent="0.35">
      <c r="A9" s="3">
        <v>7</v>
      </c>
      <c r="B9" s="4"/>
    </row>
    <row r="10" spans="1:2" x14ac:dyDescent="0.35">
      <c r="A10" s="3">
        <v>8</v>
      </c>
      <c r="B10" s="4"/>
    </row>
    <row r="11" spans="1:2" x14ac:dyDescent="0.35">
      <c r="A11" s="3">
        <v>9</v>
      </c>
      <c r="B11" s="4"/>
    </row>
    <row r="12" spans="1:2" x14ac:dyDescent="0.35">
      <c r="A12" s="3">
        <v>10</v>
      </c>
      <c r="B12" s="4"/>
    </row>
    <row r="13" spans="1:2" x14ac:dyDescent="0.35">
      <c r="A13" s="3">
        <v>11</v>
      </c>
      <c r="B13" s="4"/>
    </row>
    <row r="14" spans="1:2" x14ac:dyDescent="0.35">
      <c r="A14" s="3">
        <v>12</v>
      </c>
      <c r="B14" s="4"/>
    </row>
    <row r="15" spans="1:2" x14ac:dyDescent="0.35">
      <c r="A15" s="2">
        <v>2022</v>
      </c>
      <c r="B15" s="8"/>
    </row>
    <row r="16" spans="1:2" x14ac:dyDescent="0.35">
      <c r="A16" s="3">
        <v>1</v>
      </c>
      <c r="B16" s="4">
        <v>5816.2800000000025</v>
      </c>
    </row>
    <row r="17" spans="1:2" x14ac:dyDescent="0.35">
      <c r="A17" s="3">
        <v>2</v>
      </c>
      <c r="B17" s="4">
        <v>5660.159999999998</v>
      </c>
    </row>
    <row r="18" spans="1:2" x14ac:dyDescent="0.35">
      <c r="A18" s="3">
        <v>3</v>
      </c>
      <c r="B18" s="4">
        <v>-4222.93</v>
      </c>
    </row>
    <row r="19" spans="1:2" x14ac:dyDescent="0.35">
      <c r="A19" s="3">
        <v>4</v>
      </c>
      <c r="B19" s="4">
        <v>-3925.7500000000018</v>
      </c>
    </row>
    <row r="20" spans="1:2" x14ac:dyDescent="0.35">
      <c r="A20" s="3">
        <v>5</v>
      </c>
      <c r="B20" s="4">
        <v>14995.529999999997</v>
      </c>
    </row>
    <row r="21" spans="1:2" x14ac:dyDescent="0.35">
      <c r="A21" s="3">
        <v>6</v>
      </c>
      <c r="B21" s="4">
        <v>-2350.6299999999992</v>
      </c>
    </row>
    <row r="22" spans="1:2" x14ac:dyDescent="0.35">
      <c r="A22" s="3">
        <v>7</v>
      </c>
      <c r="B22" s="4">
        <v>-2857.4499999999953</v>
      </c>
    </row>
    <row r="23" spans="1:2" x14ac:dyDescent="0.35">
      <c r="A23" s="3">
        <v>8</v>
      </c>
      <c r="B23" s="4">
        <v>7039.7000000000025</v>
      </c>
    </row>
    <row r="24" spans="1:2" x14ac:dyDescent="0.35">
      <c r="A24" s="3">
        <v>9</v>
      </c>
      <c r="B24" s="4">
        <v>-2464.8299999999981</v>
      </c>
    </row>
    <row r="25" spans="1:2" x14ac:dyDescent="0.35">
      <c r="A25" s="3">
        <v>10</v>
      </c>
      <c r="B25" s="4">
        <v>-7407.1100000000042</v>
      </c>
    </row>
    <row r="26" spans="1:2" x14ac:dyDescent="0.35">
      <c r="A26" s="3">
        <v>11</v>
      </c>
      <c r="B26" s="4">
        <v>16719.269999999997</v>
      </c>
    </row>
    <row r="27" spans="1:2" x14ac:dyDescent="0.35">
      <c r="A27" s="3">
        <v>12</v>
      </c>
      <c r="B27" s="4">
        <v>-158.96000000000276</v>
      </c>
    </row>
    <row r="28" spans="1:2" x14ac:dyDescent="0.35">
      <c r="A28" s="2" t="s">
        <v>1</v>
      </c>
      <c r="B28" s="4"/>
    </row>
  </sheetData>
  <conditionalFormatting pivot="1" sqref="B3:B14 B16:B27">
    <cfRule type="cellIs" dxfId="0" priority="1" operator="lessThan">
      <formula>0</formula>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0BEAE-4BE5-4722-99E7-D124C35421DE}">
  <dimension ref="A1:C28"/>
  <sheetViews>
    <sheetView zoomScale="70" zoomScaleNormal="70" workbookViewId="0">
      <selection activeCell="T21" sqref="T21"/>
    </sheetView>
  </sheetViews>
  <sheetFormatPr defaultRowHeight="14.5" x14ac:dyDescent="0.35"/>
  <cols>
    <col min="1" max="1" width="13.08984375" bestFit="1" customWidth="1"/>
    <col min="2" max="2" width="13.6328125" bestFit="1" customWidth="1"/>
    <col min="3" max="3" width="10.7265625" bestFit="1" customWidth="1"/>
  </cols>
  <sheetData>
    <row r="1" spans="1:3" x14ac:dyDescent="0.35">
      <c r="A1" s="1" t="s">
        <v>0</v>
      </c>
      <c r="B1" t="s">
        <v>12</v>
      </c>
      <c r="C1" t="s">
        <v>11</v>
      </c>
    </row>
    <row r="2" spans="1:3" x14ac:dyDescent="0.35">
      <c r="A2" s="2">
        <v>2021</v>
      </c>
      <c r="B2" s="8"/>
      <c r="C2" s="8"/>
    </row>
    <row r="3" spans="1:3" x14ac:dyDescent="0.35">
      <c r="A3" s="3">
        <v>1</v>
      </c>
      <c r="B3" s="4"/>
      <c r="C3" s="4">
        <v>15263</v>
      </c>
    </row>
    <row r="4" spans="1:3" x14ac:dyDescent="0.35">
      <c r="A4" s="3">
        <v>2</v>
      </c>
      <c r="B4" s="4"/>
      <c r="C4" s="4">
        <v>10386</v>
      </c>
    </row>
    <row r="5" spans="1:3" x14ac:dyDescent="0.35">
      <c r="A5" s="3">
        <v>3</v>
      </c>
      <c r="B5" s="4"/>
      <c r="C5" s="4">
        <v>13685</v>
      </c>
    </row>
    <row r="6" spans="1:3" x14ac:dyDescent="0.35">
      <c r="A6" s="3">
        <v>4</v>
      </c>
      <c r="B6" s="4"/>
      <c r="C6" s="4">
        <v>12183</v>
      </c>
    </row>
    <row r="7" spans="1:3" x14ac:dyDescent="0.35">
      <c r="A7" s="3">
        <v>5</v>
      </c>
      <c r="B7" s="4"/>
      <c r="C7" s="4">
        <v>6807</v>
      </c>
    </row>
    <row r="8" spans="1:3" x14ac:dyDescent="0.35">
      <c r="A8" s="3">
        <v>6</v>
      </c>
      <c r="B8" s="4"/>
      <c r="C8" s="4">
        <v>13417</v>
      </c>
    </row>
    <row r="9" spans="1:3" x14ac:dyDescent="0.35">
      <c r="A9" s="3">
        <v>7</v>
      </c>
      <c r="B9" s="4"/>
      <c r="C9" s="4">
        <v>16400</v>
      </c>
    </row>
    <row r="10" spans="1:3" x14ac:dyDescent="0.35">
      <c r="A10" s="3">
        <v>8</v>
      </c>
      <c r="B10" s="4"/>
      <c r="C10" s="4">
        <v>12632</v>
      </c>
    </row>
    <row r="11" spans="1:3" x14ac:dyDescent="0.35">
      <c r="A11" s="3">
        <v>9</v>
      </c>
      <c r="B11" s="4"/>
      <c r="C11" s="4">
        <v>15310</v>
      </c>
    </row>
    <row r="12" spans="1:3" x14ac:dyDescent="0.35">
      <c r="A12" s="3">
        <v>10</v>
      </c>
      <c r="B12" s="4"/>
      <c r="C12" s="4">
        <v>16815</v>
      </c>
    </row>
    <row r="13" spans="1:3" x14ac:dyDescent="0.35">
      <c r="A13" s="3">
        <v>11</v>
      </c>
      <c r="B13" s="4"/>
      <c r="C13" s="4">
        <v>8322</v>
      </c>
    </row>
    <row r="14" spans="1:3" x14ac:dyDescent="0.35">
      <c r="A14" s="3">
        <v>12</v>
      </c>
      <c r="B14" s="4"/>
      <c r="C14" s="4">
        <v>15749</v>
      </c>
    </row>
    <row r="15" spans="1:3" x14ac:dyDescent="0.35">
      <c r="A15" s="2">
        <v>2022</v>
      </c>
      <c r="B15" s="8"/>
      <c r="C15" s="8"/>
    </row>
    <row r="16" spans="1:3" x14ac:dyDescent="0.35">
      <c r="A16" s="3">
        <v>1</v>
      </c>
      <c r="B16" s="4">
        <v>15263</v>
      </c>
      <c r="C16" s="4">
        <v>19027</v>
      </c>
    </row>
    <row r="17" spans="1:3" x14ac:dyDescent="0.35">
      <c r="A17" s="3">
        <v>2</v>
      </c>
      <c r="B17" s="4">
        <v>10386</v>
      </c>
      <c r="C17" s="4">
        <v>14955</v>
      </c>
    </row>
    <row r="18" spans="1:3" x14ac:dyDescent="0.35">
      <c r="A18" s="3">
        <v>3</v>
      </c>
      <c r="B18" s="4">
        <v>13685</v>
      </c>
      <c r="C18" s="4">
        <v>9752</v>
      </c>
    </row>
    <row r="19" spans="1:3" x14ac:dyDescent="0.35">
      <c r="A19" s="3">
        <v>4</v>
      </c>
      <c r="B19" s="4">
        <v>12183</v>
      </c>
      <c r="C19" s="4">
        <v>9099</v>
      </c>
    </row>
    <row r="20" spans="1:3" x14ac:dyDescent="0.35">
      <c r="A20" s="3">
        <v>5</v>
      </c>
      <c r="B20" s="4">
        <v>6807</v>
      </c>
      <c r="C20" s="4">
        <v>19719</v>
      </c>
    </row>
    <row r="21" spans="1:3" x14ac:dyDescent="0.35">
      <c r="A21" s="3">
        <v>6</v>
      </c>
      <c r="B21" s="4">
        <v>13417</v>
      </c>
      <c r="C21" s="4">
        <v>11462</v>
      </c>
    </row>
    <row r="22" spans="1:3" x14ac:dyDescent="0.35">
      <c r="A22" s="3">
        <v>7</v>
      </c>
      <c r="B22" s="4">
        <v>16400</v>
      </c>
      <c r="C22" s="4">
        <v>13478</v>
      </c>
    </row>
    <row r="23" spans="1:3" x14ac:dyDescent="0.35">
      <c r="A23" s="3">
        <v>8</v>
      </c>
      <c r="B23" s="4">
        <v>12632</v>
      </c>
      <c r="C23" s="4">
        <v>17199</v>
      </c>
    </row>
    <row r="24" spans="1:3" x14ac:dyDescent="0.35">
      <c r="A24" s="3">
        <v>9</v>
      </c>
      <c r="B24" s="4">
        <v>15310</v>
      </c>
      <c r="C24" s="4">
        <v>13448</v>
      </c>
    </row>
    <row r="25" spans="1:3" x14ac:dyDescent="0.35">
      <c r="A25" s="3">
        <v>10</v>
      </c>
      <c r="B25" s="4">
        <v>16815</v>
      </c>
      <c r="C25" s="4">
        <v>11027</v>
      </c>
    </row>
    <row r="26" spans="1:3" x14ac:dyDescent="0.35">
      <c r="A26" s="3">
        <v>11</v>
      </c>
      <c r="B26" s="4">
        <v>8322</v>
      </c>
      <c r="C26" s="4">
        <v>20984</v>
      </c>
    </row>
    <row r="27" spans="1:3" x14ac:dyDescent="0.35">
      <c r="A27" s="3">
        <v>12</v>
      </c>
      <c r="B27" s="4">
        <v>15749</v>
      </c>
      <c r="C27" s="4">
        <v>15385</v>
      </c>
    </row>
    <row r="28" spans="1:3" x14ac:dyDescent="0.35">
      <c r="A28" s="2" t="s">
        <v>1</v>
      </c>
      <c r="B28" s="4">
        <v>156969</v>
      </c>
      <c r="C28" s="4">
        <v>332504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E4C94-9784-43DC-A05D-5DF9367115BC}">
  <dimension ref="A1:D28"/>
  <sheetViews>
    <sheetView zoomScale="70" zoomScaleNormal="70" workbookViewId="0">
      <selection activeCell="C7" sqref="C7"/>
    </sheetView>
  </sheetViews>
  <sheetFormatPr defaultRowHeight="14.5" x14ac:dyDescent="0.35"/>
  <cols>
    <col min="1" max="1" width="13.08984375" bestFit="1" customWidth="1"/>
    <col min="2" max="2" width="12.6328125" bestFit="1" customWidth="1"/>
    <col min="3" max="3" width="9.81640625" bestFit="1" customWidth="1"/>
    <col min="4" max="4" width="12.36328125" bestFit="1" customWidth="1"/>
  </cols>
  <sheetData>
    <row r="1" spans="1:4" x14ac:dyDescent="0.35">
      <c r="A1" s="1" t="s">
        <v>0</v>
      </c>
      <c r="B1" t="s">
        <v>14</v>
      </c>
      <c r="C1" t="s">
        <v>13</v>
      </c>
      <c r="D1" t="s">
        <v>15</v>
      </c>
    </row>
    <row r="2" spans="1:4" x14ac:dyDescent="0.35">
      <c r="A2" s="2">
        <v>2021</v>
      </c>
      <c r="B2" s="8"/>
      <c r="C2" s="8"/>
      <c r="D2" s="8"/>
    </row>
    <row r="3" spans="1:4" x14ac:dyDescent="0.35">
      <c r="A3" s="3">
        <v>1</v>
      </c>
      <c r="B3" s="4"/>
      <c r="C3" s="4">
        <v>2502.3399999999965</v>
      </c>
      <c r="D3" s="4">
        <v>2502.3399999999965</v>
      </c>
    </row>
    <row r="4" spans="1:4" x14ac:dyDescent="0.35">
      <c r="A4" s="3">
        <v>2</v>
      </c>
      <c r="B4" s="4"/>
      <c r="C4" s="4">
        <v>2212.5700000000015</v>
      </c>
      <c r="D4" s="4">
        <v>4714.909999999998</v>
      </c>
    </row>
    <row r="5" spans="1:4" x14ac:dyDescent="0.35">
      <c r="A5" s="3">
        <v>3</v>
      </c>
      <c r="B5" s="4"/>
      <c r="C5" s="4">
        <v>2734.7900000000009</v>
      </c>
      <c r="D5" s="4">
        <v>7449.6999999999989</v>
      </c>
    </row>
    <row r="6" spans="1:4" x14ac:dyDescent="0.35">
      <c r="A6" s="3">
        <v>4</v>
      </c>
      <c r="B6" s="4"/>
      <c r="C6" s="4">
        <v>3069.4300000000021</v>
      </c>
      <c r="D6" s="4">
        <v>10519.130000000001</v>
      </c>
    </row>
    <row r="7" spans="1:4" x14ac:dyDescent="0.35">
      <c r="A7" s="3">
        <v>5</v>
      </c>
      <c r="B7" s="4"/>
      <c r="C7" s="4">
        <v>1150.4600000000009</v>
      </c>
      <c r="D7" s="4">
        <v>11669.590000000002</v>
      </c>
    </row>
    <row r="8" spans="1:4" x14ac:dyDescent="0.35">
      <c r="A8" s="3">
        <v>6</v>
      </c>
      <c r="B8" s="4"/>
      <c r="C8" s="4">
        <v>3025.1699999999983</v>
      </c>
      <c r="D8" s="4">
        <v>14694.76</v>
      </c>
    </row>
    <row r="9" spans="1:4" x14ac:dyDescent="0.35">
      <c r="A9" s="3">
        <v>7</v>
      </c>
      <c r="B9" s="4"/>
      <c r="C9" s="4">
        <v>2654.6199999999953</v>
      </c>
      <c r="D9" s="4">
        <v>17349.379999999997</v>
      </c>
    </row>
    <row r="10" spans="1:4" x14ac:dyDescent="0.35">
      <c r="A10" s="3">
        <v>8</v>
      </c>
      <c r="B10" s="4"/>
      <c r="C10" s="4">
        <v>1523.3500000000004</v>
      </c>
      <c r="D10" s="4">
        <v>18872.729999999996</v>
      </c>
    </row>
    <row r="11" spans="1:4" x14ac:dyDescent="0.35">
      <c r="A11" s="3">
        <v>9</v>
      </c>
      <c r="B11" s="4"/>
      <c r="C11" s="4">
        <v>3543.8199999999961</v>
      </c>
      <c r="D11" s="4">
        <v>22416.549999999992</v>
      </c>
    </row>
    <row r="12" spans="1:4" x14ac:dyDescent="0.35">
      <c r="A12" s="3">
        <v>10</v>
      </c>
      <c r="B12" s="4"/>
      <c r="C12" s="4">
        <v>3638.9000000000051</v>
      </c>
      <c r="D12" s="4">
        <v>26055.449999999997</v>
      </c>
    </row>
    <row r="13" spans="1:4" x14ac:dyDescent="0.35">
      <c r="A13" s="3">
        <v>11</v>
      </c>
      <c r="B13" s="4"/>
      <c r="C13" s="4">
        <v>1380.3999999999996</v>
      </c>
      <c r="D13" s="4">
        <v>27435.85</v>
      </c>
    </row>
    <row r="14" spans="1:4" x14ac:dyDescent="0.35">
      <c r="A14" s="3">
        <v>12</v>
      </c>
      <c r="B14" s="4"/>
      <c r="C14" s="4">
        <v>2879.4700000000012</v>
      </c>
      <c r="D14" s="4">
        <v>30315.32</v>
      </c>
    </row>
    <row r="15" spans="1:4" x14ac:dyDescent="0.35">
      <c r="A15" s="2">
        <v>2022</v>
      </c>
      <c r="B15" s="8"/>
      <c r="C15" s="8"/>
      <c r="D15" s="8"/>
    </row>
    <row r="16" spans="1:4" x14ac:dyDescent="0.35">
      <c r="A16" s="3">
        <v>1</v>
      </c>
      <c r="B16" s="4">
        <v>2502.34</v>
      </c>
      <c r="C16" s="4">
        <v>4554.619999999999</v>
      </c>
      <c r="D16" s="4">
        <v>4554.619999999999</v>
      </c>
    </row>
    <row r="17" spans="1:4" x14ac:dyDescent="0.35">
      <c r="A17" s="3">
        <v>2</v>
      </c>
      <c r="B17" s="4">
        <v>2212.5699999999979</v>
      </c>
      <c r="C17" s="4">
        <v>3303.7299999999996</v>
      </c>
      <c r="D17" s="4">
        <v>7858.3499999999985</v>
      </c>
    </row>
    <row r="18" spans="1:4" x14ac:dyDescent="0.35">
      <c r="A18" s="3">
        <v>3</v>
      </c>
      <c r="B18" s="4">
        <v>2734.7900000000009</v>
      </c>
      <c r="C18" s="4">
        <v>2444.8600000000006</v>
      </c>
      <c r="D18" s="4">
        <v>10303.209999999999</v>
      </c>
    </row>
    <row r="19" spans="1:4" x14ac:dyDescent="0.35">
      <c r="A19" s="3">
        <v>4</v>
      </c>
      <c r="B19" s="4">
        <v>3069.4300000000003</v>
      </c>
      <c r="C19" s="4">
        <v>2227.6800000000003</v>
      </c>
      <c r="D19" s="4">
        <v>12530.89</v>
      </c>
    </row>
    <row r="20" spans="1:4" x14ac:dyDescent="0.35">
      <c r="A20" s="3">
        <v>5</v>
      </c>
      <c r="B20" s="4">
        <v>1150.4600000000009</v>
      </c>
      <c r="C20" s="4">
        <v>3233.989999999998</v>
      </c>
      <c r="D20" s="4">
        <v>15764.879999999997</v>
      </c>
    </row>
    <row r="21" spans="1:4" x14ac:dyDescent="0.35">
      <c r="A21" s="3">
        <v>6</v>
      </c>
      <c r="B21" s="4">
        <v>3025.1700000000019</v>
      </c>
      <c r="C21" s="4">
        <v>2629.5399999999991</v>
      </c>
      <c r="D21" s="4">
        <v>18394.419999999998</v>
      </c>
    </row>
    <row r="22" spans="1:4" x14ac:dyDescent="0.35">
      <c r="A22" s="3">
        <v>7</v>
      </c>
      <c r="B22" s="4">
        <v>2654.619999999999</v>
      </c>
      <c r="C22" s="4">
        <v>2719.17</v>
      </c>
      <c r="D22" s="4">
        <v>21113.589999999997</v>
      </c>
    </row>
    <row r="23" spans="1:4" x14ac:dyDescent="0.35">
      <c r="A23" s="3">
        <v>8</v>
      </c>
      <c r="B23" s="4">
        <v>1523.3499999999985</v>
      </c>
      <c r="C23" s="4">
        <v>3996.0500000000029</v>
      </c>
      <c r="D23" s="4">
        <v>25109.64</v>
      </c>
    </row>
    <row r="24" spans="1:4" x14ac:dyDescent="0.35">
      <c r="A24" s="3">
        <v>9</v>
      </c>
      <c r="B24" s="4">
        <v>3543.8199999999997</v>
      </c>
      <c r="C24" s="4">
        <v>2940.989999999998</v>
      </c>
      <c r="D24" s="4">
        <v>28050.629999999997</v>
      </c>
    </row>
    <row r="25" spans="1:4" x14ac:dyDescent="0.35">
      <c r="A25" s="3">
        <v>10</v>
      </c>
      <c r="B25" s="4">
        <v>3638.9000000000051</v>
      </c>
      <c r="C25" s="4">
        <v>2019.7900000000009</v>
      </c>
      <c r="D25" s="4">
        <v>30070.42</v>
      </c>
    </row>
    <row r="26" spans="1:4" x14ac:dyDescent="0.35">
      <c r="A26" s="3">
        <v>11</v>
      </c>
      <c r="B26" s="4">
        <v>1380.3999999999996</v>
      </c>
      <c r="C26" s="4">
        <v>5437.6699999999946</v>
      </c>
      <c r="D26" s="4">
        <v>35508.089999999997</v>
      </c>
    </row>
    <row r="27" spans="1:4" x14ac:dyDescent="0.35">
      <c r="A27" s="3">
        <v>12</v>
      </c>
      <c r="B27" s="4">
        <v>2879.4700000000012</v>
      </c>
      <c r="C27" s="4">
        <v>3084.5099999999984</v>
      </c>
      <c r="D27" s="4">
        <v>38592.599999999991</v>
      </c>
    </row>
    <row r="28" spans="1:4" x14ac:dyDescent="0.35">
      <c r="A28" s="2" t="s">
        <v>1</v>
      </c>
      <c r="B28" s="4">
        <v>30315.320000000036</v>
      </c>
      <c r="C28" s="4">
        <v>68907.920000000158</v>
      </c>
      <c r="D28" s="4"/>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3027-FFAF-4EF4-850D-7AB03AF822C5}">
  <dimension ref="A1:B28"/>
  <sheetViews>
    <sheetView topLeftCell="A4" workbookViewId="0">
      <selection activeCell="L24" sqref="L24"/>
    </sheetView>
  </sheetViews>
  <sheetFormatPr defaultRowHeight="14.5" x14ac:dyDescent="0.35"/>
  <cols>
    <col min="1" max="1" width="12.36328125" bestFit="1" customWidth="1"/>
    <col min="2" max="2" width="9.81640625" bestFit="1" customWidth="1"/>
  </cols>
  <sheetData>
    <row r="1" spans="1:2" x14ac:dyDescent="0.35">
      <c r="A1" s="1" t="s">
        <v>0</v>
      </c>
      <c r="B1" t="s">
        <v>13</v>
      </c>
    </row>
    <row r="2" spans="1:2" x14ac:dyDescent="0.35">
      <c r="A2" s="2">
        <v>2021</v>
      </c>
      <c r="B2" s="8"/>
    </row>
    <row r="3" spans="1:2" x14ac:dyDescent="0.35">
      <c r="A3" s="3">
        <v>1</v>
      </c>
      <c r="B3" s="4"/>
    </row>
    <row r="4" spans="1:2" x14ac:dyDescent="0.35">
      <c r="A4" s="3">
        <v>2</v>
      </c>
      <c r="B4" s="4"/>
    </row>
    <row r="5" spans="1:2" x14ac:dyDescent="0.35">
      <c r="A5" s="3">
        <v>3</v>
      </c>
      <c r="B5" s="4"/>
    </row>
    <row r="6" spans="1:2" x14ac:dyDescent="0.35">
      <c r="A6" s="3">
        <v>4</v>
      </c>
      <c r="B6" s="4"/>
    </row>
    <row r="7" spans="1:2" x14ac:dyDescent="0.35">
      <c r="A7" s="3">
        <v>5</v>
      </c>
      <c r="B7" s="4"/>
    </row>
    <row r="8" spans="1:2" x14ac:dyDescent="0.35">
      <c r="A8" s="3">
        <v>6</v>
      </c>
      <c r="B8" s="4"/>
    </row>
    <row r="9" spans="1:2" x14ac:dyDescent="0.35">
      <c r="A9" s="3">
        <v>7</v>
      </c>
      <c r="B9" s="4"/>
    </row>
    <row r="10" spans="1:2" x14ac:dyDescent="0.35">
      <c r="A10" s="3">
        <v>8</v>
      </c>
      <c r="B10" s="4"/>
    </row>
    <row r="11" spans="1:2" x14ac:dyDescent="0.35">
      <c r="A11" s="3">
        <v>9</v>
      </c>
      <c r="B11" s="4"/>
    </row>
    <row r="12" spans="1:2" x14ac:dyDescent="0.35">
      <c r="A12" s="3">
        <v>10</v>
      </c>
      <c r="B12" s="4"/>
    </row>
    <row r="13" spans="1:2" x14ac:dyDescent="0.35">
      <c r="A13" s="3">
        <v>11</v>
      </c>
      <c r="B13" s="4"/>
    </row>
    <row r="14" spans="1:2" x14ac:dyDescent="0.35">
      <c r="A14" s="3">
        <v>12</v>
      </c>
      <c r="B14" s="4"/>
    </row>
    <row r="15" spans="1:2" x14ac:dyDescent="0.35">
      <c r="A15" s="2">
        <v>2022</v>
      </c>
      <c r="B15" s="8"/>
    </row>
    <row r="16" spans="1:2" x14ac:dyDescent="0.35">
      <c r="A16" s="3">
        <v>1</v>
      </c>
      <c r="B16" s="4">
        <v>2052.2800000000025</v>
      </c>
    </row>
    <row r="17" spans="1:2" x14ac:dyDescent="0.35">
      <c r="A17" s="3">
        <v>2</v>
      </c>
      <c r="B17" s="4">
        <v>1091.159999999998</v>
      </c>
    </row>
    <row r="18" spans="1:2" x14ac:dyDescent="0.35">
      <c r="A18" s="3">
        <v>3</v>
      </c>
      <c r="B18" s="4">
        <v>-289.93000000000029</v>
      </c>
    </row>
    <row r="19" spans="1:2" x14ac:dyDescent="0.35">
      <c r="A19" s="3">
        <v>4</v>
      </c>
      <c r="B19" s="4">
        <v>-841.75000000000182</v>
      </c>
    </row>
    <row r="20" spans="1:2" x14ac:dyDescent="0.35">
      <c r="A20" s="3">
        <v>5</v>
      </c>
      <c r="B20" s="4">
        <v>2083.529999999997</v>
      </c>
    </row>
    <row r="21" spans="1:2" x14ac:dyDescent="0.35">
      <c r="A21" s="3">
        <v>6</v>
      </c>
      <c r="B21" s="4">
        <v>-395.6299999999992</v>
      </c>
    </row>
    <row r="22" spans="1:2" x14ac:dyDescent="0.35">
      <c r="A22" s="3">
        <v>7</v>
      </c>
      <c r="B22" s="4">
        <v>64.550000000004729</v>
      </c>
    </row>
    <row r="23" spans="1:2" x14ac:dyDescent="0.35">
      <c r="A23" s="3">
        <v>8</v>
      </c>
      <c r="B23" s="4">
        <v>2472.7000000000025</v>
      </c>
    </row>
    <row r="24" spans="1:2" x14ac:dyDescent="0.35">
      <c r="A24" s="3">
        <v>9</v>
      </c>
      <c r="B24" s="4">
        <v>-602.82999999999811</v>
      </c>
    </row>
    <row r="25" spans="1:2" x14ac:dyDescent="0.35">
      <c r="A25" s="3">
        <v>10</v>
      </c>
      <c r="B25" s="4">
        <v>-1619.1100000000042</v>
      </c>
    </row>
    <row r="26" spans="1:2" x14ac:dyDescent="0.35">
      <c r="A26" s="3">
        <v>11</v>
      </c>
      <c r="B26" s="4">
        <v>4057.269999999995</v>
      </c>
    </row>
    <row r="27" spans="1:2" x14ac:dyDescent="0.35">
      <c r="A27" s="3">
        <v>12</v>
      </c>
      <c r="B27" s="4">
        <v>205.03999999999724</v>
      </c>
    </row>
    <row r="28" spans="1:2" x14ac:dyDescent="0.35">
      <c r="A28" s="2" t="s">
        <v>1</v>
      </c>
      <c r="B28" s="4"/>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0A643-F547-413F-81DB-3A3C5FA0F47D}">
  <dimension ref="A1:B7"/>
  <sheetViews>
    <sheetView workbookViewId="0">
      <selection activeCell="A12" sqref="A12"/>
    </sheetView>
  </sheetViews>
  <sheetFormatPr defaultRowHeight="14.5" x14ac:dyDescent="0.35"/>
  <cols>
    <col min="1" max="1" width="25.453125" bestFit="1" customWidth="1"/>
    <col min="2" max="2" width="9.81640625" bestFit="1" customWidth="1"/>
    <col min="3" max="3" width="12.6328125" bestFit="1" customWidth="1"/>
  </cols>
  <sheetData>
    <row r="1" spans="1:2" x14ac:dyDescent="0.35">
      <c r="A1" s="1" t="s">
        <v>0</v>
      </c>
      <c r="B1" t="s">
        <v>13</v>
      </c>
    </row>
    <row r="2" spans="1:2" x14ac:dyDescent="0.35">
      <c r="A2" s="2" t="s">
        <v>18</v>
      </c>
      <c r="B2" s="4">
        <v>7118.5100000000093</v>
      </c>
    </row>
    <row r="3" spans="1:2" x14ac:dyDescent="0.35">
      <c r="A3" s="2" t="s">
        <v>17</v>
      </c>
      <c r="B3" s="4">
        <v>9985.9499999999971</v>
      </c>
    </row>
    <row r="4" spans="1:2" x14ac:dyDescent="0.35">
      <c r="A4" s="2" t="s">
        <v>16</v>
      </c>
      <c r="B4" s="4">
        <v>16663.189999999973</v>
      </c>
    </row>
    <row r="5" spans="1:2" x14ac:dyDescent="0.35">
      <c r="A5" s="2" t="s">
        <v>19</v>
      </c>
      <c r="B5" s="4">
        <v>17548.869999999995</v>
      </c>
    </row>
    <row r="6" spans="1:2" x14ac:dyDescent="0.35">
      <c r="A6" s="2" t="s">
        <v>20</v>
      </c>
      <c r="B6" s="4">
        <v>17591.400000000009</v>
      </c>
    </row>
    <row r="7" spans="1:2" x14ac:dyDescent="0.35">
      <c r="A7" s="2" t="s">
        <v>1</v>
      </c>
      <c r="B7" s="4">
        <v>68907.920000000158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89DCF-4304-4175-8784-C4718BFBF0A4}">
  <dimension ref="A1:B17"/>
  <sheetViews>
    <sheetView workbookViewId="0">
      <selection activeCell="F22" sqref="F22"/>
    </sheetView>
  </sheetViews>
  <sheetFormatPr defaultRowHeight="14.5" x14ac:dyDescent="0.35"/>
  <cols>
    <col min="1" max="1" width="31.90625" bestFit="1" customWidth="1"/>
    <col min="2" max="2" width="9.81640625" bestFit="1" customWidth="1"/>
  </cols>
  <sheetData>
    <row r="1" spans="1:2" x14ac:dyDescent="0.35">
      <c r="A1" s="1" t="s">
        <v>0</v>
      </c>
      <c r="B1" t="s">
        <v>13</v>
      </c>
    </row>
    <row r="2" spans="1:2" x14ac:dyDescent="0.35">
      <c r="A2" s="2" t="s">
        <v>43</v>
      </c>
      <c r="B2" s="4">
        <v>1439.8999999999996</v>
      </c>
    </row>
    <row r="3" spans="1:2" x14ac:dyDescent="0.35">
      <c r="A3" s="2" t="s">
        <v>44</v>
      </c>
      <c r="B3" s="4">
        <v>1601.25</v>
      </c>
    </row>
    <row r="4" spans="1:2" x14ac:dyDescent="0.35">
      <c r="A4" s="2" t="s">
        <v>27</v>
      </c>
      <c r="B4" s="4">
        <v>1628.0000000000036</v>
      </c>
    </row>
    <row r="5" spans="1:2" x14ac:dyDescent="0.35">
      <c r="A5" s="2" t="s">
        <v>22</v>
      </c>
      <c r="B5" s="4">
        <v>1688.3999999999996</v>
      </c>
    </row>
    <row r="6" spans="1:2" x14ac:dyDescent="0.35">
      <c r="A6" s="2" t="s">
        <v>31</v>
      </c>
      <c r="B6" s="4">
        <v>2283.6100000000006</v>
      </c>
    </row>
    <row r="7" spans="1:2" x14ac:dyDescent="0.35">
      <c r="A7" s="2" t="s">
        <v>45</v>
      </c>
      <c r="B7" s="4">
        <v>2411.6399999999994</v>
      </c>
    </row>
    <row r="8" spans="1:2" x14ac:dyDescent="0.35">
      <c r="A8" s="2" t="s">
        <v>25</v>
      </c>
      <c r="B8" s="4">
        <v>2603.9100000000017</v>
      </c>
    </row>
    <row r="9" spans="1:2" x14ac:dyDescent="0.35">
      <c r="A9" s="2" t="s">
        <v>28</v>
      </c>
      <c r="B9" s="4">
        <v>2815.7999999999993</v>
      </c>
    </row>
    <row r="10" spans="1:2" x14ac:dyDescent="0.35">
      <c r="A10" s="2" t="s">
        <v>21</v>
      </c>
      <c r="B10" s="4">
        <v>3020.6400000000012</v>
      </c>
    </row>
    <row r="11" spans="1:2" x14ac:dyDescent="0.35">
      <c r="A11" s="2" t="s">
        <v>24</v>
      </c>
      <c r="B11" s="4">
        <v>3553.2000000000007</v>
      </c>
    </row>
    <row r="12" spans="1:2" x14ac:dyDescent="0.35">
      <c r="A12" s="2" t="s">
        <v>30</v>
      </c>
      <c r="B12" s="4">
        <v>3958.7200000000012</v>
      </c>
    </row>
    <row r="13" spans="1:2" x14ac:dyDescent="0.35">
      <c r="A13" s="2" t="s">
        <v>23</v>
      </c>
      <c r="B13" s="4">
        <v>4736.1599999999962</v>
      </c>
    </row>
    <row r="14" spans="1:2" x14ac:dyDescent="0.35">
      <c r="A14" s="2" t="s">
        <v>29</v>
      </c>
      <c r="B14" s="4">
        <v>5334</v>
      </c>
    </row>
    <row r="15" spans="1:2" x14ac:dyDescent="0.35">
      <c r="A15" s="2" t="s">
        <v>32</v>
      </c>
      <c r="B15" s="4">
        <v>5760</v>
      </c>
    </row>
    <row r="16" spans="1:2" x14ac:dyDescent="0.35">
      <c r="A16" s="2" t="s">
        <v>26</v>
      </c>
      <c r="B16" s="4">
        <v>6073.9200000000019</v>
      </c>
    </row>
    <row r="17" spans="1:2" x14ac:dyDescent="0.35">
      <c r="A17" s="2" t="s">
        <v>1</v>
      </c>
      <c r="B17" s="4">
        <v>48909.149999999965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0217D-188A-4475-A9F2-77C6F7AA74DF}">
  <dimension ref="A1:B4"/>
  <sheetViews>
    <sheetView workbookViewId="0">
      <selection activeCell="M15" sqref="M15"/>
    </sheetView>
  </sheetViews>
  <sheetFormatPr defaultRowHeight="14.5" x14ac:dyDescent="0.35"/>
  <cols>
    <col min="1" max="1" width="12.36328125" bestFit="1" customWidth="1"/>
    <col min="2" max="2" width="9.81640625" bestFit="1" customWidth="1"/>
  </cols>
  <sheetData>
    <row r="1" spans="1:2" x14ac:dyDescent="0.35">
      <c r="A1" s="1" t="s">
        <v>0</v>
      </c>
      <c r="B1" t="s">
        <v>13</v>
      </c>
    </row>
    <row r="2" spans="1:2" x14ac:dyDescent="0.35">
      <c r="A2" s="2" t="s">
        <v>33</v>
      </c>
      <c r="B2" s="4">
        <v>35120.899999999965</v>
      </c>
    </row>
    <row r="3" spans="1:2" x14ac:dyDescent="0.35">
      <c r="A3" s="2" t="s">
        <v>34</v>
      </c>
      <c r="B3" s="4">
        <v>33787.01999999996</v>
      </c>
    </row>
    <row r="4" spans="1:2" x14ac:dyDescent="0.35">
      <c r="A4" s="2" t="s">
        <v>1</v>
      </c>
      <c r="B4" s="4">
        <v>68907.920000000158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B745F-F5E1-4885-BEB8-0EDE42B4D569}">
  <dimension ref="A1:B5"/>
  <sheetViews>
    <sheetView workbookViewId="0">
      <selection activeCell="B4" sqref="B4"/>
    </sheetView>
  </sheetViews>
  <sheetFormatPr defaultRowHeight="14.5" x14ac:dyDescent="0.35"/>
  <cols>
    <col min="1" max="1" width="12.36328125" bestFit="1" customWidth="1"/>
    <col min="2" max="2" width="9.81640625" bestFit="1" customWidth="1"/>
  </cols>
  <sheetData>
    <row r="1" spans="1:2" x14ac:dyDescent="0.35">
      <c r="A1" s="1" t="s">
        <v>0</v>
      </c>
      <c r="B1" t="s">
        <v>13</v>
      </c>
    </row>
    <row r="2" spans="1:2" x14ac:dyDescent="0.35">
      <c r="A2" s="2" t="s">
        <v>35</v>
      </c>
      <c r="B2" s="4">
        <v>36230.150000000052</v>
      </c>
    </row>
    <row r="3" spans="1:2" x14ac:dyDescent="0.35">
      <c r="A3" s="2" t="s">
        <v>34</v>
      </c>
      <c r="B3" s="4">
        <v>22120.870000000024</v>
      </c>
    </row>
    <row r="4" spans="1:2" x14ac:dyDescent="0.35">
      <c r="A4" s="2" t="s">
        <v>36</v>
      </c>
      <c r="B4" s="4">
        <v>10556.900000000009</v>
      </c>
    </row>
    <row r="5" spans="1:2" x14ac:dyDescent="0.35">
      <c r="A5" s="2" t="s">
        <v>1</v>
      </c>
      <c r="B5" s="4">
        <v>68907.920000000158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BCD55-6EB6-43F0-8336-3BEE859FAD1E}">
  <dimension ref="A1:B28"/>
  <sheetViews>
    <sheetView workbookViewId="0">
      <selection activeCell="N13" sqref="N13"/>
    </sheetView>
  </sheetViews>
  <sheetFormatPr defaultRowHeight="14.5" x14ac:dyDescent="0.35"/>
  <cols>
    <col min="1" max="1" width="12.36328125" bestFit="1" customWidth="1"/>
    <col min="2" max="2" width="11.453125" bestFit="1" customWidth="1"/>
  </cols>
  <sheetData>
    <row r="1" spans="1:2" x14ac:dyDescent="0.35">
      <c r="A1" s="1" t="s">
        <v>0</v>
      </c>
      <c r="B1" t="s">
        <v>37</v>
      </c>
    </row>
    <row r="2" spans="1:2" x14ac:dyDescent="0.35">
      <c r="A2" s="2">
        <v>2021</v>
      </c>
      <c r="B2" s="6"/>
    </row>
    <row r="3" spans="1:2" x14ac:dyDescent="0.35">
      <c r="A3" s="3">
        <v>1</v>
      </c>
      <c r="B3" s="6">
        <v>0.14085517079887</v>
      </c>
    </row>
    <row r="4" spans="1:2" x14ac:dyDescent="0.35">
      <c r="A4" s="3">
        <v>2</v>
      </c>
      <c r="B4" s="6">
        <v>0.17562072520928973</v>
      </c>
    </row>
    <row r="5" spans="1:2" x14ac:dyDescent="0.35">
      <c r="A5" s="3">
        <v>3</v>
      </c>
      <c r="B5" s="6">
        <v>0.16655450526468371</v>
      </c>
    </row>
    <row r="6" spans="1:2" x14ac:dyDescent="0.35">
      <c r="A6" s="3">
        <v>4</v>
      </c>
      <c r="B6" s="6">
        <v>0.20124203159758816</v>
      </c>
    </row>
    <row r="7" spans="1:2" x14ac:dyDescent="0.35">
      <c r="A7" s="3">
        <v>5</v>
      </c>
      <c r="B7" s="6">
        <v>0.14457628439225592</v>
      </c>
    </row>
    <row r="8" spans="1:2" x14ac:dyDescent="0.35">
      <c r="A8" s="3">
        <v>6</v>
      </c>
      <c r="B8" s="6">
        <v>0.18398848813751462</v>
      </c>
    </row>
    <row r="9" spans="1:2" x14ac:dyDescent="0.35">
      <c r="A9" s="3">
        <v>7</v>
      </c>
      <c r="B9" s="6">
        <v>0.13931634427766054</v>
      </c>
    </row>
    <row r="10" spans="1:2" x14ac:dyDescent="0.35">
      <c r="A10" s="3">
        <v>8</v>
      </c>
      <c r="B10" s="6">
        <v>0.10761655487147971</v>
      </c>
    </row>
    <row r="11" spans="1:2" x14ac:dyDescent="0.35">
      <c r="A11" s="3">
        <v>9</v>
      </c>
      <c r="B11" s="6">
        <v>0.18796296983847288</v>
      </c>
    </row>
    <row r="12" spans="1:2" x14ac:dyDescent="0.35">
      <c r="A12" s="3">
        <v>10</v>
      </c>
      <c r="B12" s="6">
        <v>0.1779073917443619</v>
      </c>
    </row>
    <row r="13" spans="1:2" x14ac:dyDescent="0.35">
      <c r="A13" s="3">
        <v>11</v>
      </c>
      <c r="B13" s="6">
        <v>0.14227407651715038</v>
      </c>
    </row>
    <row r="14" spans="1:2" x14ac:dyDescent="0.35">
      <c r="A14" s="3">
        <v>12</v>
      </c>
      <c r="B14" s="6">
        <v>0.15457361769377737</v>
      </c>
    </row>
    <row r="15" spans="1:2" x14ac:dyDescent="0.35">
      <c r="A15" s="2">
        <v>2022</v>
      </c>
      <c r="B15" s="6"/>
    </row>
    <row r="16" spans="1:2" x14ac:dyDescent="0.35">
      <c r="A16" s="3">
        <v>1</v>
      </c>
      <c r="B16" s="6">
        <v>0.1931427951090722</v>
      </c>
    </row>
    <row r="17" spans="1:2" x14ac:dyDescent="0.35">
      <c r="A17" s="3">
        <v>2</v>
      </c>
      <c r="B17" s="6">
        <v>0.18093974772615617</v>
      </c>
    </row>
    <row r="18" spans="1:2" x14ac:dyDescent="0.35">
      <c r="A18" s="3">
        <v>3</v>
      </c>
      <c r="B18" s="6">
        <v>0.20044995187285911</v>
      </c>
    </row>
    <row r="19" spans="1:2" x14ac:dyDescent="0.35">
      <c r="A19" s="3">
        <v>4</v>
      </c>
      <c r="B19" s="6">
        <v>0.19667546006420242</v>
      </c>
    </row>
    <row r="20" spans="1:2" x14ac:dyDescent="0.35">
      <c r="A20" s="3">
        <v>5</v>
      </c>
      <c r="B20" s="6">
        <v>0.14089624053336836</v>
      </c>
    </row>
    <row r="21" spans="1:2" x14ac:dyDescent="0.35">
      <c r="A21" s="3">
        <v>6</v>
      </c>
      <c r="B21" s="6">
        <v>0.18660416107820715</v>
      </c>
    </row>
    <row r="22" spans="1:2" x14ac:dyDescent="0.35">
      <c r="A22" s="3">
        <v>7</v>
      </c>
      <c r="B22" s="6">
        <v>0.16787932706762973</v>
      </c>
    </row>
    <row r="23" spans="1:2" x14ac:dyDescent="0.35">
      <c r="A23" s="3">
        <v>8</v>
      </c>
      <c r="B23" s="6">
        <v>0.18853694612657212</v>
      </c>
    </row>
    <row r="24" spans="1:2" x14ac:dyDescent="0.35">
      <c r="A24" s="3">
        <v>9</v>
      </c>
      <c r="B24" s="6">
        <v>0.17944913017824762</v>
      </c>
    </row>
    <row r="25" spans="1:2" x14ac:dyDescent="0.35">
      <c r="A25" s="3">
        <v>10</v>
      </c>
      <c r="B25" s="6">
        <v>0.15481126008773044</v>
      </c>
    </row>
    <row r="26" spans="1:2" x14ac:dyDescent="0.35">
      <c r="A26" s="3">
        <v>11</v>
      </c>
      <c r="B26" s="6">
        <v>0.20580341817909298</v>
      </c>
    </row>
    <row r="27" spans="1:2" x14ac:dyDescent="0.35">
      <c r="A27" s="3">
        <v>12</v>
      </c>
      <c r="B27" s="6">
        <v>0.16700551341102166</v>
      </c>
    </row>
    <row r="28" spans="1:2" x14ac:dyDescent="0.35">
      <c r="A28" s="2" t="s">
        <v>1</v>
      </c>
      <c r="B28" s="6">
        <v>0.17166386090378216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FFABD-3001-4CFD-8961-7A3E9166A7E0}">
  <dimension ref="A1:N25"/>
  <sheetViews>
    <sheetView topLeftCell="A26" workbookViewId="0">
      <selection activeCell="M36" sqref="M36"/>
    </sheetView>
  </sheetViews>
  <sheetFormatPr defaultRowHeight="14.5" x14ac:dyDescent="0.35"/>
  <cols>
    <col min="1" max="1" width="21.54296875" bestFit="1" customWidth="1"/>
    <col min="2" max="2" width="15.26953125" bestFit="1" customWidth="1"/>
    <col min="3" max="13" width="7.90625" bestFit="1" customWidth="1"/>
    <col min="14" max="14" width="10.7265625" bestFit="1" customWidth="1"/>
    <col min="15" max="25" width="7.90625" bestFit="1" customWidth="1"/>
    <col min="26" max="26" width="10.7265625" bestFit="1" customWidth="1"/>
  </cols>
  <sheetData>
    <row r="1" spans="1:14" x14ac:dyDescent="0.35">
      <c r="A1" s="1" t="s">
        <v>13</v>
      </c>
      <c r="B1" s="1" t="s">
        <v>9</v>
      </c>
    </row>
    <row r="2" spans="1:14" x14ac:dyDescent="0.35">
      <c r="A2" s="1" t="s">
        <v>0</v>
      </c>
      <c r="B2">
        <v>1</v>
      </c>
      <c r="C2">
        <v>2</v>
      </c>
      <c r="D2">
        <v>3</v>
      </c>
      <c r="E2">
        <v>4</v>
      </c>
      <c r="F2">
        <v>5</v>
      </c>
      <c r="G2">
        <v>6</v>
      </c>
      <c r="H2">
        <v>7</v>
      </c>
      <c r="I2">
        <v>8</v>
      </c>
      <c r="J2">
        <v>9</v>
      </c>
      <c r="K2">
        <v>10</v>
      </c>
      <c r="L2">
        <v>11</v>
      </c>
      <c r="M2">
        <v>12</v>
      </c>
      <c r="N2" t="s">
        <v>1</v>
      </c>
    </row>
    <row r="3" spans="1:14" x14ac:dyDescent="0.35">
      <c r="A3" s="2" t="s">
        <v>38</v>
      </c>
      <c r="B3" s="4">
        <v>1061.369999999999</v>
      </c>
      <c r="C3" s="4">
        <v>918.49000000000069</v>
      </c>
      <c r="D3" s="4">
        <v>701.77000000000044</v>
      </c>
      <c r="E3" s="4">
        <v>822.72000000000025</v>
      </c>
      <c r="F3" s="4">
        <v>1013.1899999999996</v>
      </c>
      <c r="G3" s="4">
        <v>837.4399999999996</v>
      </c>
      <c r="H3" s="4">
        <v>1284.1800000000003</v>
      </c>
      <c r="I3" s="4">
        <v>1188.6599999999999</v>
      </c>
      <c r="J3" s="4">
        <v>1319.0599999999995</v>
      </c>
      <c r="K3" s="4">
        <v>848.55000000000109</v>
      </c>
      <c r="L3" s="4">
        <v>945.67000000000007</v>
      </c>
      <c r="M3" s="4">
        <v>888.93000000000211</v>
      </c>
      <c r="N3" s="4">
        <v>11830.029999999999</v>
      </c>
    </row>
    <row r="4" spans="1:14" x14ac:dyDescent="0.35">
      <c r="A4" s="2" t="s">
        <v>39</v>
      </c>
      <c r="B4" s="4">
        <v>3053.8499999999985</v>
      </c>
      <c r="C4" s="4">
        <v>2449.2199999999993</v>
      </c>
      <c r="D4" s="4">
        <v>1463.2199999999993</v>
      </c>
      <c r="E4" s="4">
        <v>1691.4300000000003</v>
      </c>
      <c r="F4" s="4">
        <v>1505.4100000000017</v>
      </c>
      <c r="G4" s="4">
        <v>2605.1800000000003</v>
      </c>
      <c r="H4" s="4">
        <v>1784.0300000000007</v>
      </c>
      <c r="I4" s="4">
        <v>1278.0900000000001</v>
      </c>
      <c r="J4" s="4">
        <v>2008.4399999999987</v>
      </c>
      <c r="K4" s="4">
        <v>2257.9799999999996</v>
      </c>
      <c r="L4" s="4">
        <v>1101.6000000000004</v>
      </c>
      <c r="M4" s="4">
        <v>1477.6399999999994</v>
      </c>
      <c r="N4" s="4">
        <v>22676.090000000026</v>
      </c>
    </row>
    <row r="5" spans="1:14" x14ac:dyDescent="0.35">
      <c r="A5" s="2" t="s">
        <v>40</v>
      </c>
      <c r="B5" s="4">
        <v>1364.3199999999997</v>
      </c>
      <c r="C5" s="4">
        <v>1258.3099999999986</v>
      </c>
      <c r="D5" s="4">
        <v>1387.2600000000002</v>
      </c>
      <c r="E5" s="4">
        <v>724.3799999999992</v>
      </c>
      <c r="F5" s="4">
        <v>1246.3100000000013</v>
      </c>
      <c r="G5" s="4">
        <v>1117.5100000000002</v>
      </c>
      <c r="H5" s="4">
        <v>1200.9600000000009</v>
      </c>
      <c r="I5" s="4">
        <v>1101.3300000000008</v>
      </c>
      <c r="J5" s="4">
        <v>1477.4799999999996</v>
      </c>
      <c r="K5" s="4">
        <v>612.04</v>
      </c>
      <c r="L5" s="4">
        <v>2268.2499999999982</v>
      </c>
      <c r="M5" s="4">
        <v>988.84000000000015</v>
      </c>
      <c r="N5" s="4">
        <v>14746.99000000002</v>
      </c>
    </row>
    <row r="6" spans="1:14" x14ac:dyDescent="0.35">
      <c r="A6" s="2" t="s">
        <v>41</v>
      </c>
      <c r="B6" s="4">
        <v>95.300000000000011</v>
      </c>
      <c r="C6" s="4">
        <v>197.64</v>
      </c>
      <c r="D6" s="4">
        <v>386.35999999999967</v>
      </c>
      <c r="E6" s="4">
        <v>369.57999999999993</v>
      </c>
      <c r="F6" s="4">
        <v>260.73999999999978</v>
      </c>
      <c r="G6" s="4">
        <v>399.90000000000009</v>
      </c>
      <c r="H6" s="4">
        <v>147.61999999999989</v>
      </c>
      <c r="I6" s="4">
        <v>425.40000000000055</v>
      </c>
      <c r="J6" s="4">
        <v>199.02999999999997</v>
      </c>
      <c r="K6" s="4">
        <v>114.19999999999999</v>
      </c>
      <c r="L6" s="4">
        <v>203.35000000000014</v>
      </c>
      <c r="M6" s="4">
        <v>285.6099999999999</v>
      </c>
      <c r="N6" s="4">
        <v>3084.7299999999959</v>
      </c>
    </row>
    <row r="7" spans="1:14" x14ac:dyDescent="0.35">
      <c r="A7" s="2" t="s">
        <v>42</v>
      </c>
      <c r="B7" s="4">
        <v>1482.12</v>
      </c>
      <c r="C7" s="4">
        <v>692.63999999999987</v>
      </c>
      <c r="D7" s="4">
        <v>1241.04</v>
      </c>
      <c r="E7" s="4">
        <v>1689.0000000000009</v>
      </c>
      <c r="F7" s="4">
        <v>358.79999999999995</v>
      </c>
      <c r="G7" s="4">
        <v>694.67999999999984</v>
      </c>
      <c r="H7" s="4">
        <v>957</v>
      </c>
      <c r="I7" s="4">
        <v>1525.92</v>
      </c>
      <c r="J7" s="4">
        <v>1480.8000000000002</v>
      </c>
      <c r="K7" s="4">
        <v>1825.92</v>
      </c>
      <c r="L7" s="4">
        <v>2299.2000000000007</v>
      </c>
      <c r="M7" s="4">
        <v>2322.9599999999991</v>
      </c>
      <c r="N7" s="4">
        <v>16570.079999999987</v>
      </c>
    </row>
    <row r="8" spans="1:14" x14ac:dyDescent="0.35">
      <c r="A8" s="2" t="s">
        <v>1</v>
      </c>
      <c r="B8" s="4">
        <v>7056.9599999999991</v>
      </c>
      <c r="C8" s="4">
        <v>5516.3000000000029</v>
      </c>
      <c r="D8" s="4">
        <v>5179.6499999999942</v>
      </c>
      <c r="E8" s="4">
        <v>5297.1100000000042</v>
      </c>
      <c r="F8" s="4">
        <v>4384.4500000000007</v>
      </c>
      <c r="G8" s="4">
        <v>5654.7099999999991</v>
      </c>
      <c r="H8" s="4">
        <v>5373.7899999999936</v>
      </c>
      <c r="I8" s="4">
        <v>5519.3999999999942</v>
      </c>
      <c r="J8" s="4">
        <v>6484.8099999999977</v>
      </c>
      <c r="K8" s="4">
        <v>5658.6900000000023</v>
      </c>
      <c r="L8" s="4">
        <v>6818.07</v>
      </c>
      <c r="M8" s="4">
        <v>5963.9800000000032</v>
      </c>
      <c r="N8" s="4">
        <v>68907.920000000158</v>
      </c>
    </row>
    <row r="19" spans="1:13" x14ac:dyDescent="0.35">
      <c r="A19" t="str">
        <f t="shared" ref="A19:M19" si="0">A2</f>
        <v>Row Labels</v>
      </c>
      <c r="B19">
        <f t="shared" si="0"/>
        <v>1</v>
      </c>
      <c r="C19">
        <f t="shared" si="0"/>
        <v>2</v>
      </c>
      <c r="D19">
        <f t="shared" si="0"/>
        <v>3</v>
      </c>
      <c r="E19">
        <f t="shared" si="0"/>
        <v>4</v>
      </c>
      <c r="F19">
        <f t="shared" si="0"/>
        <v>5</v>
      </c>
      <c r="G19">
        <f t="shared" si="0"/>
        <v>6</v>
      </c>
      <c r="H19">
        <f t="shared" si="0"/>
        <v>7</v>
      </c>
      <c r="I19">
        <f t="shared" si="0"/>
        <v>8</v>
      </c>
      <c r="J19">
        <f t="shared" si="0"/>
        <v>9</v>
      </c>
      <c r="K19">
        <f t="shared" si="0"/>
        <v>10</v>
      </c>
      <c r="L19">
        <f t="shared" si="0"/>
        <v>11</v>
      </c>
      <c r="M19">
        <f t="shared" si="0"/>
        <v>12</v>
      </c>
    </row>
    <row r="20" spans="1:13" x14ac:dyDescent="0.35">
      <c r="A20" t="str">
        <f t="shared" ref="A20:M20" si="1">A3</f>
        <v>Cheap 47-87</v>
      </c>
      <c r="B20" s="4">
        <f t="shared" si="1"/>
        <v>1061.369999999999</v>
      </c>
      <c r="C20" s="4">
        <f t="shared" si="1"/>
        <v>918.49000000000069</v>
      </c>
      <c r="D20" s="4">
        <f t="shared" si="1"/>
        <v>701.77000000000044</v>
      </c>
      <c r="E20" s="4">
        <f t="shared" si="1"/>
        <v>822.72000000000025</v>
      </c>
      <c r="F20" s="4">
        <f t="shared" si="1"/>
        <v>1013.1899999999996</v>
      </c>
      <c r="G20" s="4">
        <f t="shared" si="1"/>
        <v>837.4399999999996</v>
      </c>
      <c r="H20" s="4">
        <f t="shared" si="1"/>
        <v>1284.1800000000003</v>
      </c>
      <c r="I20" s="4">
        <f t="shared" si="1"/>
        <v>1188.6599999999999</v>
      </c>
      <c r="J20" s="4">
        <f t="shared" si="1"/>
        <v>1319.0599999999995</v>
      </c>
      <c r="K20" s="4">
        <f t="shared" si="1"/>
        <v>848.55000000000109</v>
      </c>
      <c r="L20" s="4">
        <f t="shared" si="1"/>
        <v>945.67000000000007</v>
      </c>
      <c r="M20" s="4">
        <f t="shared" si="1"/>
        <v>888.93000000000211</v>
      </c>
    </row>
    <row r="21" spans="1:13" x14ac:dyDescent="0.35">
      <c r="A21" t="str">
        <f t="shared" ref="A21:M21" si="2">A4</f>
        <v>Expensive 129-169</v>
      </c>
      <c r="B21" s="4">
        <f t="shared" si="2"/>
        <v>3053.8499999999985</v>
      </c>
      <c r="C21" s="4">
        <f t="shared" si="2"/>
        <v>2449.2199999999993</v>
      </c>
      <c r="D21" s="4">
        <f t="shared" si="2"/>
        <v>1463.2199999999993</v>
      </c>
      <c r="E21" s="4">
        <f t="shared" si="2"/>
        <v>1691.4300000000003</v>
      </c>
      <c r="F21" s="4">
        <f t="shared" si="2"/>
        <v>1505.4100000000017</v>
      </c>
      <c r="G21" s="4">
        <f t="shared" si="2"/>
        <v>2605.1800000000003</v>
      </c>
      <c r="H21" s="4">
        <f t="shared" si="2"/>
        <v>1784.0300000000007</v>
      </c>
      <c r="I21" s="4">
        <f t="shared" si="2"/>
        <v>1278.0900000000001</v>
      </c>
      <c r="J21" s="4">
        <f t="shared" si="2"/>
        <v>2008.4399999999987</v>
      </c>
      <c r="K21" s="4">
        <f t="shared" si="2"/>
        <v>2257.9799999999996</v>
      </c>
      <c r="L21" s="4">
        <f t="shared" si="2"/>
        <v>1101.6000000000004</v>
      </c>
      <c r="M21" s="4">
        <f t="shared" si="2"/>
        <v>1477.6399999999994</v>
      </c>
    </row>
    <row r="22" spans="1:13" x14ac:dyDescent="0.35">
      <c r="A22" t="str">
        <f t="shared" ref="A22:M22" si="3">A5</f>
        <v>Moderate 88-128</v>
      </c>
      <c r="B22" s="4">
        <f t="shared" si="3"/>
        <v>1364.3199999999997</v>
      </c>
      <c r="C22" s="4">
        <f t="shared" si="3"/>
        <v>1258.3099999999986</v>
      </c>
      <c r="D22" s="4">
        <f t="shared" si="3"/>
        <v>1387.2600000000002</v>
      </c>
      <c r="E22" s="4">
        <f t="shared" si="3"/>
        <v>724.3799999999992</v>
      </c>
      <c r="F22" s="4">
        <f t="shared" si="3"/>
        <v>1246.3100000000013</v>
      </c>
      <c r="G22" s="4">
        <f t="shared" si="3"/>
        <v>1117.5100000000002</v>
      </c>
      <c r="H22" s="4">
        <f t="shared" si="3"/>
        <v>1200.9600000000009</v>
      </c>
      <c r="I22" s="4">
        <f t="shared" si="3"/>
        <v>1101.3300000000008</v>
      </c>
      <c r="J22" s="4">
        <f t="shared" si="3"/>
        <v>1477.4799999999996</v>
      </c>
      <c r="K22" s="4">
        <f t="shared" si="3"/>
        <v>612.04</v>
      </c>
      <c r="L22" s="4">
        <f t="shared" si="3"/>
        <v>2268.2499999999982</v>
      </c>
      <c r="M22" s="4">
        <f t="shared" si="3"/>
        <v>988.84000000000015</v>
      </c>
    </row>
    <row r="23" spans="1:13" x14ac:dyDescent="0.35">
      <c r="A23" t="str">
        <f t="shared" ref="A23:M23" si="4">A6</f>
        <v>Very Cheap 6-46</v>
      </c>
      <c r="B23" s="4">
        <f t="shared" si="4"/>
        <v>95.300000000000011</v>
      </c>
      <c r="C23" s="4">
        <f t="shared" si="4"/>
        <v>197.64</v>
      </c>
      <c r="D23" s="4">
        <f t="shared" si="4"/>
        <v>386.35999999999967</v>
      </c>
      <c r="E23" s="4">
        <f t="shared" si="4"/>
        <v>369.57999999999993</v>
      </c>
      <c r="F23" s="4">
        <f t="shared" si="4"/>
        <v>260.73999999999978</v>
      </c>
      <c r="G23" s="4">
        <f t="shared" si="4"/>
        <v>399.90000000000009</v>
      </c>
      <c r="H23" s="4">
        <f t="shared" si="4"/>
        <v>147.61999999999989</v>
      </c>
      <c r="I23" s="4">
        <f t="shared" si="4"/>
        <v>425.40000000000055</v>
      </c>
      <c r="J23" s="4">
        <f t="shared" si="4"/>
        <v>199.02999999999997</v>
      </c>
      <c r="K23" s="4">
        <f t="shared" si="4"/>
        <v>114.19999999999999</v>
      </c>
      <c r="L23" s="4">
        <f t="shared" si="4"/>
        <v>203.35000000000014</v>
      </c>
      <c r="M23" s="4">
        <f t="shared" si="4"/>
        <v>285.6099999999999</v>
      </c>
    </row>
    <row r="24" spans="1:13" x14ac:dyDescent="0.35">
      <c r="A24" t="str">
        <f t="shared" ref="A24:M24" si="5">A7</f>
        <v>Very Expensive 170-MAX</v>
      </c>
      <c r="B24" s="4">
        <f t="shared" si="5"/>
        <v>1482.12</v>
      </c>
      <c r="C24" s="4">
        <f t="shared" si="5"/>
        <v>692.63999999999987</v>
      </c>
      <c r="D24" s="4">
        <f t="shared" si="5"/>
        <v>1241.04</v>
      </c>
      <c r="E24" s="4">
        <f t="shared" si="5"/>
        <v>1689.0000000000009</v>
      </c>
      <c r="F24" s="4">
        <f t="shared" si="5"/>
        <v>358.79999999999995</v>
      </c>
      <c r="G24" s="4">
        <f t="shared" si="5"/>
        <v>694.67999999999984</v>
      </c>
      <c r="H24" s="4">
        <f t="shared" si="5"/>
        <v>957</v>
      </c>
      <c r="I24" s="4">
        <f t="shared" si="5"/>
        <v>1525.92</v>
      </c>
      <c r="J24" s="4">
        <f t="shared" si="5"/>
        <v>1480.8000000000002</v>
      </c>
      <c r="K24" s="4">
        <f t="shared" si="5"/>
        <v>1825.92</v>
      </c>
      <c r="L24" s="4">
        <f t="shared" si="5"/>
        <v>2299.2000000000007</v>
      </c>
      <c r="M24" s="4">
        <f t="shared" si="5"/>
        <v>2322.9599999999991</v>
      </c>
    </row>
    <row r="25" spans="1:13" x14ac:dyDescent="0.35">
      <c r="A25" t="str">
        <f t="shared" ref="A25:M25" si="6">A8</f>
        <v>Grand Total</v>
      </c>
      <c r="B25" s="4">
        <f t="shared" si="6"/>
        <v>7056.9599999999991</v>
      </c>
      <c r="C25" s="4">
        <f t="shared" si="6"/>
        <v>5516.3000000000029</v>
      </c>
      <c r="D25" s="4">
        <f t="shared" si="6"/>
        <v>5179.6499999999942</v>
      </c>
      <c r="E25" s="4">
        <f t="shared" si="6"/>
        <v>5297.1100000000042</v>
      </c>
      <c r="F25" s="4">
        <f t="shared" si="6"/>
        <v>4384.4500000000007</v>
      </c>
      <c r="G25" s="4">
        <f t="shared" si="6"/>
        <v>5654.7099999999991</v>
      </c>
      <c r="H25" s="4">
        <f t="shared" si="6"/>
        <v>5373.7899999999936</v>
      </c>
      <c r="I25" s="4">
        <f t="shared" si="6"/>
        <v>5519.3999999999942</v>
      </c>
      <c r="J25" s="4">
        <f t="shared" si="6"/>
        <v>6484.8099999999977</v>
      </c>
      <c r="K25" s="4">
        <f t="shared" si="6"/>
        <v>5658.6900000000023</v>
      </c>
      <c r="L25" s="4">
        <f t="shared" si="6"/>
        <v>6818.07</v>
      </c>
      <c r="M25" s="4">
        <f t="shared" si="6"/>
        <v>5963.9800000000032</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4D883-A6DC-4419-808F-441C91EC3277}">
  <dimension ref="A1:N42"/>
  <sheetViews>
    <sheetView topLeftCell="G36" workbookViewId="0">
      <selection activeCell="K57" sqref="K57"/>
    </sheetView>
  </sheetViews>
  <sheetFormatPr defaultRowHeight="14.5" x14ac:dyDescent="0.35"/>
  <cols>
    <col min="1" max="1" width="25.453125" bestFit="1" customWidth="1"/>
    <col min="2" max="2" width="15.26953125" bestFit="1" customWidth="1"/>
    <col min="3" max="13" width="7.90625" bestFit="1" customWidth="1"/>
    <col min="14" max="14" width="10.7265625" bestFit="1" customWidth="1"/>
  </cols>
  <sheetData>
    <row r="1" spans="1:14" x14ac:dyDescent="0.35">
      <c r="A1" s="1" t="s">
        <v>13</v>
      </c>
      <c r="B1" s="1" t="s">
        <v>9</v>
      </c>
    </row>
    <row r="2" spans="1:14" x14ac:dyDescent="0.35">
      <c r="A2" s="1" t="s">
        <v>0</v>
      </c>
      <c r="B2">
        <v>1</v>
      </c>
      <c r="C2">
        <v>2</v>
      </c>
      <c r="D2">
        <v>3</v>
      </c>
      <c r="E2">
        <v>4</v>
      </c>
      <c r="F2">
        <v>5</v>
      </c>
      <c r="G2">
        <v>6</v>
      </c>
      <c r="H2">
        <v>7</v>
      </c>
      <c r="I2">
        <v>8</v>
      </c>
      <c r="J2">
        <v>9</v>
      </c>
      <c r="K2">
        <v>10</v>
      </c>
      <c r="L2">
        <v>11</v>
      </c>
      <c r="M2">
        <v>12</v>
      </c>
      <c r="N2" t="s">
        <v>1</v>
      </c>
    </row>
    <row r="3" spans="1:14" x14ac:dyDescent="0.35">
      <c r="A3" s="2" t="s">
        <v>16</v>
      </c>
      <c r="B3" s="4">
        <v>2229.6799999999985</v>
      </c>
      <c r="C3" s="4">
        <v>613.72000000000025</v>
      </c>
      <c r="D3" s="4">
        <v>934.13999999999942</v>
      </c>
      <c r="E3" s="4">
        <v>1067.7600000000002</v>
      </c>
      <c r="F3" s="4">
        <v>971.27999999999975</v>
      </c>
      <c r="G3" s="4">
        <v>1602.8400000000001</v>
      </c>
      <c r="H3" s="4">
        <v>1653.9599999999991</v>
      </c>
      <c r="I3" s="4">
        <v>526.19999999999982</v>
      </c>
      <c r="J3" s="4">
        <v>2360.3600000000006</v>
      </c>
      <c r="K3" s="4">
        <v>669.60000000000036</v>
      </c>
      <c r="L3" s="4">
        <v>1770.6900000000005</v>
      </c>
      <c r="M3" s="4">
        <v>2262.9599999999973</v>
      </c>
      <c r="N3" s="4">
        <v>16663.189999999973</v>
      </c>
    </row>
    <row r="4" spans="1:14" x14ac:dyDescent="0.35">
      <c r="A4" s="2" t="s">
        <v>17</v>
      </c>
      <c r="B4" s="4">
        <v>757.70000000000073</v>
      </c>
      <c r="C4" s="4">
        <v>1824.4400000000023</v>
      </c>
      <c r="D4" s="4">
        <v>566.81999999999971</v>
      </c>
      <c r="E4" s="4">
        <v>736.84999999999945</v>
      </c>
      <c r="F4" s="4">
        <v>854.70000000000073</v>
      </c>
      <c r="G4" s="4">
        <v>883.45000000000073</v>
      </c>
      <c r="H4" s="4">
        <v>1112.3199999999988</v>
      </c>
      <c r="I4" s="4">
        <v>653.43000000000029</v>
      </c>
      <c r="J4" s="4">
        <v>828.79999999999927</v>
      </c>
      <c r="K4" s="4">
        <v>873.10999999999967</v>
      </c>
      <c r="L4" s="4">
        <v>387.47000000000025</v>
      </c>
      <c r="M4" s="4">
        <v>506.86000000000058</v>
      </c>
      <c r="N4" s="4">
        <v>9985.9499999999971</v>
      </c>
    </row>
    <row r="5" spans="1:14" x14ac:dyDescent="0.35">
      <c r="A5" s="2" t="s">
        <v>18</v>
      </c>
      <c r="B5" s="4">
        <v>558.44999999999982</v>
      </c>
      <c r="C5" s="4">
        <v>121.26999999999998</v>
      </c>
      <c r="D5" s="4">
        <v>723.18000000000029</v>
      </c>
      <c r="E5" s="4">
        <v>287.98</v>
      </c>
      <c r="F5" s="4">
        <v>696.22000000000025</v>
      </c>
      <c r="G5" s="4">
        <v>1301.8599999999988</v>
      </c>
      <c r="H5" s="4">
        <v>267.73999999999978</v>
      </c>
      <c r="I5" s="4">
        <v>1081.9300000000003</v>
      </c>
      <c r="J5" s="4">
        <v>502.39000000000033</v>
      </c>
      <c r="K5" s="4">
        <v>1052.1599999999999</v>
      </c>
      <c r="L5" s="4">
        <v>259.25</v>
      </c>
      <c r="M5" s="4">
        <v>266.07999999999993</v>
      </c>
      <c r="N5" s="4">
        <v>7118.5100000000093</v>
      </c>
    </row>
    <row r="6" spans="1:14" x14ac:dyDescent="0.35">
      <c r="A6" s="2" t="s">
        <v>19</v>
      </c>
      <c r="B6" s="4">
        <v>1895.6399999999994</v>
      </c>
      <c r="C6" s="4">
        <v>1321.2599999999984</v>
      </c>
      <c r="D6" s="4">
        <v>659.25999999999976</v>
      </c>
      <c r="E6" s="4">
        <v>1724.9499999999998</v>
      </c>
      <c r="F6" s="4">
        <v>1197.3300000000017</v>
      </c>
      <c r="G6" s="4">
        <v>1111.5000000000009</v>
      </c>
      <c r="H6" s="4">
        <v>786.39999999999964</v>
      </c>
      <c r="I6" s="4">
        <v>1279.6499999999996</v>
      </c>
      <c r="J6" s="4">
        <v>1183.9799999999996</v>
      </c>
      <c r="K6" s="4">
        <v>1770</v>
      </c>
      <c r="L6" s="4">
        <v>2867.1199999999972</v>
      </c>
      <c r="M6" s="4">
        <v>1751.7800000000007</v>
      </c>
      <c r="N6" s="4">
        <v>17548.869999999995</v>
      </c>
    </row>
    <row r="7" spans="1:14" x14ac:dyDescent="0.35">
      <c r="A7" s="2" t="s">
        <v>20</v>
      </c>
      <c r="B7" s="4">
        <v>1615.4899999999998</v>
      </c>
      <c r="C7" s="4">
        <v>1635.6099999999988</v>
      </c>
      <c r="D7" s="4">
        <v>2296.25</v>
      </c>
      <c r="E7" s="4">
        <v>1479.5699999999988</v>
      </c>
      <c r="F7" s="4">
        <v>664.92000000000007</v>
      </c>
      <c r="G7" s="4">
        <v>755.05999999999949</v>
      </c>
      <c r="H7" s="4">
        <v>1553.3700000000008</v>
      </c>
      <c r="I7" s="4">
        <v>1978.1899999999987</v>
      </c>
      <c r="J7" s="4">
        <v>1609.2800000000007</v>
      </c>
      <c r="K7" s="4">
        <v>1293.8199999999997</v>
      </c>
      <c r="L7" s="4">
        <v>1533.5400000000009</v>
      </c>
      <c r="M7" s="4">
        <v>1176.2999999999993</v>
      </c>
      <c r="N7" s="4">
        <v>17591.400000000009</v>
      </c>
    </row>
    <row r="8" spans="1:14" x14ac:dyDescent="0.35">
      <c r="A8" s="2" t="s">
        <v>1</v>
      </c>
      <c r="B8" s="4">
        <v>7056.9599999999991</v>
      </c>
      <c r="C8" s="4">
        <v>5516.3000000000029</v>
      </c>
      <c r="D8" s="4">
        <v>5179.6499999999942</v>
      </c>
      <c r="E8" s="4">
        <v>5297.1100000000042</v>
      </c>
      <c r="F8" s="4">
        <v>4384.4500000000007</v>
      </c>
      <c r="G8" s="4">
        <v>5654.7099999999991</v>
      </c>
      <c r="H8" s="4">
        <v>5373.7899999999936</v>
      </c>
      <c r="I8" s="4">
        <v>5519.3999999999942</v>
      </c>
      <c r="J8" s="4">
        <v>6484.8099999999977</v>
      </c>
      <c r="K8" s="4">
        <v>5658.6900000000023</v>
      </c>
      <c r="L8" s="4">
        <v>6818.07</v>
      </c>
      <c r="M8" s="4">
        <v>5963.9800000000032</v>
      </c>
      <c r="N8" s="4">
        <v>68907.920000000158</v>
      </c>
    </row>
    <row r="36" spans="1:13" x14ac:dyDescent="0.35">
      <c r="A36" t="str">
        <f t="shared" ref="A36:M36" si="0">A2</f>
        <v>Row Labels</v>
      </c>
      <c r="B36">
        <f t="shared" si="0"/>
        <v>1</v>
      </c>
      <c r="C36">
        <f t="shared" si="0"/>
        <v>2</v>
      </c>
      <c r="D36">
        <f t="shared" si="0"/>
        <v>3</v>
      </c>
      <c r="E36">
        <f t="shared" si="0"/>
        <v>4</v>
      </c>
      <c r="F36">
        <f t="shared" si="0"/>
        <v>5</v>
      </c>
      <c r="G36">
        <f t="shared" si="0"/>
        <v>6</v>
      </c>
      <c r="H36">
        <f t="shared" si="0"/>
        <v>7</v>
      </c>
      <c r="I36">
        <f t="shared" si="0"/>
        <v>8</v>
      </c>
      <c r="J36">
        <f t="shared" si="0"/>
        <v>9</v>
      </c>
      <c r="K36">
        <f t="shared" si="0"/>
        <v>10</v>
      </c>
      <c r="L36">
        <f t="shared" si="0"/>
        <v>11</v>
      </c>
      <c r="M36">
        <f t="shared" si="0"/>
        <v>12</v>
      </c>
    </row>
    <row r="37" spans="1:13" x14ac:dyDescent="0.35">
      <c r="A37" t="str">
        <f t="shared" ref="A37:M37" si="1">A3</f>
        <v>Agriculture &amp; Animal Feed</v>
      </c>
      <c r="B37" s="4">
        <f t="shared" si="1"/>
        <v>2229.6799999999985</v>
      </c>
      <c r="C37" s="4">
        <f t="shared" si="1"/>
        <v>613.72000000000025</v>
      </c>
      <c r="D37" s="4">
        <f t="shared" si="1"/>
        <v>934.13999999999942</v>
      </c>
      <c r="E37" s="4">
        <f t="shared" si="1"/>
        <v>1067.7600000000002</v>
      </c>
      <c r="F37" s="4">
        <f t="shared" si="1"/>
        <v>971.27999999999975</v>
      </c>
      <c r="G37" s="4">
        <f t="shared" si="1"/>
        <v>1602.8400000000001</v>
      </c>
      <c r="H37" s="4">
        <f t="shared" si="1"/>
        <v>1653.9599999999991</v>
      </c>
      <c r="I37" s="4">
        <f t="shared" si="1"/>
        <v>526.19999999999982</v>
      </c>
      <c r="J37" s="4">
        <f t="shared" si="1"/>
        <v>2360.3600000000006</v>
      </c>
      <c r="K37" s="4">
        <f t="shared" si="1"/>
        <v>669.60000000000036</v>
      </c>
      <c r="L37" s="4">
        <f t="shared" si="1"/>
        <v>1770.6900000000005</v>
      </c>
      <c r="M37" s="4">
        <f t="shared" si="1"/>
        <v>2262.9599999999973</v>
      </c>
    </row>
    <row r="38" spans="1:13" x14ac:dyDescent="0.35">
      <c r="A38" t="str">
        <f t="shared" ref="A38:M38" si="2">A4</f>
        <v>Basic Food and Fresh Goods</v>
      </c>
      <c r="B38" s="4">
        <f t="shared" si="2"/>
        <v>757.70000000000073</v>
      </c>
      <c r="C38" s="4">
        <f t="shared" si="2"/>
        <v>1824.4400000000023</v>
      </c>
      <c r="D38" s="4">
        <f t="shared" si="2"/>
        <v>566.81999999999971</v>
      </c>
      <c r="E38" s="4">
        <f t="shared" si="2"/>
        <v>736.84999999999945</v>
      </c>
      <c r="F38" s="4">
        <f t="shared" si="2"/>
        <v>854.70000000000073</v>
      </c>
      <c r="G38" s="4">
        <f t="shared" si="2"/>
        <v>883.45000000000073</v>
      </c>
      <c r="H38" s="4">
        <f t="shared" si="2"/>
        <v>1112.3199999999988</v>
      </c>
      <c r="I38" s="4">
        <f t="shared" si="2"/>
        <v>653.43000000000029</v>
      </c>
      <c r="J38" s="4">
        <f t="shared" si="2"/>
        <v>828.79999999999927</v>
      </c>
      <c r="K38" s="4">
        <f t="shared" si="2"/>
        <v>873.10999999999967</v>
      </c>
      <c r="L38" s="4">
        <f t="shared" si="2"/>
        <v>387.47000000000025</v>
      </c>
      <c r="M38" s="4">
        <f t="shared" si="2"/>
        <v>506.86000000000058</v>
      </c>
    </row>
    <row r="39" spans="1:13" x14ac:dyDescent="0.35">
      <c r="A39" t="str">
        <f t="shared" ref="A39:M39" si="3">A5</f>
        <v>Beverages &amp; Packaged Goods</v>
      </c>
      <c r="B39" s="4">
        <f t="shared" si="3"/>
        <v>558.44999999999982</v>
      </c>
      <c r="C39" s="4">
        <f t="shared" si="3"/>
        <v>121.26999999999998</v>
      </c>
      <c r="D39" s="4">
        <f t="shared" si="3"/>
        <v>723.18000000000029</v>
      </c>
      <c r="E39" s="4">
        <f t="shared" si="3"/>
        <v>287.98</v>
      </c>
      <c r="F39" s="4">
        <f t="shared" si="3"/>
        <v>696.22000000000025</v>
      </c>
      <c r="G39" s="4">
        <f t="shared" si="3"/>
        <v>1301.8599999999988</v>
      </c>
      <c r="H39" s="4">
        <f t="shared" si="3"/>
        <v>267.73999999999978</v>
      </c>
      <c r="I39" s="4">
        <f t="shared" si="3"/>
        <v>1081.9300000000003</v>
      </c>
      <c r="J39" s="4">
        <f t="shared" si="3"/>
        <v>502.39000000000033</v>
      </c>
      <c r="K39" s="4">
        <f t="shared" si="3"/>
        <v>1052.1599999999999</v>
      </c>
      <c r="L39" s="4">
        <f t="shared" si="3"/>
        <v>259.25</v>
      </c>
      <c r="M39" s="4">
        <f t="shared" si="3"/>
        <v>266.07999999999993</v>
      </c>
    </row>
    <row r="40" spans="1:13" x14ac:dyDescent="0.35">
      <c r="A40" t="str">
        <f t="shared" ref="A40:M40" si="4">A6</f>
        <v>Household Supplies</v>
      </c>
      <c r="B40" s="4">
        <f t="shared" si="4"/>
        <v>1895.6399999999994</v>
      </c>
      <c r="C40" s="4">
        <f t="shared" si="4"/>
        <v>1321.2599999999984</v>
      </c>
      <c r="D40" s="4">
        <f t="shared" si="4"/>
        <v>659.25999999999976</v>
      </c>
      <c r="E40" s="4">
        <f t="shared" si="4"/>
        <v>1724.9499999999998</v>
      </c>
      <c r="F40" s="4">
        <f t="shared" si="4"/>
        <v>1197.3300000000017</v>
      </c>
      <c r="G40" s="4">
        <f t="shared" si="4"/>
        <v>1111.5000000000009</v>
      </c>
      <c r="H40" s="4">
        <f t="shared" si="4"/>
        <v>786.39999999999964</v>
      </c>
      <c r="I40" s="4">
        <f t="shared" si="4"/>
        <v>1279.6499999999996</v>
      </c>
      <c r="J40" s="4">
        <f t="shared" si="4"/>
        <v>1183.9799999999996</v>
      </c>
      <c r="K40" s="4">
        <f t="shared" si="4"/>
        <v>1770</v>
      </c>
      <c r="L40" s="4">
        <f t="shared" si="4"/>
        <v>2867.1199999999972</v>
      </c>
      <c r="M40" s="4">
        <f t="shared" si="4"/>
        <v>1751.7800000000007</v>
      </c>
    </row>
    <row r="41" spans="1:13" x14ac:dyDescent="0.35">
      <c r="A41" t="str">
        <f t="shared" ref="A41:M41" si="5">A7</f>
        <v>Tools &amp; Technical Equipment</v>
      </c>
      <c r="B41" s="4">
        <f t="shared" si="5"/>
        <v>1615.4899999999998</v>
      </c>
      <c r="C41" s="4">
        <f t="shared" si="5"/>
        <v>1635.6099999999988</v>
      </c>
      <c r="D41" s="4">
        <f t="shared" si="5"/>
        <v>2296.25</v>
      </c>
      <c r="E41" s="4">
        <f t="shared" si="5"/>
        <v>1479.5699999999988</v>
      </c>
      <c r="F41" s="4">
        <f t="shared" si="5"/>
        <v>664.92000000000007</v>
      </c>
      <c r="G41" s="4">
        <f t="shared" si="5"/>
        <v>755.05999999999949</v>
      </c>
      <c r="H41" s="4">
        <f t="shared" si="5"/>
        <v>1553.3700000000008</v>
      </c>
      <c r="I41" s="4">
        <f t="shared" si="5"/>
        <v>1978.1899999999987</v>
      </c>
      <c r="J41" s="4">
        <f t="shared" si="5"/>
        <v>1609.2800000000007</v>
      </c>
      <c r="K41" s="4">
        <f t="shared" si="5"/>
        <v>1293.8199999999997</v>
      </c>
      <c r="L41" s="4">
        <f t="shared" si="5"/>
        <v>1533.5400000000009</v>
      </c>
      <c r="M41" s="4">
        <f t="shared" si="5"/>
        <v>1176.2999999999993</v>
      </c>
    </row>
    <row r="42" spans="1:13" x14ac:dyDescent="0.35">
      <c r="A42" t="str">
        <f t="shared" ref="A42:M42" si="6">A8</f>
        <v>Grand Total</v>
      </c>
      <c r="B42" s="4">
        <f t="shared" si="6"/>
        <v>7056.9599999999991</v>
      </c>
      <c r="C42" s="4">
        <f t="shared" si="6"/>
        <v>5516.3000000000029</v>
      </c>
      <c r="D42" s="4">
        <f t="shared" si="6"/>
        <v>5179.6499999999942</v>
      </c>
      <c r="E42" s="4">
        <f t="shared" si="6"/>
        <v>5297.1100000000042</v>
      </c>
      <c r="F42" s="4">
        <f t="shared" si="6"/>
        <v>4384.4500000000007</v>
      </c>
      <c r="G42" s="4">
        <f t="shared" si="6"/>
        <v>5654.7099999999991</v>
      </c>
      <c r="H42" s="4">
        <f t="shared" si="6"/>
        <v>5373.7899999999936</v>
      </c>
      <c r="I42" s="4">
        <f t="shared" si="6"/>
        <v>5519.3999999999942</v>
      </c>
      <c r="J42" s="4">
        <f t="shared" si="6"/>
        <v>6484.8099999999977</v>
      </c>
      <c r="K42" s="4">
        <f t="shared" si="6"/>
        <v>5658.6900000000023</v>
      </c>
      <c r="L42" s="4">
        <f t="shared" si="6"/>
        <v>6818.07</v>
      </c>
      <c r="M42" s="4">
        <f t="shared" si="6"/>
        <v>5963.9800000000032</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7CA4-4413-4354-92B3-EC3A692A947F}">
  <dimension ref="A1:E15"/>
  <sheetViews>
    <sheetView workbookViewId="0">
      <selection activeCell="I15" sqref="I15"/>
    </sheetView>
  </sheetViews>
  <sheetFormatPr defaultRowHeight="14.5" x14ac:dyDescent="0.35"/>
  <cols>
    <col min="1" max="1" width="12.36328125" bestFit="1" customWidth="1"/>
    <col min="2" max="2" width="15.26953125" bestFit="1" customWidth="1"/>
    <col min="3" max="3" width="8.90625" bestFit="1" customWidth="1"/>
    <col min="4" max="4" width="10.26953125" bestFit="1" customWidth="1"/>
    <col min="5" max="5" width="10.7265625" bestFit="1" customWidth="1"/>
    <col min="6" max="12" width="15.26953125" bestFit="1" customWidth="1"/>
    <col min="13" max="14" width="10.7265625" bestFit="1" customWidth="1"/>
  </cols>
  <sheetData>
    <row r="1" spans="1:5" x14ac:dyDescent="0.35">
      <c r="A1" s="1" t="s">
        <v>13</v>
      </c>
      <c r="B1" s="1" t="s">
        <v>9</v>
      </c>
    </row>
    <row r="2" spans="1:5" x14ac:dyDescent="0.35">
      <c r="A2" s="1" t="s">
        <v>0</v>
      </c>
      <c r="B2" t="s">
        <v>35</v>
      </c>
      <c r="C2" t="s">
        <v>34</v>
      </c>
      <c r="D2" t="s">
        <v>36</v>
      </c>
      <c r="E2" t="s">
        <v>1</v>
      </c>
    </row>
    <row r="3" spans="1:5" x14ac:dyDescent="0.35">
      <c r="A3" s="2">
        <v>1</v>
      </c>
      <c r="B3" s="4">
        <v>3319.7399999999943</v>
      </c>
      <c r="C3" s="4">
        <v>2778.3899999999994</v>
      </c>
      <c r="D3" s="4">
        <v>958.82999999999902</v>
      </c>
      <c r="E3" s="4">
        <v>7056.9599999999991</v>
      </c>
    </row>
    <row r="4" spans="1:5" x14ac:dyDescent="0.35">
      <c r="A4" s="2">
        <v>2</v>
      </c>
      <c r="B4" s="4">
        <v>2489.6800000000003</v>
      </c>
      <c r="C4" s="4">
        <v>2699.970000000003</v>
      </c>
      <c r="D4" s="4">
        <v>326.65000000000009</v>
      </c>
      <c r="E4" s="4">
        <v>5516.3000000000029</v>
      </c>
    </row>
    <row r="5" spans="1:5" x14ac:dyDescent="0.35">
      <c r="A5" s="2">
        <v>3</v>
      </c>
      <c r="B5" s="4">
        <v>2531.119999999999</v>
      </c>
      <c r="C5" s="4">
        <v>1617.75</v>
      </c>
      <c r="D5" s="4">
        <v>1030.7800000000007</v>
      </c>
      <c r="E5" s="4">
        <v>5179.6499999999942</v>
      </c>
    </row>
    <row r="6" spans="1:5" x14ac:dyDescent="0.35">
      <c r="A6" s="2">
        <v>4</v>
      </c>
      <c r="B6" s="4">
        <v>3947.84</v>
      </c>
      <c r="C6" s="4">
        <v>1085.6099999999988</v>
      </c>
      <c r="D6" s="4">
        <v>263.66000000000008</v>
      </c>
      <c r="E6" s="4">
        <v>5297.1100000000042</v>
      </c>
    </row>
    <row r="7" spans="1:5" x14ac:dyDescent="0.35">
      <c r="A7" s="2">
        <v>5</v>
      </c>
      <c r="B7" s="4">
        <v>1788.4799999999996</v>
      </c>
      <c r="C7" s="4">
        <v>1685.7299999999996</v>
      </c>
      <c r="D7" s="4">
        <v>910.23999999999978</v>
      </c>
      <c r="E7" s="4">
        <v>4384.4500000000007</v>
      </c>
    </row>
    <row r="8" spans="1:5" x14ac:dyDescent="0.35">
      <c r="A8" s="2">
        <v>6</v>
      </c>
      <c r="B8" s="4">
        <v>2791.4300000000003</v>
      </c>
      <c r="C8" s="4">
        <v>1065.6099999999997</v>
      </c>
      <c r="D8" s="4">
        <v>1797.67</v>
      </c>
      <c r="E8" s="4">
        <v>5654.7099999999991</v>
      </c>
    </row>
    <row r="9" spans="1:5" x14ac:dyDescent="0.35">
      <c r="A9" s="2">
        <v>7</v>
      </c>
      <c r="B9" s="4">
        <v>3165.4799999999959</v>
      </c>
      <c r="C9" s="4">
        <v>1713.3099999999995</v>
      </c>
      <c r="D9" s="4">
        <v>495</v>
      </c>
      <c r="E9" s="4">
        <v>5373.7899999999936</v>
      </c>
    </row>
    <row r="10" spans="1:5" x14ac:dyDescent="0.35">
      <c r="A10" s="2">
        <v>8</v>
      </c>
      <c r="B10" s="4">
        <v>3453.8799999999974</v>
      </c>
      <c r="C10" s="4">
        <v>1009.4700000000012</v>
      </c>
      <c r="D10" s="4">
        <v>1056.0500000000002</v>
      </c>
      <c r="E10" s="4">
        <v>5519.3999999999942</v>
      </c>
    </row>
    <row r="11" spans="1:5" x14ac:dyDescent="0.35">
      <c r="A11" s="2">
        <v>9</v>
      </c>
      <c r="B11" s="4">
        <v>4209.8600000000006</v>
      </c>
      <c r="C11" s="4">
        <v>1574.3599999999997</v>
      </c>
      <c r="D11" s="4">
        <v>700.59000000000015</v>
      </c>
      <c r="E11" s="4">
        <v>6484.8099999999977</v>
      </c>
    </row>
    <row r="12" spans="1:5" x14ac:dyDescent="0.35">
      <c r="A12" s="2">
        <v>10</v>
      </c>
      <c r="B12" s="4">
        <v>2329.9900000000016</v>
      </c>
      <c r="C12" s="4">
        <v>3195.2599999999984</v>
      </c>
      <c r="D12" s="4">
        <v>133.44000000000005</v>
      </c>
      <c r="E12" s="4">
        <v>5658.6900000000023</v>
      </c>
    </row>
    <row r="13" spans="1:5" x14ac:dyDescent="0.35">
      <c r="A13" s="2">
        <v>11</v>
      </c>
      <c r="B13" s="4">
        <v>3817.8700000000026</v>
      </c>
      <c r="C13" s="4">
        <v>1529.2299999999996</v>
      </c>
      <c r="D13" s="4">
        <v>1470.9700000000003</v>
      </c>
      <c r="E13" s="4">
        <v>6818.07</v>
      </c>
    </row>
    <row r="14" spans="1:5" x14ac:dyDescent="0.35">
      <c r="A14" s="2">
        <v>12</v>
      </c>
      <c r="B14" s="4">
        <v>2384.7800000000025</v>
      </c>
      <c r="C14" s="4">
        <v>2166.1800000000003</v>
      </c>
      <c r="D14" s="4">
        <v>1413.0200000000004</v>
      </c>
      <c r="E14" s="4">
        <v>5963.9800000000032</v>
      </c>
    </row>
    <row r="15" spans="1:5" x14ac:dyDescent="0.35">
      <c r="A15" s="2" t="s">
        <v>1</v>
      </c>
      <c r="B15" s="4">
        <v>36230.150000000052</v>
      </c>
      <c r="C15" s="4">
        <v>22120.870000000024</v>
      </c>
      <c r="D15" s="4">
        <v>10556.900000000009</v>
      </c>
      <c r="E15" s="4">
        <v>68907.920000000158</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65A11-5D01-4C33-8EE6-93416F3A15DD}">
  <dimension ref="A1:D15"/>
  <sheetViews>
    <sheetView workbookViewId="0">
      <selection activeCell="M14" sqref="M14"/>
    </sheetView>
  </sheetViews>
  <sheetFormatPr defaultRowHeight="14.5" x14ac:dyDescent="0.35"/>
  <cols>
    <col min="1" max="1" width="12.36328125" bestFit="1" customWidth="1"/>
    <col min="2" max="2" width="15.26953125" bestFit="1" customWidth="1"/>
    <col min="3" max="3" width="8.90625" bestFit="1" customWidth="1"/>
    <col min="4" max="4" width="10.7265625" bestFit="1" customWidth="1"/>
  </cols>
  <sheetData>
    <row r="1" spans="1:4" x14ac:dyDescent="0.35">
      <c r="A1" s="1" t="s">
        <v>13</v>
      </c>
      <c r="B1" s="1" t="s">
        <v>9</v>
      </c>
    </row>
    <row r="2" spans="1:4" x14ac:dyDescent="0.35">
      <c r="A2" s="1" t="s">
        <v>0</v>
      </c>
      <c r="B2" t="s">
        <v>33</v>
      </c>
      <c r="C2" t="s">
        <v>34</v>
      </c>
      <c r="D2" t="s">
        <v>1</v>
      </c>
    </row>
    <row r="3" spans="1:4" x14ac:dyDescent="0.35">
      <c r="A3" s="2">
        <v>1</v>
      </c>
      <c r="B3" s="4">
        <v>3130.8099999999977</v>
      </c>
      <c r="C3" s="4">
        <v>3926.1500000000015</v>
      </c>
      <c r="D3" s="4">
        <v>7056.9599999999991</v>
      </c>
    </row>
    <row r="4" spans="1:4" x14ac:dyDescent="0.35">
      <c r="A4" s="2">
        <v>2</v>
      </c>
      <c r="B4" s="4">
        <v>3633.5</v>
      </c>
      <c r="C4" s="4">
        <v>1882.7999999999993</v>
      </c>
      <c r="D4" s="4">
        <v>5516.3000000000029</v>
      </c>
    </row>
    <row r="5" spans="1:4" x14ac:dyDescent="0.35">
      <c r="A5" s="2">
        <v>3</v>
      </c>
      <c r="B5" s="4">
        <v>2532.010000000002</v>
      </c>
      <c r="C5" s="4">
        <v>2647.6400000000012</v>
      </c>
      <c r="D5" s="4">
        <v>5179.6499999999942</v>
      </c>
    </row>
    <row r="6" spans="1:4" x14ac:dyDescent="0.35">
      <c r="A6" s="2">
        <v>4</v>
      </c>
      <c r="B6" s="4">
        <v>2741.4300000000003</v>
      </c>
      <c r="C6" s="4">
        <v>2555.6800000000003</v>
      </c>
      <c r="D6" s="4">
        <v>5297.1100000000042</v>
      </c>
    </row>
    <row r="7" spans="1:4" x14ac:dyDescent="0.35">
      <c r="A7" s="2">
        <v>5</v>
      </c>
      <c r="B7" s="4">
        <v>2218.0600000000013</v>
      </c>
      <c r="C7" s="4">
        <v>2166.3900000000031</v>
      </c>
      <c r="D7" s="4">
        <v>4384.4500000000007</v>
      </c>
    </row>
    <row r="8" spans="1:4" x14ac:dyDescent="0.35">
      <c r="A8" s="2">
        <v>6</v>
      </c>
      <c r="B8" s="4">
        <v>2904.3799999999974</v>
      </c>
      <c r="C8" s="4">
        <v>2750.33</v>
      </c>
      <c r="D8" s="4">
        <v>5654.7099999999991</v>
      </c>
    </row>
    <row r="9" spans="1:4" x14ac:dyDescent="0.35">
      <c r="A9" s="2">
        <v>7</v>
      </c>
      <c r="B9" s="4">
        <v>3441.6399999999994</v>
      </c>
      <c r="C9" s="4">
        <v>1932.1500000000033</v>
      </c>
      <c r="D9" s="4">
        <v>5373.7899999999936</v>
      </c>
    </row>
    <row r="10" spans="1:4" x14ac:dyDescent="0.35">
      <c r="A10" s="2">
        <v>8</v>
      </c>
      <c r="B10" s="4">
        <v>3458.8799999999974</v>
      </c>
      <c r="C10" s="4">
        <v>2060.5199999999968</v>
      </c>
      <c r="D10" s="4">
        <v>5519.3999999999942</v>
      </c>
    </row>
    <row r="11" spans="1:4" x14ac:dyDescent="0.35">
      <c r="A11" s="2">
        <v>9</v>
      </c>
      <c r="B11" s="4">
        <v>1519.7399999999998</v>
      </c>
      <c r="C11" s="4">
        <v>4965.0699999999924</v>
      </c>
      <c r="D11" s="4">
        <v>6484.8099999999977</v>
      </c>
    </row>
    <row r="12" spans="1:4" x14ac:dyDescent="0.35">
      <c r="A12" s="2">
        <v>10</v>
      </c>
      <c r="B12" s="4">
        <v>2607.16</v>
      </c>
      <c r="C12" s="4">
        <v>3051.5300000000061</v>
      </c>
      <c r="D12" s="4">
        <v>5658.6900000000023</v>
      </c>
    </row>
    <row r="13" spans="1:4" x14ac:dyDescent="0.35">
      <c r="A13" s="2">
        <v>11</v>
      </c>
      <c r="B13" s="4">
        <v>4255.6799999999967</v>
      </c>
      <c r="C13" s="4">
        <v>2562.3899999999976</v>
      </c>
      <c r="D13" s="4">
        <v>6818.07</v>
      </c>
    </row>
    <row r="14" spans="1:4" x14ac:dyDescent="0.35">
      <c r="A14" s="2">
        <v>12</v>
      </c>
      <c r="B14" s="4">
        <v>2677.6100000000024</v>
      </c>
      <c r="C14" s="4">
        <v>3286.3700000000063</v>
      </c>
      <c r="D14" s="4">
        <v>5963.9800000000032</v>
      </c>
    </row>
    <row r="15" spans="1:4" x14ac:dyDescent="0.35">
      <c r="A15" s="2" t="s">
        <v>1</v>
      </c>
      <c r="B15" s="4">
        <v>35120.899999999965</v>
      </c>
      <c r="C15" s="4">
        <v>33787.01999999996</v>
      </c>
      <c r="D15" s="4">
        <v>68907.920000000158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92936F52-0B45-4795-A02C-0A0E83036EF5}">
  <ds:schemaRefs/>
</ds:datastoreItem>
</file>

<file path=customXml/itemProps2.xml><?xml version="1.0" encoding="utf-8"?>
<ds:datastoreItem xmlns:ds="http://schemas.openxmlformats.org/officeDocument/2006/customXml" ds:itemID="{580D6C0C-D99D-4F54-AA00-B6CDA547AC9C}">
  <ds:schemaRefs/>
</ds:datastoreItem>
</file>

<file path=customXml/itemProps3.xml><?xml version="1.0" encoding="utf-8"?>
<ds:datastoreItem xmlns:ds="http://schemas.openxmlformats.org/officeDocument/2006/customXml" ds:itemID="{51792333-D308-4977-9036-72DC83218522}">
  <ds:schemaRefs/>
</ds:datastoreItem>
</file>

<file path=customXml/itemProps4.xml><?xml version="1.0" encoding="utf-8"?>
<ds:datastoreItem xmlns:ds="http://schemas.openxmlformats.org/officeDocument/2006/customXml" ds:itemID="{4D432C38-0DC8-476F-90E3-B94978B20AFA}">
  <ds:schemaRefs/>
</ds:datastoreItem>
</file>

<file path=customXml/itemProps5.xml><?xml version="1.0" encoding="utf-8"?>
<ds:datastoreItem xmlns:ds="http://schemas.openxmlformats.org/officeDocument/2006/customXml" ds:itemID="{1FECB308-54B8-42DD-8C79-CDFAB9F77A72}">
  <ds:schemaRefs/>
</ds:datastoreItem>
</file>

<file path=customXml/itemProps6.xml><?xml version="1.0" encoding="utf-8"?>
<ds:datastoreItem xmlns:ds="http://schemas.openxmlformats.org/officeDocument/2006/customXml" ds:itemID="{3436B9D5-1804-4A70-9D95-14FF1E8F4E67}">
  <ds:schemaRefs/>
</ds:datastoreItem>
</file>

<file path=customXml/itemProps7.xml><?xml version="1.0" encoding="utf-8"?>
<ds:datastoreItem xmlns:ds="http://schemas.openxmlformats.org/officeDocument/2006/customXml" ds:itemID="{FE6EF776-4D1C-4020-96A1-F2B788279E68}">
  <ds:schemaRefs/>
</ds:datastoreItem>
</file>

<file path=customXml/itemProps8.xml><?xml version="1.0" encoding="utf-8"?>
<ds:datastoreItem xmlns:ds="http://schemas.openxmlformats.org/officeDocument/2006/customXml" ds:itemID="{B6DF65B5-EE03-4B11-B306-3531C04EEEC6}">
  <ds:schemaRefs/>
</ds:datastoreItem>
</file>

<file path=customXml/itemProps9.xml><?xml version="1.0" encoding="utf-8"?>
<ds:datastoreItem xmlns:ds="http://schemas.openxmlformats.org/officeDocument/2006/customXml" ds:itemID="{FD632E9D-4747-4997-9214-1AE1B6DCD7A6}">
  <ds:schemaRefs/>
</ds:datastoreItem>
</file>

<file path=customXml/itemProps10.xml><?xml version="1.0" encoding="utf-8"?>
<ds:datastoreItem xmlns:ds="http://schemas.openxmlformats.org/officeDocument/2006/customXml" ds:itemID="{DA58292C-CF62-41BF-B25D-7C4D2D3C9636}">
  <ds:schemaRefs/>
</ds:datastoreItem>
</file>

<file path=customXml/itemProps11.xml><?xml version="1.0" encoding="utf-8"?>
<ds:datastoreItem xmlns:ds="http://schemas.openxmlformats.org/officeDocument/2006/customXml" ds:itemID="{539D18B3-52DE-4F0F-AC68-C681001A59AE}">
  <ds:schemaRefs/>
</ds:datastoreItem>
</file>

<file path=customXml/itemProps12.xml><?xml version="1.0" encoding="utf-8"?>
<ds:datastoreItem xmlns:ds="http://schemas.openxmlformats.org/officeDocument/2006/customXml" ds:itemID="{D2C7674A-65D9-4A3F-84AE-D5A2678BF820}">
  <ds:schemaRefs/>
</ds:datastoreItem>
</file>

<file path=customXml/itemProps13.xml><?xml version="1.0" encoding="utf-8"?>
<ds:datastoreItem xmlns:ds="http://schemas.openxmlformats.org/officeDocument/2006/customXml" ds:itemID="{2A1AF363-0CE4-4212-A6E1-D4230E92CFAB}">
  <ds:schemaRefs/>
</ds:datastoreItem>
</file>

<file path=customXml/itemProps14.xml><?xml version="1.0" encoding="utf-8"?>
<ds:datastoreItem xmlns:ds="http://schemas.openxmlformats.org/officeDocument/2006/customXml" ds:itemID="{AEEECD2E-D690-41EC-818C-CC428073F610}">
  <ds:schemaRefs/>
</ds:datastoreItem>
</file>

<file path=customXml/itemProps15.xml><?xml version="1.0" encoding="utf-8"?>
<ds:datastoreItem xmlns:ds="http://schemas.openxmlformats.org/officeDocument/2006/customXml" ds:itemID="{F86877DF-BB04-4D02-9A5B-DE0D8A866CAA}">
  <ds:schemaRefs/>
</ds:datastoreItem>
</file>

<file path=customXml/itemProps16.xml><?xml version="1.0" encoding="utf-8"?>
<ds:datastoreItem xmlns:ds="http://schemas.openxmlformats.org/officeDocument/2006/customXml" ds:itemID="{141F52F9-2019-4606-BDAF-D15D86BF3A72}">
  <ds:schemaRefs/>
</ds:datastoreItem>
</file>

<file path=customXml/itemProps17.xml><?xml version="1.0" encoding="utf-8"?>
<ds:datastoreItem xmlns:ds="http://schemas.openxmlformats.org/officeDocument/2006/customXml" ds:itemID="{5A943618-1335-436B-ACE5-E6EEC76FC25D}">
  <ds:schemaRefs/>
</ds:datastoreItem>
</file>

<file path=customXml/itemProps18.xml><?xml version="1.0" encoding="utf-8"?>
<ds:datastoreItem xmlns:ds="http://schemas.openxmlformats.org/officeDocument/2006/customXml" ds:itemID="{12F4BB2B-4D84-42D4-884D-D943DD49C6E9}">
  <ds:schemaRefs/>
</ds:datastoreItem>
</file>

<file path=customXml/itemProps19.xml><?xml version="1.0" encoding="utf-8"?>
<ds:datastoreItem xmlns:ds="http://schemas.openxmlformats.org/officeDocument/2006/customXml" ds:itemID="{3570D818-6D0C-4514-BE9D-A059947965F9}">
  <ds:schemaRefs/>
</ds:datastoreItem>
</file>

<file path=customXml/itemProps20.xml><?xml version="1.0" encoding="utf-8"?>
<ds:datastoreItem xmlns:ds="http://schemas.openxmlformats.org/officeDocument/2006/customXml" ds:itemID="{CD5D0DE9-75ED-4975-BF5F-DC7439A8AF06}">
  <ds:schemaRefs/>
</ds:datastoreItem>
</file>

<file path=customXml/itemProps21.xml><?xml version="1.0" encoding="utf-8"?>
<ds:datastoreItem xmlns:ds="http://schemas.openxmlformats.org/officeDocument/2006/customXml" ds:itemID="{50D749F4-5CA4-48C9-BC5D-DA2637D44DE6}">
  <ds:schemaRefs/>
</ds:datastoreItem>
</file>

<file path=customXml/itemProps22.xml><?xml version="1.0" encoding="utf-8"?>
<ds:datastoreItem xmlns:ds="http://schemas.openxmlformats.org/officeDocument/2006/customXml" ds:itemID="{1B895C67-774B-4F2D-867D-D8B86F4B0AC1}">
  <ds:schemaRefs/>
</ds:datastoreItem>
</file>

<file path=customXml/itemProps23.xml><?xml version="1.0" encoding="utf-8"?>
<ds:datastoreItem xmlns:ds="http://schemas.openxmlformats.org/officeDocument/2006/customXml" ds:itemID="{ED40E720-52F0-4579-9A45-051245F10AA8}">
  <ds:schemaRefs/>
</ds:datastoreItem>
</file>

<file path=customXml/itemProps24.xml><?xml version="1.0" encoding="utf-8"?>
<ds:datastoreItem xmlns:ds="http://schemas.openxmlformats.org/officeDocument/2006/customXml" ds:itemID="{734B9B50-1B6D-4462-B975-3C0B477204EE}">
  <ds:schemaRefs/>
</ds:datastoreItem>
</file>

<file path=customXml/itemProps25.xml><?xml version="1.0" encoding="utf-8"?>
<ds:datastoreItem xmlns:ds="http://schemas.openxmlformats.org/officeDocument/2006/customXml" ds:itemID="{BF3229BF-AFC9-4A4A-BB51-3BC330670300}">
  <ds:schemaRefs/>
</ds:datastoreItem>
</file>

<file path=customXml/itemProps26.xml><?xml version="1.0" encoding="utf-8"?>
<ds:datastoreItem xmlns:ds="http://schemas.openxmlformats.org/officeDocument/2006/customXml" ds:itemID="{D21FD09A-92CC-4C23-93CA-2FF01A8DFA23}">
  <ds:schemaRefs>
    <ds:schemaRef ds:uri="http://schemas.microsoft.com/DataMashup"/>
  </ds:schemaRefs>
</ds:datastoreItem>
</file>

<file path=customXml/itemProps27.xml><?xml version="1.0" encoding="utf-8"?>
<ds:datastoreItem xmlns:ds="http://schemas.openxmlformats.org/officeDocument/2006/customXml" ds:itemID="{C43B18BE-0D76-4792-A8B0-42CC3B051AD3}">
  <ds:schemaRefs/>
</ds:datastoreItem>
</file>

<file path=customXml/itemProps28.xml><?xml version="1.0" encoding="utf-8"?>
<ds:datastoreItem xmlns:ds="http://schemas.openxmlformats.org/officeDocument/2006/customXml" ds:itemID="{DDEE1BC9-2E9F-4F5C-806A-19A7993D5305}">
  <ds:schemaRefs/>
</ds:datastoreItem>
</file>

<file path=customXml/itemProps29.xml><?xml version="1.0" encoding="utf-8"?>
<ds:datastoreItem xmlns:ds="http://schemas.openxmlformats.org/officeDocument/2006/customXml" ds:itemID="{E7E46A36-0811-4260-A7E6-380002DA8171}">
  <ds:schemaRefs/>
</ds:datastoreItem>
</file>

<file path=customXml/itemProps30.xml><?xml version="1.0" encoding="utf-8"?>
<ds:datastoreItem xmlns:ds="http://schemas.openxmlformats.org/officeDocument/2006/customXml" ds:itemID="{5B12D6AB-C1FA-40D7-8C22-AA07AED5C375}">
  <ds:schemaRefs/>
</ds:datastoreItem>
</file>

<file path=customXml/itemProps31.xml><?xml version="1.0" encoding="utf-8"?>
<ds:datastoreItem xmlns:ds="http://schemas.openxmlformats.org/officeDocument/2006/customXml" ds:itemID="{D1DC804F-6A12-471A-9173-91BFA47D878B}">
  <ds:schemaRefs/>
</ds:datastoreItem>
</file>

<file path=customXml/itemProps32.xml><?xml version="1.0" encoding="utf-8"?>
<ds:datastoreItem xmlns:ds="http://schemas.openxmlformats.org/officeDocument/2006/customXml" ds:itemID="{8A416F43-852F-4D7D-81BA-95B37B198E87}">
  <ds:schemaRefs/>
</ds:datastoreItem>
</file>

<file path=customXml/itemProps33.xml><?xml version="1.0" encoding="utf-8"?>
<ds:datastoreItem xmlns:ds="http://schemas.openxmlformats.org/officeDocument/2006/customXml" ds:itemID="{1EFBB33E-23A1-474C-AC63-FD52676BC9D5}">
  <ds:schemaRefs/>
</ds:datastoreItem>
</file>

<file path=customXml/itemProps34.xml><?xml version="1.0" encoding="utf-8"?>
<ds:datastoreItem xmlns:ds="http://schemas.openxmlformats.org/officeDocument/2006/customXml" ds:itemID="{6E6538CC-AF71-4F60-AF67-68B6881A0B9A}">
  <ds:schemaRefs/>
</ds:datastoreItem>
</file>

<file path=customXml/itemProps35.xml><?xml version="1.0" encoding="utf-8"?>
<ds:datastoreItem xmlns:ds="http://schemas.openxmlformats.org/officeDocument/2006/customXml" ds:itemID="{C199DCBF-DD02-4DA6-BDD1-8A5698606E94}">
  <ds:schemaRefs/>
</ds:datastoreItem>
</file>

<file path=customXml/itemProps36.xml><?xml version="1.0" encoding="utf-8"?>
<ds:datastoreItem xmlns:ds="http://schemas.openxmlformats.org/officeDocument/2006/customXml" ds:itemID="{0D0FF7A4-B162-4126-B989-DCB124242F3F}">
  <ds:schemaRefs/>
</ds:datastoreItem>
</file>

<file path=customXml/itemProps37.xml><?xml version="1.0" encoding="utf-8"?>
<ds:datastoreItem xmlns:ds="http://schemas.openxmlformats.org/officeDocument/2006/customXml" ds:itemID="{E99FACEA-DDE4-4263-8591-E2EB173C98FA}">
  <ds:schemaRefs/>
</ds:datastoreItem>
</file>

<file path=customXml/itemProps38.xml><?xml version="1.0" encoding="utf-8"?>
<ds:datastoreItem xmlns:ds="http://schemas.openxmlformats.org/officeDocument/2006/customXml" ds:itemID="{E27DB4ED-2B13-4F4E-BDF9-D2C27513544B}">
  <ds:schemaRefs/>
</ds:datastoreItem>
</file>

<file path=customXml/itemProps39.xml><?xml version="1.0" encoding="utf-8"?>
<ds:datastoreItem xmlns:ds="http://schemas.openxmlformats.org/officeDocument/2006/customXml" ds:itemID="{54B3FCFC-3DBC-43C4-85B9-32F11ED49551}">
  <ds:schemaRefs/>
</ds:datastoreItem>
</file>

<file path=customXml/itemProps40.xml><?xml version="1.0" encoding="utf-8"?>
<ds:datastoreItem xmlns:ds="http://schemas.openxmlformats.org/officeDocument/2006/customXml" ds:itemID="{9FE72CC9-84D7-46E8-AD8B-54E6938DF8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SALES DASHBOARD</vt:lpstr>
      <vt:lpstr>Sheet12</vt:lpstr>
      <vt:lpstr>SalesYoY</vt:lpstr>
      <vt:lpstr>Sales in Quantity</vt:lpstr>
      <vt:lpstr>YoY Sales Growth</vt:lpstr>
      <vt:lpstr>COGS YoY</vt:lpstr>
      <vt:lpstr>Profit</vt:lpstr>
      <vt:lpstr>Profit Growth YoY</vt:lpstr>
      <vt:lpstr>Profit by Categories</vt:lpstr>
      <vt:lpstr>Profit of top 15 products</vt:lpstr>
      <vt:lpstr>Profit Cash or Online</vt:lpstr>
      <vt:lpstr>Profit by sale type</vt:lpstr>
      <vt:lpstr>Profit Margin</vt:lpstr>
      <vt:lpstr>Profit by Month and Price Cat</vt:lpstr>
      <vt:lpstr>Profit by M and Categories</vt:lpstr>
      <vt:lpstr>Profit by M and Sale Type</vt:lpstr>
      <vt:lpstr>Profit Online VS Cash by Months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Bane</dc:creator>
  <cp:lastModifiedBy>Branislav Kuzmanovic</cp:lastModifiedBy>
  <dcterms:created xsi:type="dcterms:W3CDTF">2015-06-05T18:17:20Z</dcterms:created>
  <dcterms:modified xsi:type="dcterms:W3CDTF">2025-10-02T11:58:54Z</dcterms:modified>
</cp:coreProperties>
</file>